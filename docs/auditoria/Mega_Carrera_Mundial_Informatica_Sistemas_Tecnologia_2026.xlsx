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4fa8f9b18b640e0" /></Relationships>
</file>

<file path=xl/workbook.xml><?xml version="1.0" encoding="utf-8"?>
<x:workbook xmlns:x="http://schemas.openxmlformats.org/spreadsheetml/2006/main">
  <x:sheets>
    <x:sheet xmlns:r="http://schemas.openxmlformats.org/officeDocument/2006/relationships" name="Resumen" sheetId="1" r:id="R795ddc8bcbfd4d9e"/>
    <x:sheet xmlns:r="http://schemas.openxmlformats.org/officeDocument/2006/relationships" name="Cursos" sheetId="2" r:id="R33cd46e57a0246ef"/>
    <x:sheet xmlns:r="http://schemas.openxmlformats.org/officeDocument/2006/relationships" name="Rutas" sheetId="3" r:id="R41b29b897b5f4cad"/>
    <x:sheet xmlns:r="http://schemas.openxmlformats.org/officeDocument/2006/relationships" name="Secuencia" sheetId="4" r:id="R2859a9932ff3439a"/>
    <x:sheet xmlns:r="http://schemas.openxmlformats.org/officeDocument/2006/relationships" name="Fuentes" sheetId="5" r:id="Ree5fc914c7fc4252"/>
    <x:sheet xmlns:r="http://schemas.openxmlformats.org/officeDocument/2006/relationships" name="Muestra mundial" sheetId="6" r:id="Rd98374e2b1df464b"/>
    <x:sheet xmlns:r="http://schemas.openxmlformats.org/officeDocument/2006/relationships" name="Historia y horizontes" sheetId="7" r:id="R8f35c95564e74244"/>
    <x:sheet xmlns:r="http://schemas.openxmlformats.org/officeDocument/2006/relationships" name="Radar tecnológico" sheetId="8" r:id="Rc803c52788e94642"/>
    <x:sheet xmlns:r="http://schemas.openxmlformats.org/officeDocument/2006/relationships" name="Escenarios" sheetId="9" r:id="Ra2b306d1ef4940da"/>
    <x:sheet xmlns:r="http://schemas.openxmlformats.org/officeDocument/2006/relationships" name="Vigilancia" sheetId="10" r:id="Raea6e6ea88e24d74"/>
    <x:sheet xmlns:r="http://schemas.openxmlformats.org/officeDocument/2006/relationships" name="Bitácora señales" sheetId="11" r:id="Ra15cdde0ee6f4a3b"/>
    <x:sheet xmlns:r="http://schemas.openxmlformats.org/officeDocument/2006/relationships" name="Panel mundial 150" sheetId="12" r:id="R3d4207a59611499e"/>
    <x:sheet xmlns:r="http://schemas.openxmlformats.org/officeDocument/2006/relationships" name="Matriz 150x17" sheetId="13" r:id="R69176ebb04ca42a7"/>
    <x:sheet xmlns:r="http://schemas.openxmlformats.org/officeDocument/2006/relationships" name="Auditoría 150" sheetId="14" r:id="Rd28e8ceecf224059"/>
    <x:sheet xmlns:r="http://schemas.openxmlformats.org/officeDocument/2006/relationships" name="Trazabilidad 533" sheetId="15" r:id="R8c9568c5b2844203"/>
  </x:sheets>
</x:workbook>
</file>

<file path=xl/comments1.xml><?xml version="1.0" encoding="utf-8"?>
<x:comments xmlns:x="http://schemas.openxmlformats.org/spreadsheetml/2006/main">
  <x:authors>
    <x:author>tc={5B4E05C8-D0D6-D1A9-6FB3-2EB0AD473600}</x:author>
  </x:authors>
  <x:commentList>
    <x:comment ref="D5" authorId="0">
      <x:text>
        <x:r>
          <x:t>[Threaded comment]
Your version of Excel allows you to read this threaded comment; however, any edits to it will get removed if the file is opened in a newer version of Excel. Learn more: https://go.microsoft.com/fwlink/?linkid=870924
Comment:
    Criterio de síntesis: normalización por resultados de aprendizaje y contenidos, con deduplicación de nombres equivalentes.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0"/>
    <x:numFmt numFmtId="203" formatCode="0%"/>
    <x:numFmt numFmtId="204" formatCode="yyyy-mm-dd"/>
  </x:numFmts>
  <x:fonts count="26">
    <x:font>
      <x:sz val="11"/>
      <x:name val="Carlito"/>
    </x:font>
    <x:font>
      <x:b/>
      <x:sz val="20"/>
      <x:color rgb="FFFFFFFF"/>
      <x:name val="Carlito"/>
    </x:font>
    <x:font>
      <x:i/>
      <x:sz val="10"/>
      <x:color rgb="FF153047"/>
      <x:name val="Carlito"/>
    </x:font>
    <x:font>
      <x:b/>
      <x:sz val="11"/>
      <x:color rgb="FFFFFFFF"/>
      <x:name val="Carlito"/>
    </x:font>
    <x:font>
      <x:sz val="11"/>
      <x:color rgb="FF153047"/>
      <x:name val="Carlito"/>
    </x:font>
    <x:font>
      <x:b/>
      <x:sz val="11"/>
      <x:color rgb="FF0B2E4F"/>
      <x:name val="Carlito"/>
    </x:font>
    <x:font>
      <x:sz val="11"/>
      <x:color rgb="FF7C2D12"/>
      <x:name val="Carlito"/>
    </x:font>
    <x:font>
      <x:sz val="10"/>
      <x:color rgb="FF153047"/>
      <x:name val="Carlito"/>
    </x:font>
    <x:font>
      <x:b/>
      <x:sz val="10"/>
      <x:color rgb="FF5B21B6"/>
      <x:name val="Carlito"/>
    </x:font>
    <x:font>
      <x:i/>
      <x:sz val="10"/>
      <x:color rgb="FF9A3412"/>
      <x:name val="Carlito"/>
    </x:font>
    <x:font>
      <x:b/>
      <x:sz val="20"/>
      <x:color rgb="FFFFFFFF"/>
      <x:name val="Aptos"/>
    </x:font>
    <x:font>
      <x:i/>
      <x:sz val="10"/>
      <x:color rgb="FF153047"/>
      <x:name val="Aptos"/>
    </x:font>
    <x:font>
      <x:sz val="11"/>
      <x:name val="Aptos"/>
    </x:font>
    <x:font>
      <x:b/>
      <x:sz val="11"/>
      <x:color rgb="FFFFFFFF"/>
      <x:name val="Aptos"/>
    </x:font>
    <x:font>
      <x:sz val="11"/>
      <x:color rgb="FF153047"/>
      <x:name val="Aptos"/>
    </x:font>
    <x:font>
      <x:b/>
      <x:sz val="11"/>
      <x:color rgb="FF0B2E4F"/>
      <x:name val="Aptos"/>
    </x:font>
    <x:font>
      <x:sz val="11"/>
      <x:color rgb="FF7C2D12"/>
      <x:name val="Aptos"/>
    </x:font>
    <x:font>
      <x:sz val="10"/>
      <x:color rgb="FF153047"/>
      <x:name val="Aptos"/>
    </x:font>
    <x:font>
      <x:b/>
      <x:sz val="10"/>
      <x:color rgb="FF5B21B6"/>
      <x:name val="Aptos"/>
    </x:font>
    <x:font>
      <x:i/>
      <x:sz val="10"/>
      <x:color rgb="FF9A3412"/>
      <x:name val="Aptos"/>
    </x:font>
    <x:font>
      <x:b/>
      <x:sz val="10"/>
      <x:color rgb="FFFFFFFF"/>
      <x:name val="Carlito"/>
    </x:font>
    <x:font>
      <x:sz val="9"/>
      <x:color rgb="FF153047"/>
      <x:name val="Carlito"/>
    </x:font>
    <x:font>
      <x:b/>
      <x:sz val="9"/>
      <x:color rgb="FFFFFFFF"/>
      <x:name val="Carlito"/>
    </x:font>
    <x:font>
      <x:sz val="8"/>
      <x:color rgb="FF153047"/>
      <x:name val="Carlito"/>
    </x:font>
    <x:font>
      <x:b/>
      <x:sz val="8"/>
      <x:color rgb="FFFFFFFF"/>
      <x:name val="Carlito"/>
    </x:font>
    <x:font>
      <x:sz val="10"/>
      <x:color rgb="FF9A3412"/>
      <x:name val="Carlito"/>
    </x:font>
  </x:fonts>
  <x:fills count="18">
    <x:fill>
      <x:patternFill patternType="none"/>
    </x:fill>
    <x:fill>
      <x:patternFill patternType="gray125"/>
    </x:fill>
    <x:fill>
      <x:patternFill patternType="solid">
        <x:fgColor rgb="FF0B2E4F"/>
      </x:patternFill>
    </x:fill>
    <x:fill>
      <x:patternFill patternType="solid">
        <x:fgColor rgb="FFE8F4F8"/>
      </x:patternFill>
    </x:fill>
    <x:fill>
      <x:patternFill patternType="solid">
        <x:fgColor rgb="FF0E7490"/>
      </x:patternFill>
    </x:fill>
    <x:fill>
      <x:patternFill patternType="solid">
        <x:fgColor rgb="FFFFFFFF"/>
      </x:patternFill>
    </x:fill>
    <x:fill>
      <x:patternFill patternType="solid">
        <x:fgColor rgb="FF14B8A6"/>
      </x:patternFill>
    </x:fill>
    <x:fill>
      <x:patternFill patternType="solid">
        <x:fgColor rgb="FFE7F8F5"/>
      </x:patternFill>
    </x:fill>
    <x:fill>
      <x:patternFill patternType="solid">
        <x:fgColor rgb="FFB45309"/>
      </x:patternFill>
    </x:fill>
    <x:fill>
      <x:patternFill patternType="solid">
        <x:fgColor rgb="FFFFF4E5"/>
      </x:patternFill>
    </x:fill>
    <x:fill>
      <x:patternFill patternType="solid">
        <x:fgColor rgb="FFF3F6F8"/>
      </x:patternFill>
    </x:fill>
    <x:fill>
      <x:patternFill patternType="solid">
        <x:fgColor rgb="FF6D28D9"/>
      </x:patternFill>
    </x:fill>
    <x:fill>
      <x:patternFill patternType="solid">
        <x:fgColor rgb="FFF5F3FF"/>
      </x:patternFill>
    </x:fill>
    <x:fill>
      <x:patternFill patternType="solid">
        <x:fgColor rgb="FFFFF7ED"/>
      </x:patternFill>
    </x:fill>
    <x:fill>
      <x:patternFill patternType="solid">
        <x:fgColor rgb="FFF8FBFC"/>
      </x:patternFill>
    </x:fill>
    <x:fill>
      <x:patternFill patternType="solid">
        <x:fgColor rgb="FFECFDF5"/>
      </x:patternFill>
    </x:fill>
    <x:fill>
      <x:patternFill patternType="solid">
        <x:fgColor rgb="FFEFF6FF"/>
      </x:patternFill>
    </x:fill>
    <x:fill>
      <x:patternFill patternType="solid">
        <x:fgColor rgb="FFFFF1F2"/>
      </x:patternFill>
    </x:fill>
  </x:fills>
  <x:borders count="32">
    <x:border/>
    <x:border>
      <x:left style="thin">
        <x:color rgb="FFC8D6DF"/>
      </x:left>
      <x:top style="thin">
        <x:color rgb="FFC8D6DF"/>
      </x:top>
    </x:border>
    <x:border>
      <x:top style="thin">
        <x:color rgb="FFC8D6DF"/>
      </x:top>
    </x:border>
    <x:border>
      <x:right style="thin">
        <x:color rgb="FFC8D6DF"/>
      </x:right>
      <x:top style="thin">
        <x:color rgb="FFC8D6DF"/>
      </x:top>
    </x:border>
    <x:border>
      <x:left style="thin">
        <x:color rgb="FFC8D6DF"/>
      </x:left>
    </x:border>
    <x:border>
      <x:right style="thin">
        <x:color rgb="FFC8D6DF"/>
      </x:right>
    </x:border>
    <x:border>
      <x:left style="thin">
        <x:color rgb="FFC8D6DF"/>
      </x:left>
      <x:bottom style="thin">
        <x:color rgb="FFC8D6DF"/>
      </x:bottom>
    </x:border>
    <x:border>
      <x:bottom style="thin">
        <x:color rgb="FFC8D6DF"/>
      </x:bottom>
    </x:border>
    <x:border>
      <x:right style="thin">
        <x:color rgb="FFC8D6DF"/>
      </x:right>
      <x:bottom style="thin">
        <x:color rgb="FFC8D6DF"/>
      </x:bottom>
    </x:border>
    <x:border>
      <x:left style="thin">
        <x:color rgb="FFF5C16C"/>
      </x:left>
      <x:top style="thin">
        <x:color rgb="FFF5C16C"/>
      </x:top>
    </x:border>
    <x:border>
      <x:top style="thin">
        <x:color rgb="FFF5C16C"/>
      </x:top>
    </x:border>
    <x:border>
      <x:right style="thin">
        <x:color rgb="FFF5C16C"/>
      </x:right>
      <x:top style="thin">
        <x:color rgb="FFF5C16C"/>
      </x:top>
    </x:border>
    <x:border>
      <x:left style="thin">
        <x:color rgb="FFF5C16C"/>
      </x:left>
    </x:border>
    <x:border>
      <x:right style="thin">
        <x:color rgb="FFF5C16C"/>
      </x:right>
    </x:border>
    <x:border>
      <x:left style="thin">
        <x:color rgb="FFF5C16C"/>
      </x:left>
      <x:bottom style="thin">
        <x:color rgb="FFF5C16C"/>
      </x:bottom>
    </x:border>
    <x:border>
      <x:bottom style="thin">
        <x:color rgb="FFF5C16C"/>
      </x:bottom>
    </x:border>
    <x:border>
      <x:right style="thin">
        <x:color rgb="FFF5C16C"/>
      </x:right>
      <x:bottom style="thin">
        <x:color rgb="FFF5C16C"/>
      </x:bottom>
    </x:border>
    <x:border>
      <x:top style="thin">
        <x:color rgb="FFC8D6DF"/>
      </x:top>
      <x:bottom style="thin">
        <x:color rgb="FFC8D6DF"/>
      </x:bottom>
    </x:border>
    <x:border>
      <x:bottom style="thin">
        <x:color rgb="FFDDD6FE"/>
      </x:bottom>
    </x:border>
    <x:border>
      <x:top style="thin">
        <x:color rgb="FFDDD6FE"/>
      </x:top>
      <x:bottom style="thin">
        <x:color rgb="FFDDD6FE"/>
      </x:bottom>
    </x:border>
    <x:border>
      <x:top style="thin">
        <x:color rgb="FFDDD6FE"/>
      </x:top>
    </x:border>
    <x:border>
      <x:left style="thin">
        <x:color rgb="FFFDBA74"/>
      </x:left>
      <x:top style="thin">
        <x:color rgb="FFFDBA74"/>
      </x:top>
    </x:border>
    <x:border>
      <x:top style="thin">
        <x:color rgb="FFFDBA74"/>
      </x:top>
    </x:border>
    <x:border>
      <x:right style="thin">
        <x:color rgb="FFFDBA74"/>
      </x:right>
      <x:top style="thin">
        <x:color rgb="FFFDBA74"/>
      </x:top>
    </x:border>
    <x:border>
      <x:left style="thin">
        <x:color rgb="FFFDBA74"/>
      </x:left>
    </x:border>
    <x:border>
      <x:right style="thin">
        <x:color rgb="FFFDBA74"/>
      </x:right>
    </x:border>
    <x:border>
      <x:left style="thin">
        <x:color rgb="FFFDBA74"/>
      </x:left>
      <x:bottom style="thin">
        <x:color rgb="FFFDBA74"/>
      </x:bottom>
    </x:border>
    <x:border>
      <x:bottom style="thin">
        <x:color rgb="FFFDBA74"/>
      </x:bottom>
    </x:border>
    <x:border>
      <x:right style="thin">
        <x:color rgb="FFFDBA74"/>
      </x:right>
      <x:bottom style="thin">
        <x:color rgb="FFFDBA74"/>
      </x:bottom>
    </x:border>
    <x:border>
      <x:bottom style="thin">
        <x:color rgb="FFE4EBEF"/>
      </x:bottom>
    </x:border>
    <x:border>
      <x:top style="thin">
        <x:color rgb="FFE4EBEF"/>
      </x:top>
      <x:bottom style="thin">
        <x:color rgb="FFE4EBEF"/>
      </x:bottom>
    </x:border>
    <x:border>
      <x:top style="thin">
        <x:color rgb="FFE4EBEF"/>
      </x:top>
    </x:border>
  </x:borders>
  <x:cellStyleXfs count="1">
    <x:xf numFmtId="0" fontId="0" fillId="0" borderId="0"/>
  </x:cellStyleXfs>
  <x:cellXfs count="5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4" fillId="0" borderId="0" xfId="0" applyNumberFormat="1" applyFont="1" applyFill="1" applyBorder="1"/>
    <x:xf numFmtId="20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0" fontId="5" fillId="0" borderId="0" xfId="0" applyNumberFormat="1" applyFont="1" applyFill="1" applyBorder="1"/>
    <x:xf numFmtId="0" fontId="4" fillId="5" borderId="0" xfId="0" applyNumberFormat="1" applyFont="1" applyFill="1" applyBorder="1"/>
    <x:xf numFmtId="200" fontId="5" fillId="5" borderId="0" xfId="0" applyNumberFormat="1" applyFont="1" applyFill="1" applyBorder="1"/>
    <x:xf numFmtId="201" fontId="5" fillId="5" borderId="0" xfId="0" applyNumberFormat="1" applyFont="1" applyFill="1" applyBorder="1"/>
    <x:xf numFmtId="202" fontId="5" fillId="5" borderId="0" xfId="0" applyNumberFormat="1" applyFont="1" applyFill="1" applyBorder="1"/>
    <x:xf numFmtId="0" fontId="5" fillId="5"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2" xfId="0" applyNumberFormat="1" applyFont="1" applyFill="1" applyBorder="1"/>
    <x:xf numFmtId="0" fontId="4" fillId="7" borderId="3" xfId="0" applyNumberFormat="1" applyFont="1" applyFill="1" applyBorder="1"/>
    <x:xf numFmtId="0" fontId="4" fillId="7" borderId="4" xfId="0" applyNumberFormat="1" applyFont="1" applyFill="1" applyBorder="1"/>
    <x:xf numFmtId="0" fontId="4" fillId="7" borderId="5" xfId="0" applyNumberFormat="1" applyFont="1" applyFill="1" applyBorder="1"/>
    <x:xf numFmtId="0" fontId="4" fillId="7" borderId="6" xfId="0" applyNumberFormat="1" applyFont="1" applyFill="1" applyBorder="1"/>
    <x:xf numFmtId="0" fontId="4" fillId="7" borderId="7" xfId="0" applyNumberFormat="1" applyFont="1" applyFill="1" applyBorder="1"/>
    <x:xf numFmtId="0" fontId="4" fillId="7" borderId="8" xfId="0" applyNumberFormat="1" applyFont="1" applyFill="1" applyBorder="1"/>
    <x:xf numFmtId="0" fontId="4" fillId="7" borderId="1" xfId="0" applyNumberFormat="1" applyFont="1" applyFill="1" applyBorder="1" applyAlignment="1">
      <x:alignment wrapText="1"/>
    </x:xf>
    <x:xf numFmtId="0" fontId="4" fillId="7" borderId="2" xfId="0" applyNumberFormat="1" applyFont="1" applyFill="1" applyBorder="1" applyAlignment="1">
      <x:alignment wrapText="1"/>
    </x:xf>
    <x:xf numFmtId="0" fontId="4" fillId="7" borderId="3" xfId="0" applyNumberFormat="1" applyFont="1" applyFill="1" applyBorder="1" applyAlignment="1">
      <x:alignment wrapText="1"/>
    </x:xf>
    <x:xf numFmtId="0" fontId="4" fillId="7" borderId="4"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5" xfId="0" applyNumberFormat="1" applyFont="1" applyFill="1" applyBorder="1" applyAlignment="1">
      <x:alignment wrapText="1"/>
    </x:xf>
    <x:xf numFmtId="0" fontId="4" fillId="7" borderId="6" xfId="0" applyNumberFormat="1" applyFont="1" applyFill="1" applyBorder="1" applyAlignment="1">
      <x:alignment wrapText="1"/>
    </x:xf>
    <x:xf numFmtId="0" fontId="4" fillId="7" borderId="7" xfId="0" applyNumberFormat="1" applyFont="1" applyFill="1" applyBorder="1" applyAlignment="1">
      <x:alignment wrapText="1"/>
    </x:xf>
    <x:xf numFmtId="0" fontId="4" fillId="7" borderId="8" xfId="0" applyNumberFormat="1" applyFont="1" applyFill="1" applyBorder="1" applyAlignment="1">
      <x:alignment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7" borderId="6" xfId="0" applyNumberFormat="1" applyFont="1" applyFill="1" applyBorder="1" applyAlignment="1">
      <x:alignment vertical="top" wrapText="1"/>
    </x:xf>
    <x:xf numFmtId="0" fontId="4" fillId="7" borderId="7" xfId="0" applyNumberFormat="1" applyFont="1" applyFill="1" applyBorder="1" applyAlignment="1">
      <x:alignment vertical="top" wrapText="1"/>
    </x:xf>
    <x:xf numFmtId="0" fontId="4" fillId="7" borderId="8"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9" xfId="0" applyNumberFormat="1" applyFont="1" applyFill="1" applyBorder="1"/>
    <x:xf numFmtId="0" fontId="6" fillId="9" borderId="10" xfId="0" applyNumberFormat="1" applyFont="1" applyFill="1" applyBorder="1"/>
    <x:xf numFmtId="0" fontId="6" fillId="9" borderId="11" xfId="0" applyNumberFormat="1" applyFont="1" applyFill="1" applyBorder="1"/>
    <x:xf numFmtId="0" fontId="6" fillId="9" borderId="12" xfId="0" applyNumberFormat="1" applyFont="1" applyFill="1" applyBorder="1"/>
    <x:xf numFmtId="0" fontId="6" fillId="9" borderId="13" xfId="0" applyNumberFormat="1" applyFont="1" applyFill="1" applyBorder="1"/>
    <x:xf numFmtId="0" fontId="6" fillId="9" borderId="14" xfId="0" applyNumberFormat="1" applyFont="1" applyFill="1" applyBorder="1"/>
    <x:xf numFmtId="0" fontId="6" fillId="9" borderId="15" xfId="0" applyNumberFormat="1" applyFont="1" applyFill="1" applyBorder="1"/>
    <x:xf numFmtId="0" fontId="6" fillId="9" borderId="16" xfId="0" applyNumberFormat="1" applyFont="1" applyFill="1" applyBorder="1"/>
    <x:xf numFmtId="0" fontId="6" fillId="9" borderId="9" xfId="0" applyNumberFormat="1" applyFont="1" applyFill="1" applyBorder="1" applyAlignment="1">
      <x:alignment wrapText="1"/>
    </x:xf>
    <x:xf numFmtId="0" fontId="6" fillId="9" borderId="10" xfId="0" applyNumberFormat="1" applyFont="1" applyFill="1" applyBorder="1" applyAlignment="1">
      <x:alignment wrapText="1"/>
    </x:xf>
    <x:xf numFmtId="0" fontId="6" fillId="9" borderId="11" xfId="0" applyNumberFormat="1" applyFont="1" applyFill="1" applyBorder="1" applyAlignment="1">
      <x:alignment wrapText="1"/>
    </x:xf>
    <x:xf numFmtId="0" fontId="6" fillId="9" borderId="12" xfId="0" applyNumberFormat="1" applyFont="1" applyFill="1" applyBorder="1" applyAlignment="1">
      <x:alignment wrapText="1"/>
    </x:xf>
    <x:xf numFmtId="0" fontId="6" fillId="9" borderId="0" xfId="0" applyNumberFormat="1" applyFont="1" applyFill="1" applyBorder="1" applyAlignment="1">
      <x:alignment wrapText="1"/>
    </x:xf>
    <x:xf numFmtId="0" fontId="6" fillId="9" borderId="13" xfId="0" applyNumberFormat="1" applyFont="1" applyFill="1" applyBorder="1" applyAlignment="1">
      <x:alignment wrapText="1"/>
    </x:xf>
    <x:xf numFmtId="0" fontId="6" fillId="9" borderId="14" xfId="0" applyNumberFormat="1" applyFont="1" applyFill="1" applyBorder="1" applyAlignment="1">
      <x:alignment wrapText="1"/>
    </x:xf>
    <x:xf numFmtId="0" fontId="6" fillId="9" borderId="15" xfId="0" applyNumberFormat="1" applyFont="1" applyFill="1" applyBorder="1" applyAlignment="1">
      <x:alignment wrapText="1"/>
    </x:xf>
    <x:xf numFmtId="0" fontId="6" fillId="9" borderId="16" xfId="0" applyNumberFormat="1" applyFont="1" applyFill="1" applyBorder="1" applyAlignment="1">
      <x:alignment wrapText="1"/>
    </x:xf>
    <x:xf numFmtId="0" fontId="6" fillId="9" borderId="9" xfId="0" applyNumberFormat="1" applyFont="1" applyFill="1" applyBorder="1" applyAlignment="1">
      <x:alignment vertical="top" wrapText="1"/>
    </x:xf>
    <x:xf numFmtId="0" fontId="6" fillId="9" borderId="10" xfId="0" applyNumberFormat="1" applyFont="1" applyFill="1" applyBorder="1" applyAlignment="1">
      <x:alignment vertical="top" wrapText="1"/>
    </x:xf>
    <x:xf numFmtId="0" fontId="6" fillId="9" borderId="11" xfId="0" applyNumberFormat="1" applyFont="1" applyFill="1" applyBorder="1" applyAlignment="1">
      <x:alignment vertical="top" wrapText="1"/>
    </x:xf>
    <x:xf numFmtId="0" fontId="6" fillId="9" borderId="12"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9" borderId="13" xfId="0" applyNumberFormat="1" applyFont="1" applyFill="1" applyBorder="1" applyAlignment="1">
      <x:alignment vertical="top" wrapText="1"/>
    </x:xf>
    <x:xf numFmtId="0" fontId="6" fillId="9" borderId="14" xfId="0" applyNumberFormat="1" applyFont="1" applyFill="1" applyBorder="1" applyAlignment="1">
      <x:alignment vertical="top" wrapText="1"/>
    </x:xf>
    <x:xf numFmtId="0" fontId="6" fillId="9" borderId="15" xfId="0" applyNumberFormat="1" applyFont="1" applyFill="1" applyBorder="1" applyAlignment="1">
      <x:alignment vertical="top" wrapText="1"/>
    </x:xf>
    <x:xf numFmtId="0" fontId="6" fillId="9" borderId="16" xfId="0" applyNumberFormat="1" applyFont="1" applyFill="1" applyBorder="1" applyAlignment="1">
      <x:alignment vertical="top" wrapText="1"/>
    </x:xf>
    <x:xf numFmtId="0" fontId="3" fillId="4" borderId="0" xfId="0" applyNumberFormat="1" applyFont="1" applyFill="1" applyBorder="1" applyAlignment="1">
      <x:alignment wrapText="1"/>
    </x:xf>
    <x:xf numFmtId="0" fontId="0" fillId="5" borderId="0" xfId="0" applyNumberFormat="1" applyFont="1" applyFill="1" applyBorder="1"/>
    <x:xf numFmtId="0" fontId="7" fillId="5" borderId="0" xfId="0" applyNumberFormat="1" applyFont="1" applyFill="1" applyBorder="1"/>
    <x:xf numFmtId="0" fontId="7" fillId="5" borderId="7" xfId="0" applyNumberFormat="1" applyFont="1" applyFill="1" applyBorder="1"/>
    <x:xf numFmtId="0" fontId="7" fillId="5" borderId="17" xfId="0" applyNumberFormat="1" applyFont="1" applyFill="1" applyBorder="1"/>
    <x:xf numFmtId="0" fontId="7" fillId="5" borderId="2" xfId="0" applyNumberFormat="1" applyFont="1" applyFill="1" applyBorder="1"/>
    <x:xf numFmtId="200" fontId="7" fillId="5" borderId="7" xfId="0" applyNumberFormat="1" applyFont="1" applyFill="1" applyBorder="1"/>
    <x:xf numFmtId="200" fontId="7" fillId="5" borderId="17" xfId="0" applyNumberFormat="1" applyFont="1" applyFill="1" applyBorder="1"/>
    <x:xf numFmtId="200" fontId="7" fillId="5" borderId="2" xfId="0" applyNumberFormat="1" applyFont="1" applyFill="1" applyBorder="1"/>
    <x:xf numFmtId="202" fontId="7" fillId="5" borderId="7" xfId="0" applyNumberFormat="1" applyFont="1" applyFill="1" applyBorder="1"/>
    <x:xf numFmtId="202" fontId="7" fillId="5" borderId="17" xfId="0" applyNumberFormat="1" applyFont="1" applyFill="1" applyBorder="1"/>
    <x:xf numFmtId="202" fontId="7" fillId="5"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1" xfId="0" applyNumberFormat="1" applyFont="1" applyFill="1" applyBorder="1"/>
    <x:xf numFmtId="0" fontId="2" fillId="10" borderId="2" xfId="0" applyNumberFormat="1" applyFont="1" applyFill="1" applyBorder="1"/>
    <x:xf numFmtId="0" fontId="2" fillId="10" borderId="3" xfId="0" applyNumberFormat="1" applyFont="1" applyFill="1" applyBorder="1"/>
    <x:xf numFmtId="0" fontId="2" fillId="10" borderId="4" xfId="0" applyNumberFormat="1" applyFont="1" applyFill="1" applyBorder="1"/>
    <x:xf numFmtId="0" fontId="2" fillId="10" borderId="5" xfId="0" applyNumberFormat="1" applyFont="1" applyFill="1" applyBorder="1"/>
    <x:xf numFmtId="0" fontId="2" fillId="10" borderId="6" xfId="0" applyNumberFormat="1" applyFont="1" applyFill="1" applyBorder="1"/>
    <x:xf numFmtId="0" fontId="2" fillId="10" borderId="7" xfId="0" applyNumberFormat="1" applyFont="1" applyFill="1" applyBorder="1"/>
    <x:xf numFmtId="0" fontId="2" fillId="10" borderId="8" xfId="0" applyNumberFormat="1" applyFont="1" applyFill="1" applyBorder="1"/>
    <x:xf numFmtId="0" fontId="2" fillId="10" borderId="1" xfId="0" applyNumberFormat="1" applyFont="1" applyFill="1" applyBorder="1" applyAlignment="1">
      <x:alignment wrapText="1"/>
    </x:xf>
    <x:xf numFmtId="0" fontId="2" fillId="10" borderId="2" xfId="0" applyNumberFormat="1" applyFont="1" applyFill="1" applyBorder="1" applyAlignment="1">
      <x:alignment wrapText="1"/>
    </x:xf>
    <x:xf numFmtId="0" fontId="2" fillId="10" borderId="3" xfId="0" applyNumberFormat="1" applyFont="1" applyFill="1" applyBorder="1" applyAlignment="1">
      <x:alignment wrapText="1"/>
    </x:xf>
    <x:xf numFmtId="0" fontId="2" fillId="10" borderId="4" xfId="0" applyNumberFormat="1" applyFont="1" applyFill="1" applyBorder="1" applyAlignment="1">
      <x:alignment wrapText="1"/>
    </x:xf>
    <x:xf numFmtId="0" fontId="2" fillId="10" borderId="0" xfId="0" applyNumberFormat="1" applyFont="1" applyFill="1" applyBorder="1" applyAlignment="1">
      <x:alignment wrapText="1"/>
    </x:xf>
    <x:xf numFmtId="0" fontId="2" fillId="10" borderId="5" xfId="0" applyNumberFormat="1" applyFont="1" applyFill="1" applyBorder="1" applyAlignment="1">
      <x:alignment wrapText="1"/>
    </x:xf>
    <x:xf numFmtId="0" fontId="2" fillId="10" borderId="6" xfId="0" applyNumberFormat="1" applyFont="1" applyFill="1" applyBorder="1" applyAlignment="1">
      <x:alignment wrapText="1"/>
    </x:xf>
    <x:xf numFmtId="0" fontId="2" fillId="10" borderId="7" xfId="0" applyNumberFormat="1" applyFont="1" applyFill="1" applyBorder="1" applyAlignment="1">
      <x:alignment wrapText="1"/>
    </x:xf>
    <x:xf numFmtId="0" fontId="2" fillId="10" borderId="8" xfId="0" applyNumberFormat="1" applyFont="1" applyFill="1" applyBorder="1" applyAlignment="1">
      <x:alignment wrapText="1"/>
    </x:xf>
    <x:xf numFmtId="0" fontId="2" fillId="10" borderId="1" xfId="0" applyNumberFormat="1" applyFont="1" applyFill="1" applyBorder="1" applyAlignment="1">
      <x:alignment vertical="top"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2" fillId="10" borderId="8" xfId="0" applyNumberFormat="1" applyFont="1" applyFill="1" applyBorder="1" applyAlignment="1">
      <x:alignment vertical="top" wrapText="1"/>
    </x:xf>
    <x:xf numFmtId="0" fontId="0" fillId="11" borderId="0" xfId="0" applyNumberFormat="1" applyFont="1" applyFill="1" applyBorder="1"/>
    <x:xf numFmtId="0" fontId="3" fillId="11" borderId="0" xfId="0" applyNumberFormat="1" applyFont="1" applyFill="1" applyBorder="1"/>
    <x:xf numFmtId="0" fontId="0" fillId="12" borderId="0" xfId="0" applyNumberFormat="1" applyFont="1" applyFill="1" applyBorder="1"/>
    <x:xf numFmtId="0" fontId="7" fillId="12" borderId="0" xfId="0" applyNumberFormat="1" applyFont="1" applyFill="1" applyBorder="1"/>
    <x:xf numFmtId="0" fontId="7" fillId="12" borderId="18" xfId="0" applyNumberFormat="1" applyFont="1" applyFill="1" applyBorder="1"/>
    <x:xf numFmtId="0" fontId="7" fillId="12" borderId="19" xfId="0" applyNumberFormat="1" applyFont="1" applyFill="1" applyBorder="1"/>
    <x:xf numFmtId="0" fontId="7" fillId="12" borderId="20" xfId="0" applyNumberFormat="1" applyFont="1" applyFill="1" applyBorder="1"/>
    <x:xf numFmtId="0" fontId="7" fillId="12" borderId="18" xfId="0" applyNumberFormat="1" applyFont="1" applyFill="1" applyBorder="1" applyAlignment="1">
      <x:alignment wrapText="1"/>
    </x:xf>
    <x:xf numFmtId="0" fontId="7" fillId="12" borderId="19" xfId="0" applyNumberFormat="1" applyFont="1" applyFill="1" applyBorder="1" applyAlignment="1">
      <x:alignment wrapText="1"/>
    </x:xf>
    <x:xf numFmtId="0" fontId="7" fillId="12" borderId="20" xfId="0" applyNumberFormat="1" applyFont="1" applyFill="1" applyBorder="1" applyAlignment="1">
      <x:alignment wrapText="1"/>
    </x:xf>
    <x:xf numFmtId="0" fontId="7" fillId="12" borderId="18" xfId="0" applyNumberFormat="1" applyFont="1" applyFill="1" applyBorder="1" applyAlignment="1">
      <x:alignment vertical="center" wrapText="1"/>
    </x:xf>
    <x:xf numFmtId="0" fontId="7" fillId="12" borderId="19" xfId="0" applyNumberFormat="1" applyFont="1" applyFill="1" applyBorder="1" applyAlignment="1">
      <x:alignment vertical="center" wrapText="1"/>
    </x:xf>
    <x:xf numFmtId="0" fontId="7" fillId="12" borderId="20" xfId="0" applyNumberFormat="1" applyFont="1" applyFill="1" applyBorder="1" applyAlignment="1">
      <x:alignment vertical="center" wrapText="1"/>
    </x:xf>
    <x:xf numFmtId="0" fontId="8" fillId="12" borderId="18" xfId="0" applyNumberFormat="1" applyFont="1" applyFill="1" applyBorder="1" applyAlignment="1">
      <x:alignment vertical="center" wrapText="1"/>
    </x:xf>
    <x:xf numFmtId="0" fontId="8" fillId="12" borderId="19" xfId="0" applyNumberFormat="1" applyFont="1" applyFill="1" applyBorder="1" applyAlignment="1">
      <x:alignment vertical="center" wrapText="1"/>
    </x:xf>
    <x:xf numFmtId="0" fontId="8" fillId="12" borderId="20" xfId="0" applyNumberFormat="1" applyFont="1" applyFill="1" applyBorder="1" applyAlignment="1">
      <x:alignment vertical="center" wrapText="1"/>
    </x:xf>
    <x:xf numFmtId="0" fontId="0" fillId="13" borderId="0" xfId="0" applyNumberFormat="1" applyFont="1" applyFill="1" applyBorder="1"/>
    <x:xf numFmtId="0" fontId="9" fillId="13" borderId="0" xfId="0" applyNumberFormat="1" applyFont="1" applyFill="1" applyBorder="1"/>
    <x:xf numFmtId="0" fontId="9" fillId="13" borderId="21" xfId="0" applyNumberFormat="1" applyFont="1" applyFill="1" applyBorder="1"/>
    <x:xf numFmtId="0" fontId="9" fillId="13" borderId="22" xfId="0" applyNumberFormat="1" applyFont="1" applyFill="1" applyBorder="1"/>
    <x:xf numFmtId="0" fontId="9" fillId="13" borderId="23" xfId="0" applyNumberFormat="1" applyFont="1" applyFill="1" applyBorder="1"/>
    <x:xf numFmtId="0" fontId="9" fillId="13" borderId="24" xfId="0" applyNumberFormat="1" applyFont="1" applyFill="1" applyBorder="1"/>
    <x:xf numFmtId="0" fontId="9" fillId="13" borderId="25" xfId="0" applyNumberFormat="1" applyFont="1" applyFill="1" applyBorder="1"/>
    <x:xf numFmtId="0" fontId="9" fillId="13" borderId="26" xfId="0" applyNumberFormat="1" applyFont="1" applyFill="1" applyBorder="1"/>
    <x:xf numFmtId="0" fontId="9" fillId="13" borderId="27" xfId="0" applyNumberFormat="1" applyFont="1" applyFill="1" applyBorder="1"/>
    <x:xf numFmtId="0" fontId="9" fillId="13" borderId="28" xfId="0" applyNumberFormat="1" applyFont="1" applyFill="1" applyBorder="1"/>
    <x:xf numFmtId="0" fontId="9" fillId="13" borderId="21" xfId="0" applyNumberFormat="1" applyFont="1" applyFill="1" applyBorder="1" applyAlignment="1">
      <x:alignment wrapText="1"/>
    </x:xf>
    <x:xf numFmtId="0" fontId="9" fillId="13" borderId="22" xfId="0" applyNumberFormat="1" applyFont="1" applyFill="1" applyBorder="1" applyAlignment="1">
      <x:alignment wrapText="1"/>
    </x:xf>
    <x:xf numFmtId="0" fontId="9" fillId="13" borderId="23" xfId="0" applyNumberFormat="1" applyFont="1" applyFill="1" applyBorder="1" applyAlignment="1">
      <x:alignment wrapText="1"/>
    </x:xf>
    <x:xf numFmtId="0" fontId="9" fillId="13" borderId="24" xfId="0" applyNumberFormat="1" applyFont="1" applyFill="1" applyBorder="1" applyAlignment="1">
      <x:alignment wrapText="1"/>
    </x:xf>
    <x:xf numFmtId="0" fontId="9" fillId="13" borderId="0" xfId="0" applyNumberFormat="1" applyFont="1" applyFill="1" applyBorder="1" applyAlignment="1">
      <x:alignment wrapText="1"/>
    </x:xf>
    <x:xf numFmtId="0" fontId="9" fillId="13" borderId="25" xfId="0" applyNumberFormat="1" applyFont="1" applyFill="1" applyBorder="1" applyAlignment="1">
      <x:alignment wrapText="1"/>
    </x:xf>
    <x:xf numFmtId="0" fontId="9" fillId="13" borderId="26" xfId="0" applyNumberFormat="1" applyFont="1" applyFill="1" applyBorder="1" applyAlignment="1">
      <x:alignment wrapText="1"/>
    </x:xf>
    <x:xf numFmtId="0" fontId="9" fillId="13" borderId="27" xfId="0" applyNumberFormat="1" applyFont="1" applyFill="1" applyBorder="1" applyAlignment="1">
      <x:alignment wrapText="1"/>
    </x:xf>
    <x:xf numFmtId="0" fontId="9" fillId="13" borderId="28" xfId="0" applyNumberFormat="1" applyFont="1" applyFill="1" applyBorder="1" applyAlignment="1">
      <x:alignment wrapText="1"/>
    </x:xf>
    <x:xf numFmtId="0" fontId="9" fillId="13" borderId="21" xfId="0" applyNumberFormat="1" applyFont="1" applyFill="1" applyBorder="1" applyAlignment="1">
      <x:alignment vertical="top" wrapText="1"/>
    </x:xf>
    <x:xf numFmtId="0" fontId="9" fillId="13" borderId="22" xfId="0" applyNumberFormat="1" applyFont="1" applyFill="1" applyBorder="1" applyAlignment="1">
      <x:alignment vertical="top" wrapText="1"/>
    </x:xf>
    <x:xf numFmtId="0" fontId="9" fillId="13" borderId="23" xfId="0" applyNumberFormat="1" applyFont="1" applyFill="1" applyBorder="1" applyAlignment="1">
      <x:alignment vertical="top" wrapText="1"/>
    </x:xf>
    <x:xf numFmtId="0" fontId="9" fillId="13" borderId="24" xfId="0" applyNumberFormat="1" applyFont="1" applyFill="1" applyBorder="1" applyAlignment="1">
      <x:alignment vertical="top" wrapText="1"/>
    </x:xf>
    <x:xf numFmtId="0" fontId="9" fillId="13" borderId="0" xfId="0" applyNumberFormat="1" applyFont="1" applyFill="1" applyBorder="1" applyAlignment="1">
      <x:alignment vertical="top" wrapText="1"/>
    </x:xf>
    <x:xf numFmtId="0" fontId="9" fillId="13" borderId="25" xfId="0" applyNumberFormat="1" applyFont="1" applyFill="1" applyBorder="1" applyAlignment="1">
      <x:alignment vertical="top" wrapText="1"/>
    </x:xf>
    <x:xf numFmtId="0" fontId="9" fillId="13" borderId="26" xfId="0" applyNumberFormat="1" applyFont="1" applyFill="1" applyBorder="1" applyAlignment="1">
      <x:alignment vertical="top" wrapText="1"/>
    </x:xf>
    <x:xf numFmtId="0" fontId="9" fillId="13" borderId="27" xfId="0" applyNumberFormat="1" applyFont="1" applyFill="1" applyBorder="1" applyAlignment="1">
      <x:alignment vertical="top" wrapText="1"/>
    </x:xf>
    <x:xf numFmtId="0" fontId="9" fillId="13" borderId="28" xfId="0" applyNumberFormat="1" applyFont="1" applyFill="1" applyBorder="1" applyAlignment="1">
      <x:alignment vertical="top" wrapText="1"/>
    </x:xf>
    <x:xf numFmtId="0" fontId="3" fillId="4"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200" fontId="5" fillId="5" borderId="0" xfId="0" applyNumberFormat="1" applyFont="1" applyFill="1" applyBorder="1" applyAlignment="1">
      <x:alignment vertical="center"/>
    </x:xf>
    <x:xf numFmtId="0" fontId="4" fillId="3" borderId="1" xfId="0" applyNumberFormat="1" applyFont="1" applyFill="1" applyBorder="1" applyAlignment="1">
      <x:alignment vertical="center" wrapText="1"/>
    </x:xf>
    <x:xf numFmtId="0" fontId="4" fillId="3" borderId="2"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201" fontId="5" fillId="5" borderId="0" xfId="0" applyNumberFormat="1" applyFont="1" applyFill="1" applyBorder="1" applyAlignment="1">
      <x:alignment vertical="center"/>
    </x:xf>
    <x:xf numFmtId="202" fontId="5"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4" fillId="3" borderId="6" xfId="0" applyNumberFormat="1" applyFont="1" applyFill="1" applyBorder="1" applyAlignment="1">
      <x:alignment vertical="center" wrapText="1"/>
    </x:xf>
    <x:xf numFmtId="0" fontId="4" fillId="3" borderId="7" xfId="0" applyNumberFormat="1" applyFont="1" applyFill="1" applyBorder="1" applyAlignment="1">
      <x:alignment vertical="center" wrapText="1"/>
    </x:xf>
    <x:xf numFmtId="0" fontId="4" fillId="3" borderId="8" xfId="0" applyNumberFormat="1" applyFont="1" applyFill="1" applyBorder="1" applyAlignment="1">
      <x:alignment vertical="center" wrapText="1"/>
    </x:xf>
    <x:xf numFmtId="0" fontId="3" fillId="6" borderId="0" xfId="0" applyNumberFormat="1" applyFont="1" applyFill="1" applyBorder="1" applyAlignment="1">
      <x:alignment vertical="center"/>
    </x:xf>
    <x:xf numFmtId="0" fontId="4" fillId="7" borderId="1" xfId="0" applyNumberFormat="1" applyFont="1" applyFill="1" applyBorder="1" applyAlignment="1">
      <x:alignment vertical="center" wrapText="1"/>
    </x:xf>
    <x:xf numFmtId="0" fontId="4" fillId="7" borderId="2" xfId="0" applyNumberFormat="1" applyFont="1" applyFill="1" applyBorder="1" applyAlignment="1">
      <x:alignment vertical="center" wrapText="1"/>
    </x:xf>
    <x:xf numFmtId="0" fontId="4" fillId="7" borderId="3" xfId="0" applyNumberFormat="1" applyFont="1" applyFill="1" applyBorder="1" applyAlignment="1">
      <x:alignment vertical="center" wrapText="1"/>
    </x:xf>
    <x:xf numFmtId="0" fontId="4" fillId="7" borderId="4"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4" fillId="7" borderId="5" xfId="0" applyNumberFormat="1" applyFont="1" applyFill="1" applyBorder="1" applyAlignment="1">
      <x:alignment vertical="center" wrapText="1"/>
    </x:xf>
    <x:xf numFmtId="0" fontId="4" fillId="7" borderId="6" xfId="0" applyNumberFormat="1" applyFont="1" applyFill="1" applyBorder="1" applyAlignment="1">
      <x:alignment vertical="center" wrapText="1"/>
    </x:xf>
    <x:xf numFmtId="0" fontId="4" fillId="7" borderId="7" xfId="0" applyNumberFormat="1" applyFont="1" applyFill="1" applyBorder="1" applyAlignment="1">
      <x:alignment vertical="center" wrapText="1"/>
    </x:xf>
    <x:xf numFmtId="0" fontId="4" fillId="7" borderId="8" xfId="0" applyNumberFormat="1" applyFont="1" applyFill="1" applyBorder="1" applyAlignment="1">
      <x:alignment vertical="center" wrapText="1"/>
    </x:xf>
    <x:xf numFmtId="0" fontId="3" fillId="8" borderId="0" xfId="0" applyNumberFormat="1" applyFont="1" applyFill="1" applyBorder="1" applyAlignment="1">
      <x:alignment vertical="center"/>
    </x:xf>
    <x:xf numFmtId="0" fontId="6" fillId="9" borderId="9" xfId="0" applyNumberFormat="1" applyFont="1" applyFill="1" applyBorder="1" applyAlignment="1">
      <x:alignment vertical="center" wrapText="1"/>
    </x:xf>
    <x:xf numFmtId="0" fontId="6" fillId="9" borderId="10" xfId="0" applyNumberFormat="1" applyFont="1" applyFill="1" applyBorder="1" applyAlignment="1">
      <x:alignment vertical="center" wrapText="1"/>
    </x:xf>
    <x:xf numFmtId="0" fontId="6" fillId="9" borderId="11" xfId="0" applyNumberFormat="1" applyFont="1" applyFill="1" applyBorder="1" applyAlignment="1">
      <x:alignment vertical="center" wrapText="1"/>
    </x:xf>
    <x:xf numFmtId="0" fontId="6" fillId="9" borderId="12"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0" fontId="6" fillId="9" borderId="13" xfId="0" applyNumberFormat="1" applyFont="1" applyFill="1" applyBorder="1" applyAlignment="1">
      <x:alignment vertical="center" wrapText="1"/>
    </x:xf>
    <x:xf numFmtId="0" fontId="6" fillId="9" borderId="14" xfId="0" applyNumberFormat="1" applyFont="1" applyFill="1" applyBorder="1" applyAlignment="1">
      <x:alignment vertical="center" wrapText="1"/>
    </x:xf>
    <x:xf numFmtId="0" fontId="6" fillId="9" borderId="15" xfId="0" applyNumberFormat="1" applyFont="1" applyFill="1" applyBorder="1" applyAlignment="1">
      <x:alignment vertical="center" wrapText="1"/>
    </x:xf>
    <x:xf numFmtId="0" fontId="6" fillId="9" borderId="16" xfId="0" applyNumberFormat="1" applyFont="1" applyFill="1" applyBorder="1" applyAlignment="1">
      <x:alignment vertical="center" wrapText="1"/>
    </x:xf>
    <x:xf numFmtId="0" fontId="10" fillId="2" borderId="0" xfId="0" applyNumberFormat="1" applyFont="1" applyFill="1" applyBorder="1" applyAlignment="1">
      <x:alignment horizontal="left" vertical="center"/>
    </x:xf>
    <x:xf numFmtId="0" fontId="11" fillId="3" borderId="0" xfId="0" applyNumberFormat="1" applyFont="1" applyFill="1" applyBorder="1" applyAlignment="1">
      <x:alignment vertical="center" wrapText="1"/>
    </x:xf>
    <x:xf numFmtId="0" fontId="12" fillId="0" borderId="0" xfId="0" applyNumberFormat="1" applyFont="1" applyFill="1" applyBorder="1"/>
    <x:xf numFmtId="0" fontId="13" fillId="4" borderId="0" xfId="0" applyNumberFormat="1" applyFont="1" applyFill="1" applyBorder="1" applyAlignment="1">
      <x:alignment vertical="center"/>
    </x:xf>
    <x:xf numFmtId="0" fontId="12" fillId="0" borderId="0" xfId="0" applyNumberFormat="1" applyFont="1" applyFill="1" applyBorder="1" applyAlignment="1">
      <x:alignment vertical="center"/>
    </x:xf>
    <x:xf numFmtId="0" fontId="14" fillId="5" borderId="0" xfId="0" applyNumberFormat="1" applyFont="1" applyFill="1" applyBorder="1" applyAlignment="1">
      <x:alignment vertical="center"/>
    </x:xf>
    <x:xf numFmtId="200" fontId="15" fillId="5" borderId="0" xfId="0" applyNumberFormat="1" applyFont="1" applyFill="1" applyBorder="1" applyAlignment="1">
      <x:alignment vertical="center"/>
    </x:xf>
    <x:xf numFmtId="0" fontId="14" fillId="3" borderId="1" xfId="0" applyNumberFormat="1" applyFont="1" applyFill="1" applyBorder="1" applyAlignment="1">
      <x:alignment vertical="center" wrapText="1"/>
    </x:xf>
    <x:xf numFmtId="0" fontId="14" fillId="3" borderId="2" xfId="0" applyNumberFormat="1" applyFont="1" applyFill="1" applyBorder="1" applyAlignment="1">
      <x:alignment vertical="center" wrapText="1"/>
    </x:xf>
    <x:xf numFmtId="0" fontId="14" fillId="3" borderId="3" xfId="0" applyNumberFormat="1" applyFont="1" applyFill="1" applyBorder="1" applyAlignment="1">
      <x:alignment vertical="center" wrapText="1"/>
    </x:xf>
    <x:xf numFmtId="0" fontId="14" fillId="3" borderId="4" xfId="0" applyNumberFormat="1" applyFont="1" applyFill="1" applyBorder="1" applyAlignment="1">
      <x:alignment vertical="center" wrapText="1"/>
    </x:xf>
    <x:xf numFmtId="0" fontId="14" fillId="3" borderId="0" xfId="0" applyNumberFormat="1" applyFont="1" applyFill="1" applyBorder="1" applyAlignment="1">
      <x:alignment vertical="center" wrapText="1"/>
    </x:xf>
    <x:xf numFmtId="0" fontId="14" fillId="3" borderId="5" xfId="0" applyNumberFormat="1" applyFont="1" applyFill="1" applyBorder="1" applyAlignment="1">
      <x:alignment vertical="center" wrapText="1"/>
    </x:xf>
    <x:xf numFmtId="201" fontId="15" fillId="5" borderId="0" xfId="0" applyNumberFormat="1" applyFont="1" applyFill="1" applyBorder="1" applyAlignment="1">
      <x:alignment vertical="center"/>
    </x:xf>
    <x:xf numFmtId="202" fontId="15"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4" fillId="3" borderId="6" xfId="0" applyNumberFormat="1" applyFont="1" applyFill="1" applyBorder="1" applyAlignment="1">
      <x:alignment vertical="center" wrapText="1"/>
    </x:xf>
    <x:xf numFmtId="0" fontId="14" fillId="3" borderId="7" xfId="0" applyNumberFormat="1" applyFont="1" applyFill="1" applyBorder="1" applyAlignment="1">
      <x:alignment vertical="center" wrapText="1"/>
    </x:xf>
    <x:xf numFmtId="0" fontId="14" fillId="3" borderId="8"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4" fillId="7" borderId="1" xfId="0" applyNumberFormat="1" applyFont="1" applyFill="1" applyBorder="1" applyAlignment="1">
      <x:alignment vertical="center" wrapText="1"/>
    </x:xf>
    <x:xf numFmtId="0" fontId="14" fillId="7" borderId="2" xfId="0" applyNumberFormat="1" applyFont="1" applyFill="1" applyBorder="1" applyAlignment="1">
      <x:alignment vertical="center" wrapText="1"/>
    </x:xf>
    <x:xf numFmtId="0" fontId="14" fillId="7" borderId="3" xfId="0" applyNumberFormat="1" applyFont="1" applyFill="1" applyBorder="1" applyAlignment="1">
      <x:alignment vertical="center" wrapText="1"/>
    </x:xf>
    <x:xf numFmtId="0" fontId="14" fillId="7" borderId="4" xfId="0" applyNumberFormat="1" applyFont="1" applyFill="1" applyBorder="1" applyAlignment="1">
      <x:alignment vertical="center" wrapText="1"/>
    </x:xf>
    <x:xf numFmtId="0" fontId="14" fillId="7" borderId="0" xfId="0" applyNumberFormat="1" applyFont="1" applyFill="1" applyBorder="1" applyAlignment="1">
      <x:alignment vertical="center" wrapText="1"/>
    </x:xf>
    <x:xf numFmtId="0" fontId="14" fillId="7" borderId="5" xfId="0" applyNumberFormat="1" applyFont="1" applyFill="1" applyBorder="1" applyAlignment="1">
      <x:alignment vertical="center" wrapText="1"/>
    </x:xf>
    <x:xf numFmtId="0" fontId="14" fillId="7" borderId="6" xfId="0" applyNumberFormat="1" applyFont="1" applyFill="1" applyBorder="1" applyAlignment="1">
      <x:alignment vertical="center" wrapText="1"/>
    </x:xf>
    <x:xf numFmtId="0" fontId="14" fillId="7" borderId="7" xfId="0" applyNumberFormat="1" applyFont="1" applyFill="1" applyBorder="1" applyAlignment="1">
      <x:alignment vertical="center" wrapText="1"/>
    </x:xf>
    <x:xf numFmtId="0" fontId="14" fillId="7" borderId="8" xfId="0" applyNumberFormat="1" applyFont="1" applyFill="1" applyBorder="1" applyAlignment="1">
      <x:alignment vertical="center" wrapText="1"/>
    </x:xf>
    <x:xf numFmtId="0" fontId="13" fillId="8" borderId="0" xfId="0" applyNumberFormat="1" applyFont="1" applyFill="1" applyBorder="1" applyAlignment="1">
      <x:alignment vertical="center"/>
    </x:xf>
    <x:xf numFmtId="0" fontId="16" fillId="9" borderId="9" xfId="0" applyNumberFormat="1" applyFont="1" applyFill="1" applyBorder="1" applyAlignment="1">
      <x:alignment vertical="center" wrapText="1"/>
    </x:xf>
    <x:xf numFmtId="0" fontId="16" fillId="9" borderId="10" xfId="0" applyNumberFormat="1" applyFont="1" applyFill="1" applyBorder="1" applyAlignment="1">
      <x:alignment vertical="center" wrapText="1"/>
    </x:xf>
    <x:xf numFmtId="0" fontId="16" fillId="9" borderId="11" xfId="0" applyNumberFormat="1" applyFont="1" applyFill="1" applyBorder="1" applyAlignment="1">
      <x:alignment vertical="center" wrapText="1"/>
    </x:xf>
    <x:xf numFmtId="0" fontId="16" fillId="9" borderId="12" xfId="0" applyNumberFormat="1" applyFont="1" applyFill="1" applyBorder="1" applyAlignment="1">
      <x:alignment vertical="center" wrapText="1"/>
    </x:xf>
    <x:xf numFmtId="0" fontId="16" fillId="9" borderId="0" xfId="0" applyNumberFormat="1" applyFont="1" applyFill="1" applyBorder="1" applyAlignment="1">
      <x:alignment vertical="center" wrapText="1"/>
    </x:xf>
    <x:xf numFmtId="0" fontId="16" fillId="9" borderId="13" xfId="0" applyNumberFormat="1" applyFont="1" applyFill="1" applyBorder="1" applyAlignment="1">
      <x:alignment vertical="center" wrapText="1"/>
    </x:xf>
    <x:xf numFmtId="0" fontId="16" fillId="9" borderId="14" xfId="0" applyNumberFormat="1" applyFont="1" applyFill="1" applyBorder="1" applyAlignment="1">
      <x:alignment vertical="center" wrapText="1"/>
    </x:xf>
    <x:xf numFmtId="0" fontId="16" fillId="9" borderId="15" xfId="0" applyNumberFormat="1" applyFont="1" applyFill="1" applyBorder="1" applyAlignment="1">
      <x:alignment vertical="center" wrapText="1"/>
    </x:xf>
    <x:xf numFmtId="0" fontId="16" fillId="9" borderId="16" xfId="0" applyNumberFormat="1" applyFont="1" applyFill="1" applyBorder="1" applyAlignment="1">
      <x:alignment vertical="center" wrapText="1"/>
    </x:xf>
    <x:xf numFmtId="0" fontId="13" fillId="4" borderId="0" xfId="0" applyNumberFormat="1" applyFont="1" applyFill="1" applyBorder="1" applyAlignment="1">
      <x:alignment wrapText="1"/>
    </x:xf>
    <x:xf numFmtId="0" fontId="17" fillId="5" borderId="7" xfId="0" applyNumberFormat="1" applyFont="1" applyFill="1" applyBorder="1"/>
    <x:xf numFmtId="200" fontId="17" fillId="5" borderId="7" xfId="0" applyNumberFormat="1" applyFont="1" applyFill="1" applyBorder="1"/>
    <x:xf numFmtId="202" fontId="17" fillId="5" borderId="7" xfId="0" applyNumberFormat="1" applyFont="1" applyFill="1" applyBorder="1"/>
    <x:xf numFmtId="0" fontId="17" fillId="5" borderId="17" xfId="0" applyNumberFormat="1" applyFont="1" applyFill="1" applyBorder="1"/>
    <x:xf numFmtId="200" fontId="17" fillId="5" borderId="17" xfId="0" applyNumberFormat="1" applyFont="1" applyFill="1" applyBorder="1"/>
    <x:xf numFmtId="202" fontId="17" fillId="5" borderId="17" xfId="0" applyNumberFormat="1" applyFont="1" applyFill="1" applyBorder="1"/>
    <x:xf numFmtId="0" fontId="17" fillId="5" borderId="2" xfId="0" applyNumberFormat="1" applyFont="1" applyFill="1" applyBorder="1"/>
    <x:xf numFmtId="200" fontId="17" fillId="5" borderId="2" xfId="0" applyNumberFormat="1" applyFont="1" applyFill="1" applyBorder="1"/>
    <x:xf numFmtId="202" fontId="17" fillId="5" borderId="2" xfId="0" applyNumberFormat="1" applyFont="1" applyFill="1" applyBorder="1"/>
    <x:xf numFmtId="0" fontId="11" fillId="10" borderId="1" xfId="0" applyNumberFormat="1" applyFont="1" applyFill="1" applyBorder="1" applyAlignment="1">
      <x:alignment vertical="top" wrapText="1"/>
    </x:xf>
    <x:xf numFmtId="0" fontId="11" fillId="10" borderId="2" xfId="0" applyNumberFormat="1" applyFont="1" applyFill="1" applyBorder="1" applyAlignment="1">
      <x:alignment vertical="top" wrapText="1"/>
    </x:xf>
    <x:xf numFmtId="0" fontId="11" fillId="10" borderId="3" xfId="0" applyNumberFormat="1" applyFont="1" applyFill="1" applyBorder="1" applyAlignment="1">
      <x:alignment vertical="top" wrapText="1"/>
    </x:xf>
    <x:xf numFmtId="0" fontId="11" fillId="10" borderId="4" xfId="0" applyNumberFormat="1" applyFont="1" applyFill="1" applyBorder="1" applyAlignment="1">
      <x:alignment vertical="top" wrapText="1"/>
    </x:xf>
    <x:xf numFmtId="0" fontId="11" fillId="10" borderId="0" xfId="0" applyNumberFormat="1" applyFont="1" applyFill="1" applyBorder="1" applyAlignment="1">
      <x:alignment vertical="top" wrapText="1"/>
    </x:xf>
    <x:xf numFmtId="0" fontId="11" fillId="10" borderId="5" xfId="0" applyNumberFormat="1" applyFont="1" applyFill="1" applyBorder="1" applyAlignment="1">
      <x:alignment vertical="top" wrapText="1"/>
    </x:xf>
    <x:xf numFmtId="0" fontId="11" fillId="10" borderId="6" xfId="0" applyNumberFormat="1" applyFont="1" applyFill="1" applyBorder="1" applyAlignment="1">
      <x:alignment vertical="top" wrapText="1"/>
    </x:xf>
    <x:xf numFmtId="0" fontId="11" fillId="10" borderId="7" xfId="0" applyNumberFormat="1" applyFont="1" applyFill="1" applyBorder="1" applyAlignment="1">
      <x:alignment vertical="top" wrapText="1"/>
    </x:xf>
    <x:xf numFmtId="0" fontId="11" fillId="10" borderId="8" xfId="0" applyNumberFormat="1" applyFont="1" applyFill="1" applyBorder="1" applyAlignment="1">
      <x:alignment vertical="top" wrapText="1"/>
    </x:xf>
    <x:xf numFmtId="0" fontId="13" fillId="11" borderId="0" xfId="0" applyNumberFormat="1" applyFont="1" applyFill="1" applyBorder="1"/>
    <x:xf numFmtId="0" fontId="18" fillId="12" borderId="18" xfId="0" applyNumberFormat="1" applyFont="1" applyFill="1" applyBorder="1" applyAlignment="1">
      <x:alignment vertical="center" wrapText="1"/>
    </x:xf>
    <x:xf numFmtId="0" fontId="17" fillId="12" borderId="18" xfId="0" applyNumberFormat="1" applyFont="1" applyFill="1" applyBorder="1" applyAlignment="1">
      <x:alignment vertical="center" wrapText="1"/>
    </x:xf>
    <x:xf numFmtId="0" fontId="18" fillId="12" borderId="19" xfId="0" applyNumberFormat="1" applyFont="1" applyFill="1" applyBorder="1" applyAlignment="1">
      <x:alignment vertical="center" wrapText="1"/>
    </x:xf>
    <x:xf numFmtId="0" fontId="17" fillId="12" borderId="19" xfId="0" applyNumberFormat="1" applyFont="1" applyFill="1" applyBorder="1" applyAlignment="1">
      <x:alignment vertical="center" wrapText="1"/>
    </x:xf>
    <x:xf numFmtId="0" fontId="18" fillId="12" borderId="20" xfId="0" applyNumberFormat="1" applyFont="1" applyFill="1" applyBorder="1" applyAlignment="1">
      <x:alignment vertical="center" wrapText="1"/>
    </x:xf>
    <x:xf numFmtId="0" fontId="17" fillId="12" borderId="20" xfId="0" applyNumberFormat="1" applyFont="1" applyFill="1" applyBorder="1" applyAlignment="1">
      <x:alignment vertical="center" wrapText="1"/>
    </x:xf>
    <x:xf numFmtId="0" fontId="19" fillId="13" borderId="21" xfId="0" applyNumberFormat="1" applyFont="1" applyFill="1" applyBorder="1" applyAlignment="1">
      <x:alignment vertical="top" wrapText="1"/>
    </x:xf>
    <x:xf numFmtId="0" fontId="19" fillId="13" borderId="22" xfId="0" applyNumberFormat="1" applyFont="1" applyFill="1" applyBorder="1" applyAlignment="1">
      <x:alignment vertical="top" wrapText="1"/>
    </x:xf>
    <x:xf numFmtId="0" fontId="19" fillId="13" borderId="23" xfId="0" applyNumberFormat="1" applyFont="1" applyFill="1" applyBorder="1" applyAlignment="1">
      <x:alignment vertical="top" wrapText="1"/>
    </x:xf>
    <x:xf numFmtId="0" fontId="19" fillId="13" borderId="24" xfId="0" applyNumberFormat="1" applyFont="1" applyFill="1" applyBorder="1" applyAlignment="1">
      <x:alignment vertical="top" wrapText="1"/>
    </x:xf>
    <x:xf numFmtId="0" fontId="19" fillId="13" borderId="0" xfId="0" applyNumberFormat="1" applyFont="1" applyFill="1" applyBorder="1" applyAlignment="1">
      <x:alignment vertical="top" wrapText="1"/>
    </x:xf>
    <x:xf numFmtId="0" fontId="19" fillId="13" borderId="25" xfId="0" applyNumberFormat="1" applyFont="1" applyFill="1" applyBorder="1" applyAlignment="1">
      <x:alignment vertical="top" wrapText="1"/>
    </x:xf>
    <x:xf numFmtId="0" fontId="19" fillId="13" borderId="26" xfId="0" applyNumberFormat="1" applyFont="1" applyFill="1" applyBorder="1" applyAlignment="1">
      <x:alignment vertical="top" wrapText="1"/>
    </x:xf>
    <x:xf numFmtId="0" fontId="19" fillId="13" borderId="27" xfId="0" applyNumberFormat="1" applyFont="1" applyFill="1" applyBorder="1" applyAlignment="1">
      <x:alignment vertical="top" wrapText="1"/>
    </x:xf>
    <x:xf numFmtId="0" fontId="19" fillId="13" borderId="28" xfId="0" applyNumberFormat="1" applyFont="1" applyFill="1" applyBorder="1" applyAlignment="1">
      <x:alignment vertical="top" wrapText="1"/>
    </x:xf>
    <x:xf numFmtId="0" fontId="20" fillId="2" borderId="0" xfId="0" applyNumberFormat="1" applyFont="1" applyFill="1" applyBorder="1"/>
    <x:xf numFmtId="0" fontId="20" fillId="2" borderId="0" xfId="0" applyNumberFormat="1" applyFont="1" applyFill="1" applyBorder="1" applyAlignment="1">
      <x:alignment wrapText="1"/>
    </x:xf>
    <x:xf numFmtId="0" fontId="20" fillId="2" borderId="0" xfId="0" applyNumberFormat="1" applyFont="1" applyFill="1" applyBorder="1" applyAlignment="1">
      <x:alignment vertical="center" wrapText="1"/>
    </x:xf>
    <x:xf numFmtId="203" fontId="0" fillId="0" borderId="0" xfId="0" applyNumberFormat="1" applyFont="1" applyFill="1" applyBorder="1"/>
    <x:xf numFmtId="204" fontId="0" fillId="0" borderId="0" xfId="0" applyNumberFormat="1" applyFont="1" applyFill="1" applyBorder="1"/>
    <x:xf numFmtId="0" fontId="21" fillId="0" borderId="0" xfId="0" applyNumberFormat="1" applyFont="1" applyFill="1" applyBorder="1"/>
    <x:xf numFmtId="200" fontId="21" fillId="0" borderId="0" xfId="0" applyNumberFormat="1" applyFont="1" applyFill="1" applyBorder="1"/>
    <x:xf numFmtId="202" fontId="21" fillId="0" borderId="0" xfId="0" applyNumberFormat="1" applyFont="1" applyFill="1" applyBorder="1"/>
    <x:xf numFmtId="203" fontId="21" fillId="0" borderId="0" xfId="0" applyNumberFormat="1" applyFont="1" applyFill="1" applyBorder="1"/>
    <x:xf numFmtId="204" fontId="21" fillId="0" borderId="0" xfId="0" applyNumberFormat="1" applyFont="1" applyFill="1" applyBorder="1"/>
    <x:xf numFmtId="0" fontId="21" fillId="0" borderId="29" xfId="0" applyNumberFormat="1" applyFont="1" applyFill="1" applyBorder="1"/>
    <x:xf numFmtId="200" fontId="21" fillId="0" borderId="29" xfId="0" applyNumberFormat="1" applyFont="1" applyFill="1" applyBorder="1"/>
    <x:xf numFmtId="202" fontId="21" fillId="0" borderId="29" xfId="0" applyNumberFormat="1" applyFont="1" applyFill="1" applyBorder="1"/>
    <x:xf numFmtId="203" fontId="21" fillId="0" borderId="29" xfId="0" applyNumberFormat="1" applyFont="1" applyFill="1" applyBorder="1"/>
    <x:xf numFmtId="204" fontId="21" fillId="0" borderId="29" xfId="0" applyNumberFormat="1" applyFont="1" applyFill="1" applyBorder="1"/>
    <x:xf numFmtId="0" fontId="21" fillId="0" borderId="30" xfId="0" applyNumberFormat="1" applyFont="1" applyFill="1" applyBorder="1"/>
    <x:xf numFmtId="200" fontId="21" fillId="0" borderId="30" xfId="0" applyNumberFormat="1" applyFont="1" applyFill="1" applyBorder="1"/>
    <x:xf numFmtId="202" fontId="21" fillId="0" borderId="30" xfId="0" applyNumberFormat="1" applyFont="1" applyFill="1" applyBorder="1"/>
    <x:xf numFmtId="203" fontId="21" fillId="0" borderId="30" xfId="0" applyNumberFormat="1" applyFont="1" applyFill="1" applyBorder="1"/>
    <x:xf numFmtId="204" fontId="21" fillId="0" borderId="30" xfId="0" applyNumberFormat="1" applyFont="1" applyFill="1" applyBorder="1"/>
    <x:xf numFmtId="0" fontId="21" fillId="0" borderId="31" xfId="0" applyNumberFormat="1" applyFont="1" applyFill="1" applyBorder="1"/>
    <x:xf numFmtId="200" fontId="21" fillId="0" borderId="31" xfId="0" applyNumberFormat="1" applyFont="1" applyFill="1" applyBorder="1"/>
    <x:xf numFmtId="202" fontId="21" fillId="0" borderId="31" xfId="0" applyNumberFormat="1" applyFont="1" applyFill="1" applyBorder="1"/>
    <x:xf numFmtId="203" fontId="21" fillId="0" borderId="31" xfId="0" applyNumberFormat="1" applyFont="1" applyFill="1" applyBorder="1"/>
    <x:xf numFmtId="204" fontId="21" fillId="0" borderId="31" xfId="0" applyNumberFormat="1" applyFont="1" applyFill="1" applyBorder="1"/>
    <x:xf numFmtId="0" fontId="21" fillId="0" borderId="29" xfId="0" applyNumberFormat="1" applyFont="1" applyFill="1" applyBorder="1" applyAlignment="1">
      <x:alignment wrapText="1"/>
    </x:xf>
    <x:xf numFmtId="200" fontId="21" fillId="0" borderId="29" xfId="0" applyNumberFormat="1" applyFont="1" applyFill="1" applyBorder="1" applyAlignment="1">
      <x:alignment wrapText="1"/>
    </x:xf>
    <x:xf numFmtId="202" fontId="21" fillId="0" borderId="29" xfId="0" applyNumberFormat="1" applyFont="1" applyFill="1" applyBorder="1" applyAlignment="1">
      <x:alignment wrapText="1"/>
    </x:xf>
    <x:xf numFmtId="203" fontId="21" fillId="0" borderId="29" xfId="0" applyNumberFormat="1" applyFont="1" applyFill="1" applyBorder="1" applyAlignment="1">
      <x:alignment wrapText="1"/>
    </x:xf>
    <x:xf numFmtId="204" fontId="21" fillId="0" borderId="29" xfId="0" applyNumberFormat="1" applyFont="1" applyFill="1" applyBorder="1" applyAlignment="1">
      <x:alignment wrapText="1"/>
    </x:xf>
    <x:xf numFmtId="0" fontId="21" fillId="0" borderId="30" xfId="0" applyNumberFormat="1" applyFont="1" applyFill="1" applyBorder="1" applyAlignment="1">
      <x:alignment wrapText="1"/>
    </x:xf>
    <x:xf numFmtId="200" fontId="21" fillId="0" borderId="30" xfId="0" applyNumberFormat="1" applyFont="1" applyFill="1" applyBorder="1" applyAlignment="1">
      <x:alignment wrapText="1"/>
    </x:xf>
    <x:xf numFmtId="202" fontId="21" fillId="0" borderId="30" xfId="0" applyNumberFormat="1" applyFont="1" applyFill="1" applyBorder="1" applyAlignment="1">
      <x:alignment wrapText="1"/>
    </x:xf>
    <x:xf numFmtId="203" fontId="21" fillId="0" borderId="30" xfId="0" applyNumberFormat="1" applyFont="1" applyFill="1" applyBorder="1" applyAlignment="1">
      <x:alignment wrapText="1"/>
    </x:xf>
    <x:xf numFmtId="204" fontId="21" fillId="0" borderId="30" xfId="0" applyNumberFormat="1" applyFont="1" applyFill="1" applyBorder="1" applyAlignment="1">
      <x:alignment wrapText="1"/>
    </x:xf>
    <x:xf numFmtId="0" fontId="21" fillId="0" borderId="31" xfId="0" applyNumberFormat="1" applyFont="1" applyFill="1" applyBorder="1" applyAlignment="1">
      <x:alignment wrapText="1"/>
    </x:xf>
    <x:xf numFmtId="200" fontId="21" fillId="0" borderId="31" xfId="0" applyNumberFormat="1" applyFont="1" applyFill="1" applyBorder="1" applyAlignment="1">
      <x:alignment wrapText="1"/>
    </x:xf>
    <x:xf numFmtId="202" fontId="21" fillId="0" borderId="31" xfId="0" applyNumberFormat="1" applyFont="1" applyFill="1" applyBorder="1" applyAlignment="1">
      <x:alignment wrapText="1"/>
    </x:xf>
    <x:xf numFmtId="203" fontId="21" fillId="0" borderId="31" xfId="0" applyNumberFormat="1" applyFont="1" applyFill="1" applyBorder="1" applyAlignment="1">
      <x:alignment wrapText="1"/>
    </x:xf>
    <x:xf numFmtId="204" fontId="21" fillId="0" borderId="31" xfId="0" applyNumberFormat="1" applyFont="1" applyFill="1" applyBorder="1" applyAlignment="1">
      <x:alignment wrapText="1"/>
    </x:xf>
    <x:xf numFmtId="0" fontId="21" fillId="0" borderId="29" xfId="0" applyNumberFormat="1" applyFont="1" applyFill="1" applyBorder="1" applyAlignment="1">
      <x:alignment vertical="top" wrapText="1"/>
    </x:xf>
    <x:xf numFmtId="200" fontId="21" fillId="0" borderId="29" xfId="0" applyNumberFormat="1" applyFont="1" applyFill="1" applyBorder="1" applyAlignment="1">
      <x:alignment vertical="top" wrapText="1"/>
    </x:xf>
    <x:xf numFmtId="202" fontId="21" fillId="0" borderId="29" xfId="0" applyNumberFormat="1" applyFont="1" applyFill="1" applyBorder="1" applyAlignment="1">
      <x:alignment vertical="top" wrapText="1"/>
    </x:xf>
    <x:xf numFmtId="203" fontId="21" fillId="0" borderId="29" xfId="0" applyNumberFormat="1" applyFont="1" applyFill="1" applyBorder="1" applyAlignment="1">
      <x:alignment vertical="top" wrapText="1"/>
    </x:xf>
    <x:xf numFmtId="204" fontId="21" fillId="0" borderId="29" xfId="0" applyNumberFormat="1" applyFont="1" applyFill="1" applyBorder="1" applyAlignment="1">
      <x:alignment vertical="top" wrapText="1"/>
    </x:xf>
    <x:xf numFmtId="0" fontId="21" fillId="0" borderId="30" xfId="0" applyNumberFormat="1" applyFont="1" applyFill="1" applyBorder="1" applyAlignment="1">
      <x:alignment vertical="top" wrapText="1"/>
    </x:xf>
    <x:xf numFmtId="200" fontId="21" fillId="0" borderId="30" xfId="0" applyNumberFormat="1" applyFont="1" applyFill="1" applyBorder="1" applyAlignment="1">
      <x:alignment vertical="top" wrapText="1"/>
    </x:xf>
    <x:xf numFmtId="202" fontId="21" fillId="0" borderId="30" xfId="0" applyNumberFormat="1" applyFont="1" applyFill="1" applyBorder="1" applyAlignment="1">
      <x:alignment vertical="top" wrapText="1"/>
    </x:xf>
    <x:xf numFmtId="203" fontId="21" fillId="0" borderId="30" xfId="0" applyNumberFormat="1" applyFont="1" applyFill="1" applyBorder="1" applyAlignment="1">
      <x:alignment vertical="top" wrapText="1"/>
    </x:xf>
    <x:xf numFmtId="204" fontId="21" fillId="0" borderId="30" xfId="0" applyNumberFormat="1" applyFont="1" applyFill="1" applyBorder="1" applyAlignment="1">
      <x:alignment vertical="top" wrapText="1"/>
    </x:xf>
    <x:xf numFmtId="0" fontId="21" fillId="0" borderId="31" xfId="0" applyNumberFormat="1" applyFont="1" applyFill="1" applyBorder="1" applyAlignment="1">
      <x:alignment vertical="top" wrapText="1"/>
    </x:xf>
    <x:xf numFmtId="200" fontId="21" fillId="0" borderId="31" xfId="0" applyNumberFormat="1" applyFont="1" applyFill="1" applyBorder="1" applyAlignment="1">
      <x:alignment vertical="top" wrapText="1"/>
    </x:xf>
    <x:xf numFmtId="202" fontId="21" fillId="0" borderId="31" xfId="0" applyNumberFormat="1" applyFont="1" applyFill="1" applyBorder="1" applyAlignment="1">
      <x:alignment vertical="top" wrapText="1"/>
    </x:xf>
    <x:xf numFmtId="203" fontId="21" fillId="0" borderId="31" xfId="0" applyNumberFormat="1" applyFont="1" applyFill="1" applyBorder="1" applyAlignment="1">
      <x:alignment vertical="top" wrapText="1"/>
    </x:xf>
    <x:xf numFmtId="204" fontId="21" fillId="0" borderId="31" xfId="0" applyNumberFormat="1" applyFont="1" applyFill="1" applyBorder="1" applyAlignment="1">
      <x:alignment vertical="top" wrapText="1"/>
    </x:xf>
    <x:xf numFmtId="0" fontId="21" fillId="14" borderId="29" xfId="0" applyNumberFormat="1" applyFont="1" applyFill="1" applyBorder="1" applyAlignment="1">
      <x:alignment vertical="top" wrapText="1"/>
    </x:xf>
    <x:xf numFmtId="200" fontId="21" fillId="14" borderId="29" xfId="0" applyNumberFormat="1" applyFont="1" applyFill="1" applyBorder="1" applyAlignment="1">
      <x:alignment vertical="top" wrapText="1"/>
    </x:xf>
    <x:xf numFmtId="202" fontId="21" fillId="14" borderId="29" xfId="0" applyNumberFormat="1" applyFont="1" applyFill="1" applyBorder="1" applyAlignment="1">
      <x:alignment vertical="top" wrapText="1"/>
    </x:xf>
    <x:xf numFmtId="203" fontId="21" fillId="14" borderId="29" xfId="0" applyNumberFormat="1" applyFont="1" applyFill="1" applyBorder="1" applyAlignment="1">
      <x:alignment vertical="top" wrapText="1"/>
    </x:xf>
    <x:xf numFmtId="204" fontId="21" fillId="14" borderId="29" xfId="0" applyNumberFormat="1" applyFont="1" applyFill="1" applyBorder="1" applyAlignment="1">
      <x:alignment vertical="top" wrapText="1"/>
    </x:xf>
    <x:xf numFmtId="0" fontId="21" fillId="14" borderId="30" xfId="0" applyNumberFormat="1" applyFont="1" applyFill="1" applyBorder="1" applyAlignment="1">
      <x:alignment vertical="top" wrapText="1"/>
    </x:xf>
    <x:xf numFmtId="200" fontId="21" fillId="14" borderId="30" xfId="0" applyNumberFormat="1" applyFont="1" applyFill="1" applyBorder="1" applyAlignment="1">
      <x:alignment vertical="top" wrapText="1"/>
    </x:xf>
    <x:xf numFmtId="202" fontId="21" fillId="14" borderId="30" xfId="0" applyNumberFormat="1" applyFont="1" applyFill="1" applyBorder="1" applyAlignment="1">
      <x:alignment vertical="top" wrapText="1"/>
    </x:xf>
    <x:xf numFmtId="203" fontId="21" fillId="14" borderId="30" xfId="0" applyNumberFormat="1" applyFont="1" applyFill="1" applyBorder="1" applyAlignment="1">
      <x:alignment vertical="top" wrapText="1"/>
    </x:xf>
    <x:xf numFmtId="204" fontId="21" fillId="14" borderId="30" xfId="0" applyNumberFormat="1" applyFont="1" applyFill="1" applyBorder="1" applyAlignment="1">
      <x:alignment vertical="top" wrapText="1"/>
    </x:xf>
    <x:xf numFmtId="0" fontId="21" fillId="14" borderId="31" xfId="0" applyNumberFormat="1" applyFont="1" applyFill="1" applyBorder="1" applyAlignment="1">
      <x:alignment vertical="top" wrapText="1"/>
    </x:xf>
    <x:xf numFmtId="200" fontId="21" fillId="14" borderId="31" xfId="0" applyNumberFormat="1" applyFont="1" applyFill="1" applyBorder="1" applyAlignment="1">
      <x:alignment vertical="top" wrapText="1"/>
    </x:xf>
    <x:xf numFmtId="202" fontId="21" fillId="14" borderId="31" xfId="0" applyNumberFormat="1" applyFont="1" applyFill="1" applyBorder="1" applyAlignment="1">
      <x:alignment vertical="top" wrapText="1"/>
    </x:xf>
    <x:xf numFmtId="203" fontId="21" fillId="14" borderId="31" xfId="0" applyNumberFormat="1" applyFont="1" applyFill="1" applyBorder="1" applyAlignment="1">
      <x:alignment vertical="top" wrapText="1"/>
    </x:xf>
    <x:xf numFmtId="204" fontId="21" fillId="14" borderId="3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7" fillId="0" borderId="0" xfId="0" applyNumberFormat="1" applyFont="1" applyFill="1" applyBorder="1"/>
    <x:xf numFmtId="200" fontId="7" fillId="0" borderId="0" xfId="0" applyNumberFormat="1" applyFont="1" applyFill="1" applyBorder="1"/>
    <x:xf numFmtId="202" fontId="7" fillId="0" borderId="0" xfId="0" applyNumberFormat="1" applyFont="1" applyFill="1" applyBorder="1"/>
    <x:xf numFmtId="0" fontId="7" fillId="0" borderId="7" xfId="0" applyNumberFormat="1" applyFont="1" applyFill="1" applyBorder="1"/>
    <x:xf numFmtId="200" fontId="7" fillId="0" borderId="7" xfId="0" applyNumberFormat="1" applyFont="1" applyFill="1" applyBorder="1"/>
    <x:xf numFmtId="202" fontId="7" fillId="0" borderId="7" xfId="0" applyNumberFormat="1" applyFont="1" applyFill="1" applyBorder="1"/>
    <x:xf numFmtId="0" fontId="7" fillId="0" borderId="17" xfId="0" applyNumberFormat="1" applyFont="1" applyFill="1" applyBorder="1"/>
    <x:xf numFmtId="200" fontId="7" fillId="0" borderId="17" xfId="0" applyNumberFormat="1" applyFont="1" applyFill="1" applyBorder="1"/>
    <x:xf numFmtId="202" fontId="7" fillId="0" borderId="17" xfId="0" applyNumberFormat="1" applyFont="1" applyFill="1" applyBorder="1"/>
    <x:xf numFmtId="0" fontId="7" fillId="0" borderId="2" xfId="0" applyNumberFormat="1" applyFont="1" applyFill="1" applyBorder="1"/>
    <x:xf numFmtId="200" fontId="7" fillId="0" borderId="2" xfId="0" applyNumberFormat="1" applyFont="1" applyFill="1" applyBorder="1"/>
    <x:xf numFmtId="202" fontId="7" fillId="0" borderId="2" xfId="0" applyNumberFormat="1" applyFont="1" applyFill="1" applyBorder="1"/>
    <x:xf numFmtId="0" fontId="7" fillId="0" borderId="7" xfId="0" applyNumberFormat="1" applyFont="1" applyFill="1" applyBorder="1" applyAlignment="1">
      <x:alignment wrapText="1"/>
    </x:xf>
    <x:xf numFmtId="200" fontId="7" fillId="0" borderId="7" xfId="0" applyNumberFormat="1" applyFont="1" applyFill="1" applyBorder="1" applyAlignment="1">
      <x:alignment wrapText="1"/>
    </x:xf>
    <x:xf numFmtId="202" fontId="7" fillId="0" borderId="7" xfId="0" applyNumberFormat="1" applyFont="1" applyFill="1" applyBorder="1" applyAlignment="1">
      <x:alignment wrapText="1"/>
    </x:xf>
    <x:xf numFmtId="0" fontId="7" fillId="0" borderId="17" xfId="0" applyNumberFormat="1" applyFont="1" applyFill="1" applyBorder="1" applyAlignment="1">
      <x:alignment wrapText="1"/>
    </x:xf>
    <x:xf numFmtId="200" fontId="7" fillId="0" borderId="17" xfId="0" applyNumberFormat="1" applyFont="1" applyFill="1" applyBorder="1" applyAlignment="1">
      <x:alignment wrapText="1"/>
    </x:xf>
    <x:xf numFmtId="202" fontId="7" fillId="0" borderId="17" xfId="0" applyNumberFormat="1" applyFont="1" applyFill="1" applyBorder="1" applyAlignment="1">
      <x:alignment wrapText="1"/>
    </x:xf>
    <x:xf numFmtId="0" fontId="7" fillId="0" borderId="2" xfId="0" applyNumberFormat="1" applyFont="1" applyFill="1" applyBorder="1" applyAlignment="1">
      <x:alignment wrapText="1"/>
    </x:xf>
    <x:xf numFmtId="200" fontId="7" fillId="0" borderId="2" xfId="0" applyNumberFormat="1" applyFont="1" applyFill="1" applyBorder="1" applyAlignment="1">
      <x:alignment wrapText="1"/>
    </x:xf>
    <x:xf numFmtId="202" fontId="7" fillId="0" borderId="2" xfId="0" applyNumberFormat="1" applyFont="1" applyFill="1" applyBorder="1" applyAlignment="1">
      <x:alignment wrapText="1"/>
    </x:xf>
    <x:xf numFmtId="0" fontId="7" fillId="0" borderId="7" xfId="0" applyNumberFormat="1" applyFont="1" applyFill="1" applyBorder="1" applyAlignment="1">
      <x:alignment vertical="top" wrapText="1"/>
    </x:xf>
    <x:xf numFmtId="200" fontId="7" fillId="0" borderId="7" xfId="0" applyNumberFormat="1" applyFont="1" applyFill="1" applyBorder="1" applyAlignment="1">
      <x:alignment vertical="top" wrapText="1"/>
    </x:xf>
    <x:xf numFmtId="202" fontId="7" fillId="0" borderId="7"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200" fontId="7" fillId="0" borderId="17" xfId="0" applyNumberFormat="1" applyFont="1" applyFill="1" applyBorder="1" applyAlignment="1">
      <x:alignment vertical="top" wrapText="1"/>
    </x:xf>
    <x:xf numFmtId="202" fontId="7" fillId="0" borderId="17" xfId="0" applyNumberFormat="1" applyFont="1" applyFill="1" applyBorder="1" applyAlignment="1">
      <x:alignment vertical="top" wrapText="1"/>
    </x:xf>
    <x:xf numFmtId="0" fontId="7" fillId="0" borderId="2" xfId="0" applyNumberFormat="1" applyFont="1" applyFill="1" applyBorder="1" applyAlignment="1">
      <x:alignment vertical="top" wrapText="1"/>
    </x:xf>
    <x:xf numFmtId="200" fontId="7" fillId="0" borderId="2" xfId="0" applyNumberFormat="1" applyFont="1" applyFill="1" applyBorder="1" applyAlignment="1">
      <x:alignment vertical="top" wrapText="1"/>
    </x:xf>
    <x:xf numFmtId="202" fontId="7" fillId="0" borderId="2" xfId="0" applyNumberFormat="1" applyFont="1" applyFill="1" applyBorder="1" applyAlignment="1">
      <x:alignment vertical="top" wrapText="1"/>
    </x:xf>
    <x:xf numFmtId="0" fontId="7" fillId="3" borderId="7" xfId="0" applyNumberFormat="1" applyFont="1" applyFill="1" applyBorder="1" applyAlignment="1">
      <x:alignment vertical="top" wrapText="1"/>
    </x:xf>
    <x:xf numFmtId="200" fontId="7" fillId="3" borderId="7" xfId="0" applyNumberFormat="1" applyFont="1" applyFill="1" applyBorder="1" applyAlignment="1">
      <x:alignment vertical="top" wrapText="1"/>
    </x:xf>
    <x:xf numFmtId="202" fontId="7" fillId="3" borderId="7" xfId="0" applyNumberFormat="1" applyFont="1" applyFill="1" applyBorder="1" applyAlignment="1">
      <x:alignment vertical="top" wrapText="1"/>
    </x:xf>
    <x:xf numFmtId="0" fontId="7" fillId="3" borderId="17" xfId="0" applyNumberFormat="1" applyFont="1" applyFill="1" applyBorder="1" applyAlignment="1">
      <x:alignment vertical="top" wrapText="1"/>
    </x:xf>
    <x:xf numFmtId="200" fontId="7" fillId="3" borderId="17" xfId="0" applyNumberFormat="1" applyFont="1" applyFill="1" applyBorder="1" applyAlignment="1">
      <x:alignment vertical="top" wrapText="1"/>
    </x:xf>
    <x:xf numFmtId="202" fontId="7" fillId="3" borderId="17" xfId="0" applyNumberFormat="1" applyFont="1" applyFill="1" applyBorder="1" applyAlignment="1">
      <x:alignment vertical="top" wrapText="1"/>
    </x:xf>
    <x:xf numFmtId="0" fontId="7" fillId="3" borderId="2" xfId="0" applyNumberFormat="1" applyFont="1" applyFill="1" applyBorder="1" applyAlignment="1">
      <x:alignment vertical="top" wrapText="1"/>
    </x:xf>
    <x:xf numFmtId="200" fontId="7" fillId="3" borderId="2" xfId="0" applyNumberFormat="1" applyFont="1" applyFill="1" applyBorder="1" applyAlignment="1">
      <x:alignment vertical="top" wrapText="1"/>
    </x:xf>
    <x:xf numFmtId="202" fontId="7" fillId="3" borderId="2" xfId="0" applyNumberFormat="1" applyFont="1" applyFill="1" applyBorder="1" applyAlignment="1">
      <x:alignment vertical="top" wrapText="1"/>
    </x:xf>
    <x:xf numFmtId="0" fontId="7" fillId="7" borderId="7" xfId="0" applyNumberFormat="1" applyFont="1" applyFill="1" applyBorder="1" applyAlignment="1">
      <x:alignment vertical="top" wrapText="1"/>
    </x:xf>
    <x:xf numFmtId="0" fontId="7" fillId="7" borderId="17"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21" fillId="0" borderId="7" xfId="0" applyNumberFormat="1" applyFont="1" applyFill="1" applyBorder="1"/>
    <x:xf numFmtId="0" fontId="21" fillId="0" borderId="17" xfId="0" applyNumberFormat="1" applyFont="1" applyFill="1" applyBorder="1"/>
    <x:xf numFmtId="0" fontId="21" fillId="0" borderId="2" xfId="0" applyNumberFormat="1" applyFont="1" applyFill="1" applyBorder="1"/>
    <x:xf numFmtId="0" fontId="21" fillId="0" borderId="7" xfId="0" applyNumberFormat="1" applyFont="1" applyFill="1" applyBorder="1" applyAlignment="1">
      <x:alignment wrapText="1"/>
    </x:xf>
    <x:xf numFmtId="0" fontId="21" fillId="0" borderId="17" xfId="0" applyNumberFormat="1" applyFont="1" applyFill="1" applyBorder="1" applyAlignment="1">
      <x:alignment wrapText="1"/>
    </x:xf>
    <x:xf numFmtId="0" fontId="21" fillId="0" borderId="2" xfId="0" applyNumberFormat="1" applyFont="1" applyFill="1" applyBorder="1" applyAlignment="1">
      <x:alignment wrapText="1"/>
    </x:xf>
    <x:xf numFmtId="0" fontId="21" fillId="0" borderId="7" xfId="0" applyNumberFormat="1" applyFont="1" applyFill="1" applyBorder="1" applyAlignment="1">
      <x:alignment vertical="top" wrapText="1"/>
    </x:xf>
    <x:xf numFmtId="0" fontId="21" fillId="0" borderId="17" xfId="0" applyNumberFormat="1" applyFont="1" applyFill="1" applyBorder="1" applyAlignment="1">
      <x:alignment vertical="top" wrapText="1"/>
    </x:xf>
    <x:xf numFmtId="0" fontId="21" fillId="0" borderId="2" xfId="0" applyNumberFormat="1" applyFont="1" applyFill="1" applyBorder="1" applyAlignment="1">
      <x:alignment vertical="top" wrapText="1"/>
    </x:xf>
    <x:xf numFmtId="0" fontId="21" fillId="3" borderId="7" xfId="0" applyNumberFormat="1" applyFont="1" applyFill="1" applyBorder="1" applyAlignment="1">
      <x:alignment vertical="top" wrapText="1"/>
    </x:xf>
    <x:xf numFmtId="0" fontId="21" fillId="3" borderId="17" xfId="0" applyNumberFormat="1" applyFont="1" applyFill="1" applyBorder="1" applyAlignment="1">
      <x:alignment vertical="top" wrapText="1"/>
    </x:xf>
    <x:xf numFmtId="0" fontId="22" fillId="2" borderId="0" xfId="0" applyNumberFormat="1" applyFont="1" applyFill="1" applyBorder="1"/>
    <x:xf numFmtId="0" fontId="22" fillId="2" borderId="0" xfId="0" applyNumberFormat="1" applyFont="1" applyFill="1" applyBorder="1" applyAlignment="1">
      <x:alignment wrapText="1"/>
    </x:xf>
    <x:xf numFmtId="0" fontId="22" fillId="2" borderId="0" xfId="0" applyNumberFormat="1" applyFont="1" applyFill="1" applyBorder="1" applyAlignment="1">
      <x:alignment vertical="center" wrapText="1"/>
    </x:xf>
    <x:xf numFmtId="0" fontId="23" fillId="0" borderId="0" xfId="0" applyNumberFormat="1" applyFont="1" applyFill="1" applyBorder="1"/>
    <x:xf numFmtId="0" fontId="23" fillId="0" borderId="7" xfId="0" applyNumberFormat="1" applyFont="1" applyFill="1" applyBorder="1"/>
    <x:xf numFmtId="0" fontId="23" fillId="0" borderId="17" xfId="0" applyNumberFormat="1" applyFont="1" applyFill="1" applyBorder="1"/>
    <x:xf numFmtId="0" fontId="23" fillId="0" borderId="2" xfId="0" applyNumberFormat="1" applyFont="1" applyFill="1" applyBorder="1"/>
    <x:xf numFmtId="0" fontId="23" fillId="0" borderId="7" xfId="0" applyNumberFormat="1" applyFont="1" applyFill="1" applyBorder="1" applyAlignment="1">
      <x:alignment wrapText="1"/>
    </x:xf>
    <x:xf numFmtId="0" fontId="23" fillId="0" borderId="17" xfId="0" applyNumberFormat="1" applyFont="1" applyFill="1" applyBorder="1" applyAlignment="1">
      <x:alignment wrapText="1"/>
    </x:xf>
    <x:xf numFmtId="0" fontId="23" fillId="0" borderId="2" xfId="0" applyNumberFormat="1" applyFont="1" applyFill="1" applyBorder="1" applyAlignment="1">
      <x:alignment wrapText="1"/>
    </x:xf>
    <x:xf numFmtId="0" fontId="23" fillId="0" borderId="7" xfId="0" applyNumberFormat="1" applyFont="1" applyFill="1" applyBorder="1" applyAlignment="1">
      <x:alignment vertical="top" wrapText="1"/>
    </x:xf>
    <x:xf numFmtId="0" fontId="23" fillId="0" borderId="17" xfId="0" applyNumberFormat="1" applyFont="1" applyFill="1" applyBorder="1" applyAlignment="1">
      <x:alignment vertical="top" wrapText="1"/>
    </x:xf>
    <x:xf numFmtId="0" fontId="23" fillId="0" borderId="2" xfId="0" applyNumberFormat="1" applyFont="1" applyFill="1" applyBorder="1" applyAlignment="1">
      <x:alignment vertical="top" wrapText="1"/>
    </x:xf>
    <x:xf numFmtId="0" fontId="23" fillId="14" borderId="7" xfId="0" applyNumberFormat="1" applyFont="1" applyFill="1" applyBorder="1" applyAlignment="1">
      <x:alignment vertical="top" wrapText="1"/>
    </x:xf>
    <x:xf numFmtId="0" fontId="23" fillId="14" borderId="17" xfId="0" applyNumberFormat="1" applyFont="1" applyFill="1" applyBorder="1" applyAlignment="1">
      <x:alignment vertical="top" wrapText="1"/>
    </x:xf>
    <x:xf numFmtId="0" fontId="24" fillId="2" borderId="0" xfId="0" applyNumberFormat="1" applyFont="1" applyFill="1" applyBorder="1"/>
    <x:xf numFmtId="0" fontId="24" fillId="2" borderId="0" xfId="0" applyNumberFormat="1" applyFont="1" applyFill="1" applyBorder="1" applyAlignment="1">
      <x:alignment wrapText="1"/>
    </x:xf>
    <x:xf numFmtId="0" fontId="24" fillId="2" borderId="0" xfId="0" applyNumberFormat="1" applyFont="1" applyFill="1" applyBorder="1" applyAlignment="1">
      <x:alignment horizontal="center" wrapText="1"/>
    </x:xf>
    <x:xf numFmtId="0" fontId="24" fillId="2" borderId="0" xfId="0" applyNumberFormat="1" applyFont="1" applyFill="1" applyBorder="1" applyAlignment="1">
      <x:alignment horizontal="center" vertical="center" wrapText="1"/>
    </x:xf>
    <x:xf numFmtId="0" fontId="23" fillId="0" borderId="7" xfId="0" applyNumberFormat="1" applyFont="1" applyFill="1" applyBorder="1" applyAlignment="1">
      <x:alignment vertical="center"/>
    </x:xf>
    <x:xf numFmtId="0" fontId="23" fillId="0" borderId="17" xfId="0" applyNumberFormat="1" applyFont="1" applyFill="1" applyBorder="1" applyAlignment="1">
      <x:alignment vertical="center"/>
    </x:xf>
    <x:xf numFmtId="0" fontId="23" fillId="0" borderId="2" xfId="0" applyNumberFormat="1" applyFont="1" applyFill="1" applyBorder="1" applyAlignment="1">
      <x:alignment vertical="center"/>
    </x:xf>
    <x:xf numFmtId="0" fontId="21" fillId="3" borderId="0" xfId="0" applyNumberFormat="1" applyFont="1" applyFill="1" applyBorder="1"/>
    <x:xf numFmtId="0" fontId="21" fillId="3" borderId="7" xfId="0" applyNumberFormat="1" applyFont="1" applyFill="1" applyBorder="1"/>
    <x:xf numFmtId="0" fontId="21" fillId="3" borderId="17" xfId="0" applyNumberFormat="1" applyFont="1" applyFill="1" applyBorder="1"/>
    <x:xf numFmtId="0" fontId="21" fillId="3" borderId="2" xfId="0" applyNumberFormat="1" applyFont="1" applyFill="1" applyBorder="1"/>
    <x:xf numFmtId="0" fontId="21" fillId="3" borderId="7" xfId="0" applyNumberFormat="1" applyFont="1" applyFill="1" applyBorder="1" applyAlignment="1">
      <x:alignment wrapText="1"/>
    </x:xf>
    <x:xf numFmtId="0" fontId="21" fillId="3" borderId="17" xfId="0" applyNumberFormat="1" applyFont="1" applyFill="1" applyBorder="1" applyAlignment="1">
      <x:alignment wrapText="1"/>
    </x:xf>
    <x:xf numFmtId="0" fontId="21" fillId="3" borderId="2" xfId="0" applyNumberFormat="1" applyFont="1" applyFill="1" applyBorder="1" applyAlignment="1">
      <x:alignment wrapText="1"/>
    </x:xf>
    <x:xf numFmtId="0" fontId="21" fillId="3" borderId="2" xfId="0" applyNumberFormat="1" applyFont="1" applyFill="1" applyBorder="1" applyAlignment="1">
      <x:alignment vertical="top" wrapText="1"/>
    </x:xf>
    <x:xf numFmtId="0" fontId="0" fillId="14" borderId="0" xfId="0" applyNumberFormat="1" applyFont="1" applyFill="1" applyBorder="1"/>
    <x:xf numFmtId="0" fontId="21" fillId="14" borderId="0" xfId="0" applyNumberFormat="1" applyFont="1" applyFill="1" applyBorder="1"/>
    <x:xf numFmtId="0" fontId="21" fillId="14" borderId="7" xfId="0" applyNumberFormat="1" applyFont="1" applyFill="1" applyBorder="1"/>
    <x:xf numFmtId="0" fontId="21" fillId="14" borderId="17" xfId="0" applyNumberFormat="1" applyFont="1" applyFill="1" applyBorder="1"/>
    <x:xf numFmtId="0" fontId="21" fillId="14" borderId="2" xfId="0" applyNumberFormat="1" applyFont="1" applyFill="1" applyBorder="1"/>
    <x:xf numFmtId="0" fontId="21" fillId="14" borderId="7" xfId="0" applyNumberFormat="1" applyFont="1" applyFill="1" applyBorder="1" applyAlignment="1">
      <x:alignment wrapText="1"/>
    </x:xf>
    <x:xf numFmtId="0" fontId="21" fillId="14" borderId="17" xfId="0" applyNumberFormat="1" applyFont="1" applyFill="1" applyBorder="1" applyAlignment="1">
      <x:alignment wrapText="1"/>
    </x:xf>
    <x:xf numFmtId="0" fontId="21" fillId="14" borderId="2" xfId="0" applyNumberFormat="1" applyFont="1" applyFill="1" applyBorder="1" applyAlignment="1">
      <x:alignment wrapText="1"/>
    </x:xf>
    <x:xf numFmtId="0" fontId="21" fillId="14" borderId="7" xfId="0" applyNumberFormat="1" applyFont="1" applyFill="1" applyBorder="1" applyAlignment="1">
      <x:alignment vertical="top" wrapText="1"/>
    </x:xf>
    <x:xf numFmtId="0" fontId="21" fillId="14" borderId="17" xfId="0" applyNumberFormat="1" applyFont="1" applyFill="1" applyBorder="1" applyAlignment="1">
      <x:alignment vertical="top" wrapText="1"/>
    </x:xf>
    <x:xf numFmtId="0" fontId="21" fillId="14" borderId="2" xfId="0" applyNumberFormat="1" applyFont="1" applyFill="1" applyBorder="1" applyAlignment="1">
      <x:alignment vertical="top" wrapText="1"/>
    </x:xf>
    <x:xf numFmtId="0" fontId="21" fillId="7" borderId="0" xfId="0" applyNumberFormat="1" applyFont="1" applyFill="1" applyBorder="1"/>
    <x:xf numFmtId="0" fontId="21" fillId="7" borderId="7" xfId="0" applyNumberFormat="1" applyFont="1" applyFill="1" applyBorder="1"/>
    <x:xf numFmtId="0" fontId="21" fillId="7" borderId="17" xfId="0" applyNumberFormat="1" applyFont="1" applyFill="1" applyBorder="1"/>
    <x:xf numFmtId="0" fontId="21" fillId="7" borderId="2" xfId="0" applyNumberFormat="1" applyFont="1" applyFill="1" applyBorder="1"/>
    <x:xf numFmtId="0" fontId="25" fillId="13" borderId="0" xfId="0" applyNumberFormat="1" applyFont="1" applyFill="1" applyBorder="1"/>
    <x:xf numFmtId="0" fontId="25" fillId="13" borderId="21" xfId="0" applyNumberFormat="1" applyFont="1" applyFill="1" applyBorder="1"/>
    <x:xf numFmtId="0" fontId="25" fillId="13" borderId="22" xfId="0" applyNumberFormat="1" applyFont="1" applyFill="1" applyBorder="1"/>
    <x:xf numFmtId="0" fontId="25" fillId="13" borderId="23" xfId="0" applyNumberFormat="1" applyFont="1" applyFill="1" applyBorder="1"/>
    <x:xf numFmtId="0" fontId="25" fillId="13" borderId="24" xfId="0" applyNumberFormat="1" applyFont="1" applyFill="1" applyBorder="1"/>
    <x:xf numFmtId="0" fontId="25" fillId="13" borderId="25" xfId="0" applyNumberFormat="1" applyFont="1" applyFill="1" applyBorder="1"/>
    <x:xf numFmtId="0" fontId="25" fillId="13" borderId="26" xfId="0" applyNumberFormat="1" applyFont="1" applyFill="1" applyBorder="1"/>
    <x:xf numFmtId="0" fontId="25" fillId="13" borderId="27" xfId="0" applyNumberFormat="1" applyFont="1" applyFill="1" applyBorder="1"/>
    <x:xf numFmtId="0" fontId="25" fillId="13" borderId="28" xfId="0" applyNumberFormat="1" applyFont="1" applyFill="1" applyBorder="1"/>
    <x:xf numFmtId="0" fontId="25" fillId="13" borderId="21" xfId="0" applyNumberFormat="1" applyFont="1" applyFill="1" applyBorder="1" applyAlignment="1">
      <x:alignment wrapText="1"/>
    </x:xf>
    <x:xf numFmtId="0" fontId="25" fillId="13" borderId="22" xfId="0" applyNumberFormat="1" applyFont="1" applyFill="1" applyBorder="1" applyAlignment="1">
      <x:alignment wrapText="1"/>
    </x:xf>
    <x:xf numFmtId="0" fontId="25" fillId="13" borderId="23" xfId="0" applyNumberFormat="1" applyFont="1" applyFill="1" applyBorder="1" applyAlignment="1">
      <x:alignment wrapText="1"/>
    </x:xf>
    <x:xf numFmtId="0" fontId="25" fillId="13" borderId="24" xfId="0" applyNumberFormat="1" applyFont="1" applyFill="1" applyBorder="1" applyAlignment="1">
      <x:alignment wrapText="1"/>
    </x:xf>
    <x:xf numFmtId="0" fontId="25" fillId="13" borderId="0" xfId="0" applyNumberFormat="1" applyFont="1" applyFill="1" applyBorder="1" applyAlignment="1">
      <x:alignment wrapText="1"/>
    </x:xf>
    <x:xf numFmtId="0" fontId="25" fillId="13" borderId="25" xfId="0" applyNumberFormat="1" applyFont="1" applyFill="1" applyBorder="1" applyAlignment="1">
      <x:alignment wrapText="1"/>
    </x:xf>
    <x:xf numFmtId="0" fontId="25" fillId="13" borderId="26" xfId="0" applyNumberFormat="1" applyFont="1" applyFill="1" applyBorder="1" applyAlignment="1">
      <x:alignment wrapText="1"/>
    </x:xf>
    <x:xf numFmtId="0" fontId="25" fillId="13" borderId="27" xfId="0" applyNumberFormat="1" applyFont="1" applyFill="1" applyBorder="1" applyAlignment="1">
      <x:alignment wrapText="1"/>
    </x:xf>
    <x:xf numFmtId="0" fontId="25" fillId="13" borderId="28" xfId="0" applyNumberFormat="1" applyFont="1" applyFill="1" applyBorder="1" applyAlignment="1">
      <x:alignment wrapText="1"/>
    </x:xf>
    <x:xf numFmtId="0" fontId="25" fillId="13" borderId="21" xfId="0" applyNumberFormat="1" applyFont="1" applyFill="1" applyBorder="1" applyAlignment="1">
      <x:alignment vertical="top" wrapText="1"/>
    </x:xf>
    <x:xf numFmtId="0" fontId="25" fillId="13" borderId="22" xfId="0" applyNumberFormat="1" applyFont="1" applyFill="1" applyBorder="1" applyAlignment="1">
      <x:alignment vertical="top" wrapText="1"/>
    </x:xf>
    <x:xf numFmtId="0" fontId="25" fillId="13" borderId="23" xfId="0" applyNumberFormat="1" applyFont="1" applyFill="1" applyBorder="1" applyAlignment="1">
      <x:alignment vertical="top" wrapText="1"/>
    </x:xf>
    <x:xf numFmtId="0" fontId="25" fillId="13" borderId="24" xfId="0" applyNumberFormat="1" applyFont="1" applyFill="1" applyBorder="1" applyAlignment="1">
      <x:alignment vertical="top" wrapText="1"/>
    </x:xf>
    <x:xf numFmtId="0" fontId="25" fillId="13" borderId="0" xfId="0" applyNumberFormat="1" applyFont="1" applyFill="1" applyBorder="1" applyAlignment="1">
      <x:alignment vertical="top" wrapText="1"/>
    </x:xf>
    <x:xf numFmtId="0" fontId="25" fillId="13" borderId="25" xfId="0" applyNumberFormat="1" applyFont="1" applyFill="1" applyBorder="1" applyAlignment="1">
      <x:alignment vertical="top" wrapText="1"/>
    </x:xf>
    <x:xf numFmtId="0" fontId="25" fillId="13" borderId="26" xfId="0" applyNumberFormat="1" applyFont="1" applyFill="1" applyBorder="1" applyAlignment="1">
      <x:alignment vertical="top" wrapText="1"/>
    </x:xf>
    <x:xf numFmtId="0" fontId="25" fillId="13" borderId="27" xfId="0" applyNumberFormat="1" applyFont="1" applyFill="1" applyBorder="1" applyAlignment="1">
      <x:alignment vertical="top" wrapText="1"/>
    </x:xf>
    <x:xf numFmtId="0" fontId="25" fillId="13" borderId="28" xfId="0" applyNumberFormat="1" applyFont="1" applyFill="1" applyBorder="1" applyAlignment="1">
      <x:alignment vertical="top" wrapText="1"/>
    </x:xf>
    <x:xf numFmtId="0" fontId="23" fillId="14" borderId="2" xfId="0" applyNumberFormat="1" applyFont="1" applyFill="1" applyBorder="1" applyAlignment="1">
      <x:alignment vertical="top" wrapText="1"/>
    </x:xf>
    <x:xf numFmtId="0" fontId="21" fillId="12" borderId="7" xfId="0" applyNumberFormat="1" applyFont="1" applyFill="1" applyBorder="1" applyAlignment="1">
      <x:alignment vertical="top" wrapText="1"/>
    </x:xf>
    <x:xf numFmtId="0" fontId="21" fillId="12" borderId="17" xfId="0" applyNumberFormat="1" applyFont="1" applyFill="1" applyBorder="1" applyAlignment="1">
      <x:alignment vertical="top" wrapText="1"/>
    </x:xf>
    <x:xf numFmtId="0" fontId="21" fillId="12" borderId="2" xfId="0" applyNumberFormat="1" applyFont="1" applyFill="1" applyBorder="1" applyAlignment="1">
      <x:alignment vertical="top" wrapText="1"/>
    </x:xf>
    <x:xf numFmtId="0" fontId="4" fillId="5" borderId="7" xfId="0" applyNumberFormat="1" applyFont="1" applyFill="1" applyBorder="1"/>
    <x:xf numFmtId="0" fontId="4" fillId="5" borderId="17" xfId="0" applyNumberFormat="1" applyFont="1" applyFill="1" applyBorder="1"/>
    <x:xf numFmtId="0" fontId="4" fillId="5" borderId="2" xfId="0" applyNumberFormat="1" applyFont="1" applyFill="1" applyBorder="1"/>
    <x:xf numFmtId="0" fontId="21" fillId="15" borderId="7" xfId="0" applyNumberFormat="1" applyFont="1" applyFill="1" applyBorder="1" applyAlignment="1">
      <x:alignment vertical="top" wrapText="1"/>
    </x:xf>
    <x:xf numFmtId="0" fontId="21" fillId="15" borderId="17" xfId="0" applyNumberFormat="1" applyFont="1" applyFill="1" applyBorder="1" applyAlignment="1">
      <x:alignment vertical="top" wrapText="1"/>
    </x:xf>
    <x:xf numFmtId="0" fontId="21" fillId="16" borderId="17" xfId="0" applyNumberFormat="1" applyFont="1" applyFill="1" applyBorder="1" applyAlignment="1">
      <x:alignment vertical="top" wrapText="1"/>
    </x:xf>
    <x:xf numFmtId="0" fontId="21" fillId="17" borderId="17" xfId="0" applyNumberFormat="1" applyFont="1" applyFill="1" applyBorder="1" applyAlignment="1">
      <x:alignment vertical="top" wrapText="1"/>
    </x:xf>
    <x:xf numFmtId="0" fontId="21" fillId="17" borderId="2" xfId="0" applyNumberFormat="1" applyFont="1" applyFill="1" applyBorder="1" applyAlignment="1">
      <x:alignment vertical="top" wrapText="1"/>
    </x:xf>
    <x:xf numFmtId="204" fontId="21" fillId="0" borderId="7" xfId="0" applyNumberFormat="1" applyFont="1" applyFill="1" applyBorder="1"/>
    <x:xf numFmtId="204" fontId="21" fillId="0" borderId="17" xfId="0" applyNumberFormat="1" applyFont="1" applyFill="1" applyBorder="1"/>
    <x:xf numFmtId="204" fontId="21" fillId="0" borderId="2" xfId="0" applyNumberFormat="1" applyFont="1" applyFill="1" applyBorder="1"/>
    <x:xf numFmtId="204" fontId="21" fillId="0" borderId="7" xfId="0" applyNumberFormat="1" applyFont="1" applyFill="1" applyBorder="1" applyAlignment="1">
      <x:alignment wrapText="1"/>
    </x:xf>
    <x:xf numFmtId="204" fontId="21" fillId="0" borderId="17" xfId="0" applyNumberFormat="1" applyFont="1" applyFill="1" applyBorder="1" applyAlignment="1">
      <x:alignment wrapText="1"/>
    </x:xf>
    <x:xf numFmtId="204" fontId="21" fillId="0" borderId="2" xfId="0" applyNumberFormat="1" applyFont="1" applyFill="1" applyBorder="1" applyAlignment="1">
      <x:alignment wrapText="1"/>
    </x:xf>
    <x:xf numFmtId="204" fontId="21" fillId="0" borderId="7" xfId="0" applyNumberFormat="1" applyFont="1" applyFill="1" applyBorder="1" applyAlignment="1">
      <x:alignment vertical="top" wrapText="1"/>
    </x:xf>
    <x:xf numFmtId="204" fontId="21" fillId="0" borderId="17" xfId="0" applyNumberFormat="1" applyFont="1" applyFill="1" applyBorder="1" applyAlignment="1">
      <x:alignment vertical="top" wrapText="1"/>
    </x:xf>
    <x:xf numFmtId="204" fontId="21" fillId="0" borderId="2" xfId="0" applyNumberFormat="1" applyFont="1" applyFill="1" applyBorder="1" applyAlignment="1">
      <x:alignment vertical="top" wrapText="1"/>
    </x:xf>
    <x:xf numFmtId="204" fontId="21" fillId="3" borderId="7" xfId="0" applyNumberFormat="1" applyFont="1" applyFill="1" applyBorder="1" applyAlignment="1">
      <x:alignment vertical="top" wrapText="1"/>
    </x:xf>
    <x:xf numFmtId="204" fontId="21" fillId="3" borderId="17" xfId="0" applyNumberFormat="1" applyFont="1" applyFill="1" applyBorder="1" applyAlignment="1">
      <x:alignment vertical="top" wrapText="1"/>
    </x:xf>
    <x:xf numFmtId="204" fontId="21" fillId="14" borderId="7" xfId="0" applyNumberFormat="1" applyFont="1" applyFill="1" applyBorder="1" applyAlignment="1">
      <x:alignment vertical="top" wrapText="1"/>
    </x:xf>
    <x:xf numFmtId="204" fontId="21" fillId="14" borderId="17" xfId="0" applyNumberFormat="1" applyFont="1" applyFill="1" applyBorder="1" applyAlignment="1">
      <x:alignment vertical="top" wrapText="1"/>
    </x:xf>
  </x:cellXfs>
  <x:cellStyles count="1">
    <x:cellStyle name="Normal" xfId="0"/>
  </x:cellStyles>
  <x:dxfs count="15">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B21A8"/>
      </x:font>
      <x:fill>
        <x:patternFill patternType="solid">
          <x:bgColor rgb="FFF3E8FF"/>
        </x:patternFill>
      </x:fill>
    </x:dxf>
    <x:dxf>
      <x:font>
        <x:b/>
        <x:color rgb="FF991B1B"/>
      </x:font>
      <x:fill>
        <x:patternFill patternType="solid">
          <x:bgColor rgb="FFFEE2E2"/>
        </x:patternFill>
      </x:fill>
    </x:dxf>
    <x:dxf>
      <x:font>
        <x:b/>
        <x:color rgb="FF065F46"/>
      </x:font>
      <x:fill>
        <x:patternFill patternType="solid">
          <x:bgColor rgb="FFD1FAE5"/>
        </x:patternFill>
      </x:fill>
    </x:dxf>
    <x:dxf>
      <x:font>
        <x:b/>
        <x:color rgb="FF1E3A8A"/>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B21A8"/>
      </x:font>
      <x:fill>
        <x:patternFill patternType="solid">
          <x:bgColor rgb="FFF3E8FF"/>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bcf3adf07b4221" /><Relationship Type="http://schemas.openxmlformats.org/officeDocument/2006/relationships/theme" Target="/xl/theme/theme1.xml" Id="R8b93b0fc66c9459c" /><Relationship Type="http://schemas.openxmlformats.org/officeDocument/2006/relationships/sharedStrings" Target="/xl/sharedStrings.xml" Id="Rfc9e3f82525049b0" /><Relationship Type="http://schemas.openxmlformats.org/officeDocument/2006/relationships/worksheet" Target="/xl/worksheets/sheet1.xml" Id="R795ddc8bcbfd4d9e" /><Relationship Type="http://schemas.openxmlformats.org/officeDocument/2006/relationships/worksheet" Target="/xl/worksheets/sheet2.xml" Id="R33cd46e57a0246ef" /><Relationship Type="http://schemas.openxmlformats.org/officeDocument/2006/relationships/worksheet" Target="/xl/worksheets/sheet3.xml" Id="R41b29b897b5f4cad" /><Relationship Type="http://schemas.openxmlformats.org/officeDocument/2006/relationships/worksheet" Target="/xl/worksheets/sheet4.xml" Id="R2859a9932ff3439a" /><Relationship Type="http://schemas.openxmlformats.org/officeDocument/2006/relationships/worksheet" Target="/xl/worksheets/sheet5.xml" Id="Ree5fc914c7fc4252" /><Relationship Type="http://schemas.openxmlformats.org/officeDocument/2006/relationships/worksheet" Target="/xl/worksheets/sheet6.xml" Id="Rd98374e2b1df464b" /><Relationship Type="http://schemas.openxmlformats.org/officeDocument/2006/relationships/worksheet" Target="/xl/worksheets/sheet7.xml" Id="R8f35c95564e74244" /><Relationship Type="http://schemas.openxmlformats.org/officeDocument/2006/relationships/worksheet" Target="/xl/worksheets/sheet8.xml" Id="Rc803c52788e94642" /><Relationship Type="http://schemas.openxmlformats.org/officeDocument/2006/relationships/worksheet" Target="/xl/worksheets/sheet9.xml" Id="Ra2b306d1ef4940da" /><Relationship Type="http://schemas.openxmlformats.org/officeDocument/2006/relationships/worksheet" Target="/xl/worksheets/sheet10.xml" Id="Raea6e6ea88e24d74" /><Relationship Type="http://schemas.openxmlformats.org/officeDocument/2006/relationships/worksheet" Target="/xl/worksheets/sheet11.xml" Id="Ra15cdde0ee6f4a3b" /><Relationship Type="http://schemas.openxmlformats.org/officeDocument/2006/relationships/worksheet" Target="/xl/worksheets/sheet12.xml" Id="R3d4207a59611499e" /><Relationship Type="http://schemas.openxmlformats.org/officeDocument/2006/relationships/worksheet" Target="/xl/worksheets/sheet13.xml" Id="R69176ebb04ca42a7" /><Relationship Type="http://schemas.openxmlformats.org/officeDocument/2006/relationships/worksheet" Target="/xl/worksheets/sheet14.xml" Id="Rd28e8ceecf224059" /><Relationship Type="http://schemas.openxmlformats.org/officeDocument/2006/relationships/worksheet" Target="/xl/worksheets/sheet15.xml" Id="R8c9568c5b2844203" /><Relationship Type="http://schemas.microsoft.com/office/2017/10/relationships/person" Target="/xl/persons/person.xml" Id="R64acc2682bf7486a" /></Relationships>
</file>

<file path=xl/drawings/_rels/drawing1.xml.rels>&#65279;<?xml version="1.0" encoding="utf-8"?><Relationships xmlns="http://schemas.openxmlformats.org/package/2006/relationships"><Relationship Type="http://schemas.openxmlformats.org/officeDocument/2006/relationships/chart" Target="/xl/drawings/charts/chart1.xml" Id="R70f3c55dde524c21" /></Relationships>
</file>

<file path=xl/drawings/_rels/drawing2.xml.rels>&#65279;<?xml version="1.0" encoding="utf-8"?><Relationships xmlns="http://schemas.openxmlformats.org/package/2006/relationships"><Relationship Type="http://schemas.openxmlformats.org/officeDocument/2006/relationships/chart" Target="/xl/drawings/charts/chart2.xml" Id="R5c1fb11307f8446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Horas de estudio por ruta</a:t>
            </a:r>
          </a:p>
        </c:rich>
      </c:tx>
    </c:title>
    <c:plotArea>
      <c:barChart>
        <c:barDir val="col"/>
        <c:varyColors val="0"/>
        <c:ser>
          <c:idx val="0"/>
          <c:order val="0"/>
          <c:tx>
            <c:v>Horas</c:v>
          </c:tx>
          <c:spPr>
            <a:solidFill xmlns:a="http://schemas.openxmlformats.org/drawingml/2006/main">
              <a:srgbClr val="EA6E2A"/>
            </a:solidFill>
          </c:spPr>
          <c:cat>
            <c:strRef>
              <c:f>'Rutas'!$A$5:$A$21</c:f>
              <c:strCache>
                <c:ptCount val="0"/>
              </c:strCache>
            </c:strRef>
          </c:cat>
          <c:val>
            <c:numRef>
              <c:f>'Rutas'!$C$5:$C$21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Tecnologías por madurez</a:t>
            </a:r>
          </a:p>
        </c:rich>
      </c:tx>
    </c:title>
    <c:plotArea>
      <c:barChart>
        <c:barDir val="col"/>
        <c:varyColors val="0"/>
        <c:ser>
          <c:idx val="0"/>
          <c:order val="0"/>
          <c:tx>
            <c:v>Tecnologías</c:v>
          </c:tx>
          <c:cat>
            <c:strRef>
              <c:f>'Radar tecnológico'!$M$5:$M$9</c:f>
              <c:strCache>
                <c:ptCount val="0"/>
              </c:strCache>
            </c:strRef>
          </c:cat>
          <c:val>
            <c:numRef>
              <c:f>'Radar tecnológico'!$N$5:$N$9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f3c55dde524c21"/>
        </a:graphicData>
      </a:graphic>
    </xdr:graphicFrame>
    <xdr:clientData/>
  </xdr:twoCellAnchor>
</xdr:wsDr>
</file>

<file path=xl/drawings/drawing2.xml><?xml version="1.0" encoding="utf-8"?>
<xdr:wsDr xmlns:xdr="http://schemas.openxmlformats.org/drawingml/2006/spreadsheetDrawing">
  <xdr:twoCellAnchor>
    <xdr:from>
      <xdr:col>15</xdr:col>
      <xdr:colOff>0</xdr:colOff>
      <xdr:row>3</xdr:row>
      <xdr:rowOff>0</xdr:rowOff>
    </xdr:from>
    <xdr:to>
      <xdr:col>23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1fb11307f84463"/>
        </a:graphicData>
      </a:graphic>
    </xdr:graphicFrame>
    <xdr:clientData/>
  </xdr:twoCellAnchor>
</xdr:wsDr>
</file>

<file path=xl/persons/person.xml><?xml version="1.0" encoding="utf-8"?>
<xltc:personList xmlns:xltc="http://schemas.microsoft.com/office/spreadsheetml/2018/threadedcomments">
  <xltc:person displayName="Julio Humberto Vera Palacios" id="{8150CEDC-3524-4A9C-9BB4-88C82EE13642}"/>
</xltc:personList>
</file>

<file path=xl/tables/table1.xml><?xml version="1.0" encoding="utf-8"?>
<x:table xmlns:x="http://schemas.openxmlformats.org/spreadsheetml/2006/main" id="1" name="CursosMaestros" displayName="CursosMaestros" ref="A4:AA537" headerRowCount="1" totalsRowCount="0" totalsRowShown="0">
  <x:tableColumns count="27">
    <x:tableColumn id="1" name="ID"/>
    <x:tableColumn id="2" name="Nivel"/>
    <x:tableColumn id="3" name="Fase"/>
    <x:tableColumn id="4" name="Área"/>
    <x:tableColumn id="5" name="Ruta"/>
    <x:tableColumn id="6" name="Materia"/>
    <x:tableColumn id="7" name="Temas clave"/>
    <x:tableColumn id="8" name="Prerrequisitos"/>
    <x:tableColumn id="9" name="Alcance"/>
    <x:tableColumn id="10" name="Prioridad"/>
    <x:tableColumn id="11" name="Teoría h"/>
    <x:tableColumn id="12" name="Laboratorio h"/>
    <x:tableColumn id="13" name="Proyecto h"/>
    <x:tableColumn id="14" name="Horas totales"/>
    <x:tableColumn id="15" name="ECTS eq."/>
    <x:tableColumn id="16" name="Evidencia mínima"/>
    <x:tableColumn id="17" name="Fuentes"/>
    <x:tableColumn id="18" name="Estado"/>
    <x:tableColumn id="19" name="Avance"/>
    <x:tableColumn id="20" name="Inicio"/>
    <x:tableColumn id="21" name="Fin"/>
    <x:tableColumn id="22" name="Papel histórico"/>
    <x:tableColumn id="23" name="Vigencia 2026"/>
    <x:tableColumn id="24" name="Horizonte principal"/>
    <x:tableColumn id="25" name="Radar 2026"/>
    <x:tableColumn id="26" name="Revisión"/>
    <x:tableColumn id="27" name="Señal futura a vigilar"/>
  </x:tableColumns>
  <x:tableStyleInfo name="TableStyleMedium2" showFirstColumn="0" showLastColumn="0" showRowStripes="1" showColumnStripes="0"/>
</x:table>
</file>

<file path=xl/tables/table2.xml><?xml version="1.0" encoding="utf-8"?>
<x:table xmlns:x="http://schemas.openxmlformats.org/spreadsheetml/2006/main" id="2" name="RutasEstudio" displayName="RutasEstudio" ref="A4:H21" headerRowCount="1" totalsRowCount="0" totalsRowShown="0">
  <x:tableColumns count="8">
    <x:tableColumn id="1" name="Ruta"/>
    <x:tableColumn id="2" name="Materias"/>
    <x:tableColumn id="3" name="Horas"/>
    <x:tableColumn id="4" name="ECTS eq."/>
    <x:tableColumn id="5" name="Años 20 h/sem"/>
    <x:tableColumn id="6" name="Años 30 h/sem"/>
    <x:tableColumn id="7" name="Años 40 h/sem"/>
    <x:tableColumn id="8" name="Recomendación"/>
  </x:tableColumns>
  <x:tableStyleInfo name="TableStyleMedium2" showFirstColumn="0" showLastColumn="0" showRowStripes="1" showColumnStripes="0"/>
</x:table>
</file>

<file path=xl/tables/table3.xml><?xml version="1.0" encoding="utf-8"?>
<x:table xmlns:x="http://schemas.openxmlformats.org/spreadsheetml/2006/main" id="3" name="SecuenciaRecomendada" displayName="SecuenciaRecomendada" ref="A4:H17" headerRowCount="1" totalsRowCount="0" totalsRowShown="0">
  <x:tableColumns count="8">
    <x:tableColumn id="1" name="Nivel"/>
    <x:tableColumn id="2" name="Fase"/>
    <x:tableColumn id="3" name="Objetivo"/>
    <x:tableColumn id="4" name="Rutas dominantes"/>
    <x:tableColumn id="5" name="Salida mínima"/>
    <x:tableColumn id="6" name="Horas/semana"/>
    <x:tableColumn id="7" name="Regla de avance"/>
    <x:tableColumn id="8" name="Riesgo a evitar"/>
  </x:tableColumns>
  <x:tableStyleInfo name="TableStyleMedium2" showFirstColumn="0" showLastColumn="0" showRowStripes="1" showColumnStripes="0"/>
</x:table>
</file>

<file path=xl/tables/table4.xml><?xml version="1.0" encoding="utf-8"?>
<x:table xmlns:x="http://schemas.openxmlformats.org/spreadsheetml/2006/main" id="4" name="FuentesOficiales" displayName="FuentesOficiales" ref="A4:F80" headerRowCount="1" totalsRowCount="0" totalsRowShown="0">
  <x:tableColumns count="6">
    <x:tableColumn id="1" name="ID"/>
    <x:tableColumn id="2" name="Entidad"/>
    <x:tableColumn id="3" name="Documento/plan"/>
    <x:tableColumn id="4" name="Cobertura"/>
    <x:tableColumn id="5" name="URL oficial"/>
    <x:tableColumn id="6" name="Tipo"/>
  </x:tableColumns>
  <x:tableStyleInfo name="TableStyleMedium2" showFirstColumn="0" showLastColumn="0" showRowStripes="1" showColumnStripes="0"/>
</x:table>
</file>

<file path=xl/tables/table5.xml><?xml version="1.0" encoding="utf-8"?>
<x:table xmlns:x="http://schemas.openxmlformats.org/spreadsheetml/2006/main" id="5" name="MuestraInstitucional" displayName="MuestraInstitucional" ref="A4:F22" headerRowCount="1" totalsRowCount="0" totalsRowShown="0">
  <x:tableColumns count="6">
    <x:tableColumn id="1" name="Institución"/>
    <x:tableColumn id="2" name="País"/>
    <x:tableColumn id="3" name="Región"/>
    <x:tableColumn id="4" name="Áreas observadas"/>
    <x:tableColumn id="5" name="Fuentes"/>
    <x:tableColumn id="6" name="Papel en la muestra"/>
  </x:tableColumns>
  <x:tableStyleInfo name="TableStyleMedium2" showFirstColumn="0" showLastColumn="0" showRowStripes="1" showColumnStripes="0"/>
</x:table>
</file>

<file path=xl/tables/table6.xml><?xml version="1.0" encoding="utf-8"?>
<x:table xmlns:x="http://schemas.openxmlformats.org/spreadsheetml/2006/main" id="9" name="HistoriaHorizontes" displayName="HistoriaHorizontes" ref="A4:K21" headerRowCount="1" totalsRowCount="0" totalsRowShown="0">
  <x:tableColumns count="11">
    <x:tableColumn id="1" name="Ruta"/>
    <x:tableColumn id="2" name="Pasado y origen"/>
    <x:tableColumn id="3" name="Transición clave"/>
    <x:tableColumn id="4" name="Presente 2026"/>
    <x:tableColumn id="5" name="Corto 2027–2029"/>
    <x:tableColumn id="6" name="Mediano 2030–2035"/>
    <x:tableColumn id="7" name="Largo 2036–2045"/>
    <x:tableColumn id="8" name="Muy largo &gt;2045"/>
    <x:tableColumn id="9" name="Invariantes"/>
    <x:tableColumn id="10" name="Confianza temporal"/>
    <x:tableColumn id="11" name="Fuentes"/>
  </x:tableColumns>
  <x:tableStyleInfo name="TableStyleMedium2" showFirstColumn="0" showLastColumn="0" showRowStripes="1" showColumnStripes="0"/>
</x:table>
</file>

<file path=xl/tables/table7.xml><?xml version="1.0" encoding="utf-8"?>
<x:table xmlns:x="http://schemas.openxmlformats.org/spreadsheetml/2006/main" id="10" name="RadarTecnologico" displayName="RadarTecnologico" ref="A4:K66" headerRowCount="1" totalsRowCount="0" totalsRowShown="0">
  <x:tableColumns count="11">
    <x:tableColumn id="1" name="Ruta"/>
    <x:tableColumn id="2" name="Tecnología"/>
    <x:tableColumn id="3" name="Madurez 2026"/>
    <x:tableColumn id="4" name="Horizonte"/>
    <x:tableColumn id="5" name="Confianza"/>
    <x:tableColumn id="6" name="Acción recomendada"/>
    <x:tableColumn id="7" name="Por qué importa"/>
    <x:tableColumn id="8" name="Prerrequisitos"/>
    <x:tableColumn id="9" name="Señales a medir"/>
    <x:tableColumn id="10" name="Revisión"/>
    <x:tableColumn id="11" name="Fuentes"/>
  </x:tableColumns>
  <x:tableStyleInfo name="TableStyleMedium2" showFirstColumn="0" showLastColumn="0" showRowStripes="1" showColumnStripes="0"/>
</x:table>
</file>

<file path=xl/tables/table8.xml><?xml version="1.0" encoding="utf-8"?>
<x:table xmlns:x="http://schemas.openxmlformats.org/spreadsheetml/2006/main" id="11" name="EscenariosTecnologicos" displayName="EscenariosTecnologicos" ref="A4:J20" headerRowCount="1" totalsRowCount="0" totalsRowShown="0">
  <x:tableColumns count="10">
    <x:tableColumn id="1" name="Horizonte"/>
    <x:tableColumn id="2" name="Periodo"/>
    <x:tableColumn id="3" name="Escenario"/>
    <x:tableColumn id="4" name="Tipo"/>
    <x:tableColumn id="5" name="Supuestos y señales"/>
    <x:tableColumn id="6" name="Impacto curricular"/>
    <x:tableColumn id="7" name="Capacidades robustas"/>
    <x:tableColumn id="8" name="Acción desde 2026"/>
    <x:tableColumn id="9" name="Confianza"/>
    <x:tableColumn id="10" name="Fuentes"/>
  </x:tableColumns>
  <x:tableStyleInfo name="TableStyleMedium2" showFirstColumn="0" showLastColumn="0" showRowStripes="1" showColumnStripes="0"/>
</x:table>
</file>

<file path=xl/tables/table9.xml><?xml version="1.0" encoding="utf-8"?>
<x:table xmlns:x="http://schemas.openxmlformats.org/spreadsheetml/2006/main" id="12" name="SistemaVigilancia" displayName="SistemaVigilancia" ref="A4:N28" headerRowCount="1" totalsRowCount="0" totalsRowShown="0">
  <x:tableColumns count="14">
    <x:tableColumn id="1" name="ID"/>
    <x:tableColumn id="2" name="Dominio"/>
    <x:tableColumn id="3" name="Fuente/canal"/>
    <x:tableColumn id="4" name="URL"/>
    <x:tableColumn id="5" name="Qué revisar"/>
    <x:tableColumn id="6" name="Cadencia"/>
    <x:tableColumn id="7" name="Intervalo días"/>
    <x:tableColumn id="8" name="Evidencia a capturar"/>
    <x:tableColumn id="9" name="Disparador"/>
    <x:tableColumn id="10" name="Salida"/>
    <x:tableColumn id="11" name="Fuentes"/>
    <x:tableColumn id="12" name="Última revisión"/>
    <x:tableColumn id="13" name="Próxima revisión"/>
    <x:tableColumn id="14" name="Estado"/>
  </x:tableColumns>
  <x:tableStyleInfo name="TableStyleMedium2" showFirstColumn="0" showLastColumn="0" showRowStripes="1" showColumnStripes="0"/>
</x:table>
</file>

<file path=xl/tables/table10.xml><?xml version="1.0" encoding="utf-8"?>
<x:table xmlns:x="http://schemas.openxmlformats.org/spreadsheetml/2006/main" id="13" name="BitacoraSenales" displayName="BitacoraSenales" ref="A4:K34" headerRowCount="1" totalsRowCount="0" totalsRowShown="0">
  <x:tableColumns count="11">
    <x:tableColumn id="1" name="Fecha"/>
    <x:tableColumn id="2" name="Fuente"/>
    <x:tableColumn id="3" name="URL"/>
    <x:tableColumn id="4" name="Señal observada"/>
    <x:tableColumn id="5" name="Ruta"/>
    <x:tableColumn id="6" name="Horizonte"/>
    <x:tableColumn id="7" name="Madurez / TRL"/>
    <x:tableColumn id="8" name="Evidencia y limitaciones"/>
    <x:tableColumn id="9" name="Confianza"/>
    <x:tableColumn id="10" name="Impacto / decisión"/>
    <x:tableColumn id="11" name="Próxima revisión"/>
  </x:tableColumns>
  <x:tableStyleInfo name="TableStyleMedium2" showFirstColumn="0" showLastColumn="0" showRowStripes="1" showColumnStripes="0"/>
</x:table>
</file>

<file path=xl/tables/table11.xml><?xml version="1.0" encoding="utf-8"?>
<x:table xmlns:x="http://schemas.openxmlformats.org/spreadsheetml/2006/main" id="6" name="PanelMundial150" displayName="PanelMundial150" ref="A4:M154" headerRowCount="1" totalsRowCount="0" totalsRowShown="0">
  <x:tableColumns count="13">
    <x:tableColumn id="1" name="Orden"/>
    <x:tableColumn id="2" name="Segmento"/>
    <x:tableColumn id="3" name="Institución"/>
    <x:tableColumn id="4" name="País"/>
    <x:tableColumn id="5" name="Región"/>
    <x:tableColumn id="6" name="Evidencia"/>
    <x:tableColumn id="7" name="Fuente oficial"/>
    <x:tableColumn id="8" name="Familias de programas normalizadas"/>
    <x:tableColumn id="9" name="Rutas cubiertas"/>
    <x:tableColumn id="10" name="N.º rutas"/>
    <x:tableColumn id="11" name="Foco distintivo"/>
    <x:tableColumn id="12" name="Consulta"/>
    <x:tableColumn id="13" name="Estado"/>
  </x:tableColumns>
  <x:tableStyleInfo name="TableStyleMedium2" showFirstColumn="0" showLastColumn="0" showRowStripes="1" showColumnStripes="0"/>
</x:table>
</file>

<file path=xl/tables/table12.xml><?xml version="1.0" encoding="utf-8"?>
<x:table xmlns:x="http://schemas.openxmlformats.org/spreadsheetml/2006/main" id="7" name="MatrizCobertura150x17" displayName="MatrizCobertura150x17" ref="A4:X154" headerRowCount="1" totalsRowCount="0" totalsRowShown="0">
  <x:tableColumns count="24">
    <x:tableColumn id="1" name="Orden"/>
    <x:tableColumn id="2" name="Segmento"/>
    <x:tableColumn id="3" name="Institución"/>
    <x:tableColumn id="4" name="País"/>
    <x:tableColumn id="5" name="Región"/>
    <x:tableColumn id="6" name="Evidencia"/>
    <x:tableColumn id="7" name="N.º rutas"/>
    <x:tableColumn id="8" name="PRE"/>
    <x:tableColumn id="9" name="MAT"/>
    <x:tableColumn id="10" name="CST"/>
    <x:tableColumn id="11" name="SYS"/>
    <x:tableColumn id="12" name="SWE"/>
    <x:tableColumn id="13" name="DAI"/>
    <x:tableColumn id="14" name="NET"/>
    <x:tableColumn id="15" name="CYB"/>
    <x:tableColumn id="16" name="EIO"/>
    <x:tableColumn id="17" name="ROB"/>
    <x:tableColumn id="18" name="REP"/>
    <x:tableColumn id="19" name="GXR"/>
    <x:tableColumn id="20" name="MED"/>
    <x:tableColumn id="21" name="ISM"/>
    <x:tableColumn id="22" name="BIO"/>
    <x:tableColumn id="23" name="QUA"/>
    <x:tableColumn id="24" name="CAP"/>
  </x:tableColumns>
  <x:tableStyleInfo name="TableStyleMedium2" showFirstColumn="0" showLastColumn="0" showRowStripes="1" showColumnStripes="0"/>
</x:table>
</file>

<file path=xl/tables/table13.xml><?xml version="1.0" encoding="utf-8"?>
<x:table xmlns:x="http://schemas.openxmlformats.org/spreadsheetml/2006/main" id="8" name="TrazabilidadMaterias533" displayName="TrazabilidadMaterias533" ref="A4:I537" headerRowCount="1" totalsRowCount="0" totalsRowShown="0">
  <x:tableColumns count="9">
    <x:tableColumn id="1" name="ID"/>
    <x:tableColumn id="2" name="Materia normalizada"/>
    <x:tableColumn id="3" name="Ruta"/>
    <x:tableColumn id="4" name="Fase"/>
    <x:tableColumn id="5" name="Prioridad"/>
    <x:tableColumn id="6" name="Instituciones que cubren la ruta"/>
    <x:tableColumn id="7" name="Nivel A en la ruta"/>
    <x:tableColumn id="8" name="Anclas visibles"/>
    <x:tableColumn id="9" name="Interpretac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5" dT="2026-07-30T04:17:00.77" personId="{8150CEDC-3524-4A9C-9BB4-88C82EE13642}" id="{5B4E05C8-D0D6-D1A9-6FB3-2EB0AD473600}">
    <xltc:text>Criterio de síntesis: normalización por resultados de aprendizaje y contenidos, con deduplicación de nombres equivalentes.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798aa028e92f489a" /><Relationship Type="http://schemas.openxmlformats.org/officeDocument/2006/relationships/vmlDrawing" Target="/xl/drawings/vmldrawing.vml" Id="R5457461b557943a0" /><Relationship Type="http://schemas.microsoft.com/office/2017/10/relationships/threadedComment" Target="/xl/threadedcomments/threadedcomment.xml" Id="R401c693c14b94250" /></Relationships>
</file>

<file path=xl/worksheets/_rels/sheet2.xml.rels>&#65279;<?xml version="1.0" encoding="utf-8"?><Relationships xmlns="http://schemas.openxmlformats.org/package/2006/relationships"><Relationship Type="http://schemas.openxmlformats.org/officeDocument/2006/relationships/table" Target="/xl/tables/table1.xml" Id="R2dbfe0e764bd4aea" /></Relationships>
</file>

<file path=xl/worksheets/_rels/sheet3.xml.rels>&#65279;<?xml version="1.0" encoding="utf-8"?><Relationships xmlns="http://schemas.openxmlformats.org/package/2006/relationships"><Relationship Type="http://schemas.openxmlformats.org/officeDocument/2006/relationships/drawing" Target="/xl/drawings/drawing1.xml" Id="R72a57ee05505424f" /><Relationship Type="http://schemas.openxmlformats.org/officeDocument/2006/relationships/table" Target="/xl/tables/table2.xml" Id="Rf7d7a294060448a1" /></Relationships>
</file>

<file path=xl/worksheets/_rels/sheet4.xml.rels>&#65279;<?xml version="1.0" encoding="utf-8"?><Relationships xmlns="http://schemas.openxmlformats.org/package/2006/relationships"><Relationship Type="http://schemas.openxmlformats.org/officeDocument/2006/relationships/table" Target="/xl/tables/table3.xml" Id="Rd6152067d26a49ed" /></Relationships>
</file>

<file path=xl/worksheets/_rels/sheet5.xml.rels>&#65279;<?xml version="1.0" encoding="utf-8"?><Relationships xmlns="http://schemas.openxmlformats.org/package/2006/relationships"><Relationship Type="http://schemas.openxmlformats.org/officeDocument/2006/relationships/table" Target="/xl/tables/table4.xml" Id="Rd31a013c3eb84c78" /></Relationships>
</file>

<file path=xl/worksheets/_rels/sheet6.xml.rels>&#65279;<?xml version="1.0" encoding="utf-8"?><Relationships xmlns="http://schemas.openxmlformats.org/package/2006/relationships"><Relationship Type="http://schemas.openxmlformats.org/officeDocument/2006/relationships/table" Target="/xl/tables/table5.xml" Id="R74f427ee64d0481c" /></Relationships>
</file>

<file path=xl/worksheets/_rels/sheet7.xml.rels>&#65279;<?xml version="1.0" encoding="utf-8"?><Relationships xmlns="http://schemas.openxmlformats.org/package/2006/relationships"><Relationship Type="http://schemas.openxmlformats.org/officeDocument/2006/relationships/table" Target="/xl/tables/table6.xml" Id="R3bdc7b33253f4a9b" /></Relationships>
</file>

<file path=xl/worksheets/_rels/sheet8.xml.rels>&#65279;<?xml version="1.0" encoding="utf-8"?><Relationships xmlns="http://schemas.openxmlformats.org/package/2006/relationships"><Relationship Type="http://schemas.openxmlformats.org/officeDocument/2006/relationships/drawing" Target="/xl/drawings/drawing2.xml" Id="R6191a502b63040a0" /><Relationship Type="http://schemas.openxmlformats.org/officeDocument/2006/relationships/table" Target="/xl/tables/table7.xml" Id="R59704f625998487b" /></Relationships>
</file>

<file path=xl/worksheets/_rels/sheet9.xml.rels>&#65279;<?xml version="1.0" encoding="utf-8"?><Relationships xmlns="http://schemas.openxmlformats.org/package/2006/relationships"><Relationship Type="http://schemas.openxmlformats.org/officeDocument/2006/relationships/table" Target="/xl/tables/table8.xml" Id="R6fd15e8ac94941f4" /></Relationships>
</file>

<file path=xl/worksheets/_rels/sheet10.xml.rels>&#65279;<?xml version="1.0" encoding="utf-8"?><Relationships xmlns="http://schemas.openxmlformats.org/package/2006/relationships"><Relationship Type="http://schemas.openxmlformats.org/officeDocument/2006/relationships/table" Target="/xl/tables/table9.xml" Id="R91cf6b0b076d4ed6" /></Relationships>
</file>

<file path=xl/worksheets/_rels/sheet11.xml.rels>&#65279;<?xml version="1.0" encoding="utf-8"?><Relationships xmlns="http://schemas.openxmlformats.org/package/2006/relationships"><Relationship Type="http://schemas.openxmlformats.org/officeDocument/2006/relationships/table" Target="/xl/tables/table10.xml" Id="R547fdfe6218747b3" /></Relationships>
</file>

<file path=xl/worksheets/_rels/sheet12.xml.rels>&#65279;<?xml version="1.0" encoding="utf-8"?><Relationships xmlns="http://schemas.openxmlformats.org/package/2006/relationships"><Relationship Type="http://schemas.openxmlformats.org/officeDocument/2006/relationships/table" Target="/xl/tables/table11.xml" Id="R7815a33691fe4b36" /></Relationships>
</file>

<file path=xl/worksheets/_rels/sheet13.xml.rels>&#65279;<?xml version="1.0" encoding="utf-8"?><Relationships xmlns="http://schemas.openxmlformats.org/package/2006/relationships"><Relationship Type="http://schemas.openxmlformats.org/officeDocument/2006/relationships/table" Target="/xl/tables/table12.xml" Id="Ra45ab7e04e3f444e" /></Relationships>
</file>

<file path=xl/worksheets/_rels/sheet15.xml.rels>&#65279;<?xml version="1.0" encoding="utf-8"?><Relationships xmlns="http://schemas.openxmlformats.org/package/2006/relationships"><Relationship Type="http://schemas.openxmlformats.org/officeDocument/2006/relationships/table" Target="/xl/tables/table13.xml" Id="R0ad27962ff094765"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12"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232" t="str">
        <x:v>MEGACARRERA MUNDIAL DE INFORMÁTICA, SISTEMAS Y TECNOLOGÍAS CONVERGENTES</x:v>
      </x:c>
      <x:c r="B1" s="232" t="str">
        <x:v>MEGACARRERA MUNDIAL DE INFORMÁTICA, SISTEMAS Y TECNOLOGÍAS CONVERGENTES</x:v>
      </x:c>
      <x:c r="C1" s="232" t="str">
        <x:v>MEGACARRERA MUNDIAL DE INFORMÁTICA, SISTEMAS Y TECNOLOGÍAS CONVERGENTES</x:v>
      </x:c>
      <x:c r="D1" s="232" t="str">
        <x:v>MEGACARRERA MUNDIAL DE INFORMÁTICA, SISTEMAS Y TECNOLOGÍAS CONVERGENTES</x:v>
      </x:c>
      <x:c r="E1" s="232" t="str">
        <x:v>MEGACARRERA MUNDIAL DE INFORMÁTICA, SISTEMAS Y TECNOLOGÍAS CONVERGENTES</x:v>
      </x:c>
      <x:c r="F1" s="232" t="str">
        <x:v>MEGACARRERA MUNDIAL DE INFORMÁTICA, SISTEMAS Y TECNOLOGÍAS CONVERGENTES</x:v>
      </x:c>
      <x:c r="G1" s="232" t="str">
        <x:v>MEGACARRERA MUNDIAL DE INFORMÁTICA, SISTEMAS Y TECNOLOGÍAS CONVERGENTES</x:v>
      </x:c>
      <x:c r="H1" s="232" t="str">
        <x:v>MEGACARRERA MUNDIAL DE INFORMÁTICA, SISTEMAS Y TECNOLOGÍAS CONVERGENTES</x:v>
      </x:c>
    </x:row>
    <x:row r="2" ht="30" customHeight="1">
      <x:c r="A2" s="233" t="str">
        <x:v>Diseño autónomo para Julio Humberto Vera Palacios · versión definitiva 3.0 · panel mundial de 150 instituciones · actualizado al 29 de julio de 2026</x:v>
      </x:c>
      <x:c r="B2" s="233" t="str">
        <x:v>Diseño autónomo para Julio Humberto Vera Palacios · versión definitiva 3.0 · panel mundial de 150 instituciones · actualizado al 29 de julio de 2026</x:v>
      </x:c>
      <x:c r="C2" s="233" t="str">
        <x:v>Diseño autónomo para Julio Humberto Vera Palacios · versión definitiva 3.0 · panel mundial de 150 instituciones · actualizado al 29 de julio de 2026</x:v>
      </x:c>
      <x:c r="D2" s="233" t="str">
        <x:v>Diseño autónomo para Julio Humberto Vera Palacios · versión definitiva 3.0 · panel mundial de 150 instituciones · actualizado al 29 de julio de 2026</x:v>
      </x:c>
      <x:c r="E2" s="233" t="str">
        <x:v>Diseño autónomo para Julio Humberto Vera Palacios · versión definitiva 3.0 · panel mundial de 150 instituciones · actualizado al 29 de julio de 2026</x:v>
      </x:c>
      <x:c r="F2" s="233" t="str">
        <x:v>Diseño autónomo para Julio Humberto Vera Palacios · versión definitiva 3.0 · panel mundial de 150 instituciones · actualizado al 29 de julio de 2026</x:v>
      </x:c>
      <x:c r="G2" s="233" t="str">
        <x:v>Diseño autónomo para Julio Humberto Vera Palacios · versión definitiva 3.0 · panel mundial de 150 instituciones · actualizado al 29 de julio de 2026</x:v>
      </x:c>
      <x:c r="H2" s="233" t="str">
        <x:v>Diseño autónomo para Julio Humberto Vera Palacios · versión definitiva 3.0 · panel mundial de 150 instituciones · actualizado al 29 de julio de 2026</x:v>
      </x:c>
    </x:row>
    <x:row r="3">
      <x:c r="A3" s="234"/>
      <x:c r="B3" s="234"/>
      <x:c r="C3" s="234"/>
      <x:c r="D3" s="234"/>
      <x:c r="E3" s="234"/>
      <x:c r="F3" s="234"/>
      <x:c r="G3" s="234"/>
      <x:c r="H3" s="234"/>
    </x:row>
    <x:row r="4">
      <x:c r="A4" s="235" t="str">
        <x:v>Indicador</x:v>
      </x:c>
      <x:c r="B4" s="235" t="str">
        <x:v>Resultado</x:v>
      </x:c>
      <x:c r="C4" s="236"/>
      <x:c r="D4" s="235" t="str">
        <x:v>Decisión metodológica</x:v>
      </x:c>
      <x:c r="E4" s="235" t="str">
        <x:v>Decisión metodológica</x:v>
      </x:c>
      <x:c r="F4" s="235" t="str">
        <x:v>Decisión metodológica</x:v>
      </x:c>
      <x:c r="G4" s="235" t="str">
        <x:v>Decisión metodológica</x:v>
      </x:c>
      <x:c r="H4" s="235" t="str">
        <x:v>Decisión metodológica</x:v>
      </x:c>
    </x:row>
    <x:row r="5">
      <x:c r="A5" s="237" t="str">
        <x:v>Materias/módulos únicos</x:v>
      </x:c>
      <x:c r="B5" s="238" t="n">
        <x:f>COUNTA('Cursos'!$A$5:$A$1000)</x:f>
        <x:v>533</x:v>
      </x:c>
      <x:c r="C5" s="236"/>
      <x:c r="D5" s="239"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5" s="240"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5" s="240"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5" s="240"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5" s="241"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6">
      <x:c r="A6" s="237" t="str">
        <x:v>Rutas de conocimiento</x:v>
      </x:c>
      <x:c r="B6" s="238" t="n">
        <x:f>COUNTA('Rutas'!$A$5:$A$40)</x:f>
        <x:v>17</x:v>
      </x:c>
      <x:c r="C6" s="236"/>
      <x:c r="D6"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6"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6"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6"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6"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7">
      <x:c r="A7" s="237" t="str">
        <x:v>Horas totales</x:v>
      </x:c>
      <x:c r="B7" s="238" t="n">
        <x:f>SUM('Cursos'!$N$5:$N$1000)</x:f>
        <x:v>49828</x:v>
      </x:c>
      <x:c r="C7" s="236"/>
      <x:c r="D7"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7"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7"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7"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7"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8">
      <x:c r="A8" s="237" t="str">
        <x:v>ECTS equivalentes</x:v>
      </x:c>
      <x:c r="B8" s="245" t="n">
        <x:f>SUM('Cursos'!$O$5:$O$1000)</x:f>
        <x:v>1993.1199999999903</x:v>
      </x:c>
      <x:c r="C8" s="236"/>
      <x:c r="D8"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8"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8"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8"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8"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9">
      <x:c r="A9" s="237" t="str">
        <x:v>Años a 20 h/semana</x:v>
      </x:c>
      <x:c r="B9" s="246" t="n">
        <x:f>B7/(20*48)</x:f>
        <x:v>51.90416666666667</x:v>
      </x:c>
      <x:c r="C9" s="236"/>
      <x:c r="D9"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9"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9"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9"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9"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10">
      <x:c r="A10" s="237" t="str">
        <x:v>Años a 30 h/semana</x:v>
      </x:c>
      <x:c r="B10" s="246" t="n">
        <x:f>B7/(30*48)</x:f>
        <x:v>34.602777777777774</x:v>
      </x:c>
      <x:c r="C10" s="236"/>
      <x:c r="D10"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10"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10"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10"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10"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11">
      <x:c r="A11" s="237" t="str">
        <x:v>Años a 40 h/semana</x:v>
      </x:c>
      <x:c r="B11" s="246" t="n">
        <x:f>B7/(40*48)</x:f>
        <x:v>25.952083333333334</x:v>
      </x:c>
      <x:c r="C11" s="236"/>
      <x:c r="D11"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11"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11"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11"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11"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12">
      <x:c r="A12" s="237" t="str">
        <x:v>Instituciones representativas auditadas</x:v>
      </x:c>
      <x:c r="B12" s="247" t="n">
        <x:f>COUNTA('Panel mundial 150'!$A$5:$A$154)</x:f>
        <x:v>150</x:v>
      </x:c>
      <x:c r="C12" s="236"/>
      <x:c r="D12" s="242"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12"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12"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12" s="243"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12" s="244"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13">
      <x:c r="A13" s="237" t="str">
        <x:v>Fuentes oficiales y marcos</x:v>
      </x:c>
      <x:c r="B13" s="247" t="n">
        <x:f>COUNTA('Fuentes'!$A$5:$A$200)</x:f>
        <x:v>76</x:v>
      </x:c>
      <x:c r="C13" s="236"/>
      <x:c r="D13" s="248"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E13" s="249"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F13" s="249"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G13" s="249"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c r="H13" s="250" t="str">
        <x:v>Versión definitiva dentro de un alcance científicamente defendible: se auditaron 150 instituciones (100 líderes globales, 30 especialistas y 20 referentes regionales) y se registró para cada una la fuente oficial, el portafolio curricular normalizado, la cobertura de 17 rutas y el nivel de evidencia. No se afirma haber censado todas las universidades del planeta. Las 533 materias son una síntesis deduplicada por contenido, contrastada con mallas detalladas, catálogos oficiales y marcos internacionales.</x:v>
      </x:c>
    </x:row>
    <x:row r="14">
      <x:c r="A14" s="237" t="str">
        <x:v>Países/territorios representados</x:v>
      </x:c>
      <x:c r="B14" s="247" t="n">
        <x:v>32</x:v>
      </x:c>
      <x:c r="C14" s="236"/>
      <x:c r="D14" s="236"/>
      <x:c r="E14" s="236"/>
      <x:c r="F14" s="236"/>
      <x:c r="G14" s="236"/>
      <x:c r="H14" s="236"/>
    </x:row>
    <x:row r="15">
      <x:c r="A15" s="251" t="str">
        <x:v>Cómo usar esta malla</x:v>
      </x:c>
      <x:c r="B15" s="251" t="str">
        <x:v>Cómo usar esta malla</x:v>
      </x:c>
      <x:c r="C15" s="251" t="str">
        <x:v>Cómo usar esta malla</x:v>
      </x:c>
      <x:c r="D15" s="251" t="str">
        <x:v>Cómo usar esta malla</x:v>
      </x:c>
      <x:c r="E15" s="251" t="str">
        <x:v>Cómo usar esta malla</x:v>
      </x:c>
      <x:c r="F15" s="251" t="str">
        <x:v>Cómo usar esta malla</x:v>
      </x:c>
      <x:c r="G15" s="251" t="str">
        <x:v>Cómo usar esta malla</x:v>
      </x:c>
      <x:c r="H15" s="251" t="str">
        <x:v>Cómo usar esta malla</x:v>
      </x:c>
    </x:row>
    <x:row r="16">
      <x:c r="A16" s="252"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B16" s="253"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C16" s="253"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D16" s="253"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E16" s="253"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F16" s="253"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G16" s="253"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H16" s="254"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row>
    <x:row r="17">
      <x:c r="A17" s="255"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B17"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C17"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D17"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E17"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F17"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G17"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H17" s="257"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row>
    <x:row r="18">
      <x:c r="A18" s="255"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B18"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C18"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D18"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E18"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F18"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G18"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H18" s="257"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row>
    <x:row r="19">
      <x:c r="A19" s="255"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B19"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C19"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D19"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E19"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F19"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G19" s="256"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H19" s="257"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row>
    <x:row r="20">
      <x:c r="A20" s="258"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B20" s="259"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C20" s="259"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D20" s="259"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E20" s="259"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F20" s="259"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G20" s="259"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c r="H20" s="260" t="str">
        <x:v>1) Empieza por Prioridad 1 y no avances sin proyectos. 2) Elige después una ruta profesional de Prioridad 2. 3) Añade materias de Prioridad 3 solo cuando fortalezcan tu meta. 4) En la hoja Cursos registra Estado y Avance. 5) La megacarrera completa no equivale a una sola licenciatura: es un proyecto de muchos años. El dominio real exige práctica deliberada, experiencia profesional, lectura de documentación, inglés técnico y actualización permanente.</x:v>
      </x:c>
    </x:row>
    <x:row r="21">
      <x:c r="A21" s="236"/>
      <x:c r="B21" s="236"/>
      <x:c r="C21" s="236"/>
      <x:c r="D21" s="236"/>
      <x:c r="E21" s="236"/>
      <x:c r="F21" s="236"/>
      <x:c r="G21" s="236"/>
      <x:c r="H21" s="236"/>
    </x:row>
    <x:row r="22">
      <x:c r="A22" s="261" t="str">
        <x:v>Límite ético de ciberseguridad</x:v>
      </x:c>
      <x:c r="B22" s="261" t="str">
        <x:v>Límite ético de ciberseguridad</x:v>
      </x:c>
      <x:c r="C22" s="261" t="str">
        <x:v>Límite ético de ciberseguridad</x:v>
      </x:c>
      <x:c r="D22" s="261" t="str">
        <x:v>Límite ético de ciberseguridad</x:v>
      </x:c>
      <x:c r="E22" s="261" t="str">
        <x:v>Límite ético de ciberseguridad</x:v>
      </x:c>
      <x:c r="F22" s="261" t="str">
        <x:v>Límite ético de ciberseguridad</x:v>
      </x:c>
      <x:c r="G22" s="261" t="str">
        <x:v>Límite ético de ciberseguridad</x:v>
      </x:c>
      <x:c r="H22" s="261" t="str">
        <x:v>Límite ético de ciberseguridad</x:v>
      </x:c>
    </x:row>
    <x:row r="23">
      <x:c r="A23" s="262"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B23" s="263"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C23" s="263"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D23" s="263"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E23" s="263"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F23" s="263"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G23" s="263"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H23" s="264"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row>
    <x:row r="24">
      <x:c r="A24" s="265"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B24" s="266"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C24" s="266"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D24" s="266"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E24" s="266"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F24" s="266"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G24" s="266"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H24" s="267"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row>
    <x:row r="25">
      <x:c r="A25" s="268"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B25" s="269"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C25" s="269"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D25" s="269"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E25" s="269"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F25" s="269"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G25" s="269"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c r="H25" s="270" t="str">
        <x:v>La ruta ofensiva está diseñada para laboratorios propios, CTFs y sistemas con autorización explícita. No incluye como objetivo acceder, dañar, vigilar o extraer información de terceros sin permiso. El aprendizaje profesional combina técnicas ofensivas con derecho, alcance, reporte, remediación y divulgación responsable.</x:v>
      </x:c>
    </x:row>
    <x:row r="26">
      <x:c r="A26" s="234"/>
      <x:c r="B26" s="234"/>
      <x:c r="C26" s="234"/>
      <x:c r="D26" s="234"/>
      <x:c r="E26" s="234"/>
      <x:c r="F26" s="234"/>
      <x:c r="G26" s="234"/>
      <x:c r="H26" s="234"/>
    </x:row>
    <x:row r="27">
      <x:c r="A27" s="271" t="str">
        <x:v>Alcance recomendado</x:v>
      </x:c>
      <x:c r="B27" s="271" t="str">
        <x:v>Filtro</x:v>
      </x:c>
      <x:c r="C27" s="271" t="str">
        <x:v>Materias</x:v>
      </x:c>
      <x:c r="D27" s="271" t="str">
        <x:v>Horas</x:v>
      </x:c>
      <x:c r="E27" s="271" t="str">
        <x:v>Años a 30 h/sem</x:v>
      </x:c>
      <x:c r="F27" s="234"/>
      <x:c r="G27" s="234"/>
      <x:c r="H27" s="234"/>
    </x:row>
    <x:row r="28">
      <x:c r="A28" s="272" t="str">
        <x:v>Núcleo esencial</x:v>
      </x:c>
      <x:c r="B28" s="272" t="str">
        <x:v>Prioridad = 1</x:v>
      </x:c>
      <x:c r="C28" s="273" t="n">
        <x:f>COUNTIF('Cursos'!$J$5:$J$1000,1)</x:f>
        <x:v>201</x:v>
      </x:c>
      <x:c r="D28" s="273" t="n">
        <x:f>SUMIF('Cursos'!$J$5:$J$1000,1,'Cursos'!$N$5:$N$1000)</x:f>
        <x:v>20100</x:v>
      </x:c>
      <x:c r="E28" s="274" t="n">
        <x:f>D28/(30*48)</x:f>
        <x:v>13.958333333333334</x:v>
      </x:c>
      <x:c r="F28" s="234"/>
      <x:c r="G28" s="234"/>
      <x:c r="H28" s="234"/>
    </x:row>
    <x:row r="29">
      <x:c r="A29" s="275" t="str">
        <x:v>Perfil profesional amplio</x:v>
      </x:c>
      <x:c r="B29" s="275" t="str">
        <x:v>Prioridad ≤ 2</x:v>
      </x:c>
      <x:c r="C29" s="276" t="n">
        <x:f>COUNTIF('Cursos'!$J$5:$J$1000,1)+COUNTIF('Cursos'!$J$5:$J$1000,2)</x:f>
        <x:v>453</x:v>
      </x:c>
      <x:c r="D29" s="276" t="n">
        <x:f>SUMIF('Cursos'!$J$5:$J$1000,1,'Cursos'!$N$5:$N$1000)+SUMIF('Cursos'!$J$5:$J$1000,2,'Cursos'!$N$5:$N$1000)</x:f>
        <x:v>42640</x:v>
      </x:c>
      <x:c r="E29" s="277" t="n">
        <x:f>D29/(30*48)</x:f>
        <x:v>29.61111111111111</x:v>
      </x:c>
      <x:c r="F29" s="234"/>
      <x:c r="G29" s="234"/>
      <x:c r="H29" s="234"/>
    </x:row>
    <x:row r="30">
      <x:c r="A30" s="278" t="str">
        <x:v>Enciclopedia completa</x:v>
      </x:c>
      <x:c r="B30" s="278" t="str">
        <x:v>Prioridad 1–3</x:v>
      </x:c>
      <x:c r="C30" s="279" t="n">
        <x:f>COUNTA('Cursos'!$A$5:$A$1000)</x:f>
        <x:v>533</x:v>
      </x:c>
      <x:c r="D30" s="279" t="n">
        <x:f>SUM('Cursos'!$N$5:$N$1000)</x:f>
        <x:v>49828</x:v>
      </x:c>
      <x:c r="E30" s="280" t="n">
        <x:f>D30/(30*48)</x:f>
        <x:v>34.602777777777774</x:v>
      </x:c>
      <x:c r="F30" s="234"/>
      <x:c r="G30" s="234"/>
      <x:c r="H30" s="234"/>
    </x:row>
    <x:row r="31">
      <x:c r="A31" s="234"/>
      <x:c r="B31" s="234"/>
      <x:c r="C31" s="234"/>
      <x:c r="D31" s="234"/>
      <x:c r="E31" s="234"/>
      <x:c r="F31" s="234"/>
      <x:c r="G31" s="234"/>
      <x:c r="H31" s="234"/>
    </x:row>
    <x:row r="32">
      <x:c r="A32" s="281"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B32" s="282"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C32" s="282"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D32" s="282"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E32" s="282"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F32" s="282"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G32" s="282"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H32" s="283"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row>
    <x:row r="33">
      <x:c r="A33" s="284"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B33" s="285"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C33" s="285"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D33" s="285"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E33" s="285"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F33" s="285"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G33" s="285"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H33" s="286"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row>
    <x:row r="34">
      <x:c r="A34" s="287"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B34" s="288"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C34" s="288"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D34" s="288"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E34" s="288"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F34" s="288"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G34" s="288"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c r="H34" s="289" t="str">
        <x:v>Interpretación: las materias forman una enciclopedia curricular, no una recomendación de cursarlas todas en fila. Varias rutas son alternativas profesionales. Para superar una universidad convencional, domina primero el núcleo esencial, completa una ruta principal y una complementaria, trabaja en proyectos reales y vuelve a la malla cada año.</x:v>
      </x:c>
    </x:row>
    <x:row r="35">
      <x:c r="A35" s="234"/>
      <x:c r="B35" s="234"/>
      <x:c r="C35" s="234"/>
      <x:c r="D35" s="234"/>
      <x:c r="E35" s="234"/>
      <x:c r="F35" s="234"/>
      <x:c r="G35" s="234"/>
      <x:c r="H35" s="234"/>
    </x:row>
    <x:row r="36">
      <x:c r="A36" s="290" t="str">
        <x:v>COBERTURA TEMPORAL Y PROSPECTIVA DE LA VERSIÓN DEFINITIVA</x:v>
      </x:c>
      <x:c r="B36" s="290" t="str">
        <x:v>COBERTURA TEMPORAL Y PROSPECTIVA DE LA VERSIÓN DEFINITIVA</x:v>
      </x:c>
      <x:c r="C36" s="290" t="str">
        <x:v>COBERTURA TEMPORAL Y PROSPECTIVA DE LA VERSIÓN DEFINITIVA</x:v>
      </x:c>
      <x:c r="D36" s="290" t="str">
        <x:v>COBERTURA TEMPORAL Y PROSPECTIVA DE LA VERSIÓN DEFINITIVA</x:v>
      </x:c>
      <x:c r="E36" s="290" t="str">
        <x:v>COBERTURA TEMPORAL Y PROSPECTIVA DE LA VERSIÓN DEFINITIVA</x:v>
      </x:c>
      <x:c r="F36" s="290" t="str">
        <x:v>COBERTURA TEMPORAL Y PROSPECTIVA DE LA VERSIÓN DEFINITIVA</x:v>
      </x:c>
      <x:c r="G36" s="290" t="str">
        <x:v>COBERTURA TEMPORAL Y PROSPECTIVA DE LA VERSIÓN DEFINITIVA</x:v>
      </x:c>
      <x:c r="H36" s="290" t="str">
        <x:v>COBERTURA TEMPORAL Y PROSPECTIVA DE LA VERSIÓN DEFINITIVA</x:v>
      </x:c>
    </x:row>
    <x:row r="37" ht="34" customHeight="1">
      <x:c r="A37" s="291" t="str">
        <x:v>Pasado</x:v>
      </x:c>
      <x:c r="B37" s="292" t="str">
        <x:v>Origen, revoluciones, transiciones y lecciones históricas por cada una de las 17 rutas.</x:v>
      </x:c>
      <x:c r="C37" s="292" t="str">
        <x:v>Origen, revoluciones, transiciones y lecciones históricas por cada una de las 17 rutas.</x:v>
      </x:c>
      <x:c r="D37" s="292" t="str">
        <x:v>Origen, revoluciones, transiciones y lecciones históricas por cada una de las 17 rutas.</x:v>
      </x:c>
      <x:c r="E37" s="292" t="str">
        <x:v>Origen, revoluciones, transiciones y lecciones históricas por cada una de las 17 rutas.</x:v>
      </x:c>
      <x:c r="F37" s="292" t="str">
        <x:v>Origen, revoluciones, transiciones y lecciones históricas por cada una de las 17 rutas.</x:v>
      </x:c>
      <x:c r="G37" s="292" t="str">
        <x:v>Origen, revoluciones, transiciones y lecciones históricas por cada una de las 17 rutas.</x:v>
      </x:c>
      <x:c r="H37" s="292" t="str">
        <x:v>Origen, revoluciones, transiciones y lecciones históricas por cada una de las 17 rutas.</x:v>
      </x:c>
    </x:row>
    <x:row r="38" ht="34" customHeight="1">
      <x:c r="A38" s="293" t="str">
        <x:v>Presente 2026</x:v>
      </x:c>
      <x:c r="B38" s="294" t="str">
        <x:v>Estado actual, madurez, prácticas vigentes, riesgos, normas y fuentes oficiales.</x:v>
      </x:c>
      <x:c r="C38" s="294" t="str">
        <x:v>Estado actual, madurez, prácticas vigentes, riesgos, normas y fuentes oficiales.</x:v>
      </x:c>
      <x:c r="D38" s="294" t="str">
        <x:v>Estado actual, madurez, prácticas vigentes, riesgos, normas y fuentes oficiales.</x:v>
      </x:c>
      <x:c r="E38" s="294" t="str">
        <x:v>Estado actual, madurez, prácticas vigentes, riesgos, normas y fuentes oficiales.</x:v>
      </x:c>
      <x:c r="F38" s="294" t="str">
        <x:v>Estado actual, madurez, prácticas vigentes, riesgos, normas y fuentes oficiales.</x:v>
      </x:c>
      <x:c r="G38" s="294" t="str">
        <x:v>Estado actual, madurez, prácticas vigentes, riesgos, normas y fuentes oficiales.</x:v>
      </x:c>
      <x:c r="H38" s="294" t="str">
        <x:v>Estado actual, madurez, prácticas vigentes, riesgos, normas y fuentes oficiales.</x:v>
      </x:c>
    </x:row>
    <x:row r="39" ht="34" customHeight="1">
      <x:c r="A39" s="293" t="str">
        <x:v>Corto 2027–2029</x:v>
      </x:c>
      <x:c r="B39" s="294" t="str">
        <x:v>Adopciones probables o ya encaminadas; revisar señales cada 1–6 meses.</x:v>
      </x:c>
      <x:c r="C39" s="294" t="str">
        <x:v>Adopciones probables o ya encaminadas; revisar señales cada 1–6 meses.</x:v>
      </x:c>
      <x:c r="D39" s="294" t="str">
        <x:v>Adopciones probables o ya encaminadas; revisar señales cada 1–6 meses.</x:v>
      </x:c>
      <x:c r="E39" s="294" t="str">
        <x:v>Adopciones probables o ya encaminadas; revisar señales cada 1–6 meses.</x:v>
      </x:c>
      <x:c r="F39" s="294" t="str">
        <x:v>Adopciones probables o ya encaminadas; revisar señales cada 1–6 meses.</x:v>
      </x:c>
      <x:c r="G39" s="294" t="str">
        <x:v>Adopciones probables o ya encaminadas; revisar señales cada 1–6 meses.</x:v>
      </x:c>
      <x:c r="H39" s="294" t="str">
        <x:v>Adopciones probables o ya encaminadas; revisar señales cada 1–6 meses.</x:v>
      </x:c>
    </x:row>
    <x:row r="40" ht="34" customHeight="1">
      <x:c r="A40" s="293" t="str">
        <x:v>Mediano 2030–2035</x:v>
      </x:c>
      <x:c r="B40" s="294" t="str">
        <x:v>Tecnologías emergentes condicionadas por estándares, economía, regulación y evidencia.</x:v>
      </x:c>
      <x:c r="C40" s="294" t="str">
        <x:v>Tecnologías emergentes condicionadas por estándares, economía, regulación y evidencia.</x:v>
      </x:c>
      <x:c r="D40" s="294" t="str">
        <x:v>Tecnologías emergentes condicionadas por estándares, economía, regulación y evidencia.</x:v>
      </x:c>
      <x:c r="E40" s="294" t="str">
        <x:v>Tecnologías emergentes condicionadas por estándares, economía, regulación y evidencia.</x:v>
      </x:c>
      <x:c r="F40" s="294" t="str">
        <x:v>Tecnologías emergentes condicionadas por estándares, economía, regulación y evidencia.</x:v>
      </x:c>
      <x:c r="G40" s="294" t="str">
        <x:v>Tecnologías emergentes condicionadas por estándares, economía, regulación y evidencia.</x:v>
      </x:c>
      <x:c r="H40" s="294" t="str">
        <x:v>Tecnologías emergentes condicionadas por estándares, economía, regulación y evidencia.</x:v>
      </x:c>
    </x:row>
    <x:row r="41" ht="34" customHeight="1">
      <x:c r="A41" s="293" t="str">
        <x:v>Largo 2036–2045</x:v>
      </x:c>
      <x:c r="B41" s="294" t="str">
        <x:v>Escenarios de menor confianza; priorizar fundamentos transferibles y opciones reversibles.</x:v>
      </x:c>
      <x:c r="C41" s="294" t="str">
        <x:v>Escenarios de menor confianza; priorizar fundamentos transferibles y opciones reversibles.</x:v>
      </x:c>
      <x:c r="D41" s="294" t="str">
        <x:v>Escenarios de menor confianza; priorizar fundamentos transferibles y opciones reversibles.</x:v>
      </x:c>
      <x:c r="E41" s="294" t="str">
        <x:v>Escenarios de menor confianza; priorizar fundamentos transferibles y opciones reversibles.</x:v>
      </x:c>
      <x:c r="F41" s="294" t="str">
        <x:v>Escenarios de menor confianza; priorizar fundamentos transferibles y opciones reversibles.</x:v>
      </x:c>
      <x:c r="G41" s="294" t="str">
        <x:v>Escenarios de menor confianza; priorizar fundamentos transferibles y opciones reversibles.</x:v>
      </x:c>
      <x:c r="H41" s="294" t="str">
        <x:v>Escenarios de menor confianza; priorizar fundamentos transferibles y opciones reversibles.</x:v>
      </x:c>
    </x:row>
    <x:row r="42" ht="34" customHeight="1">
      <x:c r="A42" s="295" t="str">
        <x:v>Muy largo &gt;2045</x:v>
      </x:c>
      <x:c r="B42" s="296" t="str">
        <x:v>Alternativas especulativas, no predicciones; confianza explícitamente baja.</x:v>
      </x:c>
      <x:c r="C42" s="296" t="str">
        <x:v>Alternativas especulativas, no predicciones; confianza explícitamente baja.</x:v>
      </x:c>
      <x:c r="D42" s="296" t="str">
        <x:v>Alternativas especulativas, no predicciones; confianza explícitamente baja.</x:v>
      </x:c>
      <x:c r="E42" s="296" t="str">
        <x:v>Alternativas especulativas, no predicciones; confianza explícitamente baja.</x:v>
      </x:c>
      <x:c r="F42" s="296" t="str">
        <x:v>Alternativas especulativas, no predicciones; confianza explícitamente baja.</x:v>
      </x:c>
      <x:c r="G42" s="296" t="str">
        <x:v>Alternativas especulativas, no predicciones; confianza explícitamente baja.</x:v>
      </x:c>
      <x:c r="H42" s="296" t="str">
        <x:v>Alternativas especulativas, no predicciones; confianza explícitamente baja.</x:v>
      </x:c>
    </x:row>
    <x:row r="43">
      <x:c r="A43" s="234"/>
      <x:c r="B43" s="234"/>
      <x:c r="C43" s="234"/>
      <x:c r="D43" s="234"/>
      <x:c r="E43" s="234"/>
      <x:c r="F43" s="234"/>
      <x:c r="G43" s="234"/>
      <x:c r="H43" s="234"/>
    </x:row>
    <x:row r="44">
      <x:c r="A44" s="297"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B44" s="298"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C44" s="298"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D44" s="298"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E44" s="298"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F44" s="298"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G44" s="298"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H44" s="299"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row>
    <x:row r="45">
      <x:c r="A45" s="300"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B45" s="301"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C45" s="301"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D45" s="301"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E45" s="301"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F45" s="301"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G45" s="301"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H45" s="302"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row>
    <x:row r="46">
      <x:c r="A46" s="303"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B46" s="304"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C46" s="304"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D46" s="304"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E46" s="304"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F46" s="304"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G46" s="304"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c r="H46" s="305" t="str">
        <x:v>Regla de uso del futuro: una tendencia no se convierte en verdad por repetirse. Exige fuentes primarias, madurez observable, resultados reproducibles y señales independientes. Las decisiones fuertes deben apoyarse en fundamentos; las apuestas de frontera deben ser pequeñas, medibles y reversibles.</x:v>
      </x:c>
    </x:row>
  </x:sheetData>
  <x:mergeCells>
    <x:mergeCell ref="A1:H1"/>
    <x:mergeCell ref="A2:H2"/>
    <x:mergeCell ref="D4:H4"/>
    <x:mergeCell ref="D5:H13"/>
    <x:mergeCell ref="A15:H15"/>
    <x:mergeCell ref="A16:H20"/>
    <x:mergeCell ref="A22:H22"/>
    <x:mergeCell ref="A23:H25"/>
    <x:mergeCell ref="A32:H34"/>
    <x:mergeCell ref="A36:H36"/>
    <x:mergeCell ref="B37:H37"/>
    <x:mergeCell ref="B38:H38"/>
    <x:mergeCell ref="B39:H39"/>
    <x:mergeCell ref="B40:H40"/>
    <x:mergeCell ref="B41:H41"/>
    <x:mergeCell ref="B42:H42"/>
    <x:mergeCell ref="A44:H46"/>
  </x:mergeCells>
  <x:pageMargins left="0.7" right="0.7" top="0.75" bottom="0.75" header="0.3" footer="0.3"/>
  <x:legacyDrawing xmlns:r="http://schemas.openxmlformats.org/officeDocument/2006/relationships" r:id="R5457461b557943a0"/>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7" hidden="0" customWidth="1"/>
    <x:col min="3" max="3" width="20" hidden="0" customWidth="1"/>
    <x:col min="4" max="4" width="28" hidden="0" customWidth="1"/>
    <x:col min="5" max="5" width="29" hidden="0" customWidth="1"/>
    <x:col min="6" max="6" width="34" hidden="0" customWidth="1"/>
    <x:col min="7" max="7" width="52" hidden="0" customWidth="1"/>
    <x:col min="8" max="8" width="15" hidden="0" customWidth="1"/>
    <x:col min="9" max="9" width="20" hidden="0" customWidth="1"/>
    <x:col min="10" max="10" width="9" hidden="0" customWidth="1"/>
    <x:col min="11" max="11" width="10" hidden="0" customWidth="1"/>
    <x:col min="12" max="12" width="12" hidden="0" customWidth="1"/>
    <x:col min="13" max="13" width="11" hidden="0" customWidth="1"/>
    <x:col min="14" max="14" width="11" hidden="0" customWidth="1"/>
    <x:col min="15" max="15" width="9" hidden="0" customWidth="1"/>
    <x:col min="16" max="16" width="38" hidden="0" customWidth="1"/>
    <x:col min="17" max="17" width="18" hidden="0" customWidth="1"/>
    <x:col min="18" max="18" width="15" hidden="0" customWidth="1"/>
    <x:col min="19" max="19" width="10" hidden="0" customWidth="1"/>
    <x:col min="20" max="20" width="12" hidden="0" customWidth="1"/>
    <x:col min="21" max="21" width="12" hidden="0" customWidth="1"/>
    <x:col min="22" max="22" width="46" hidden="0" customWidth="1"/>
    <x:col min="23" max="23" width="25" hidden="0" customWidth="1"/>
    <x:col min="24" max="24" width="31" hidden="0" customWidth="1"/>
    <x:col min="25" max="25" width="16" hidden="0" customWidth="1"/>
    <x:col min="26" max="26" width="12" hidden="0" customWidth="1"/>
    <x:col min="27" max="27" width="48" hidden="0" customWidth="1"/>
  </x:cols>
  <x:sheetData>
    <x:row r="1" ht="34" customHeight="1">
      <x:c r="A1" s="4" t="str">
        <x:v>CATÁLOGO MAESTRO DE MATERIAS</x:v>
      </x:c>
      <x:c r="B1" s="4" t="str">
        <x:v>CATÁLOGO MAESTRO DE MATERIAS</x:v>
      </x:c>
      <x:c r="C1" s="4" t="str">
        <x:v>CATÁLOGO MAESTRO DE MATERIAS</x:v>
      </x:c>
      <x:c r="D1" s="4" t="str">
        <x:v>CATÁLOGO MAESTRO DE MATERIAS</x:v>
      </x:c>
      <x:c r="E1" s="4" t="str">
        <x:v>CATÁLOGO MAESTRO DE MATERIAS</x:v>
      </x:c>
      <x:c r="F1" s="4" t="str">
        <x:v>CATÁLOGO MAESTRO DE MATERIAS</x:v>
      </x:c>
      <x:c r="G1" s="4" t="str">
        <x:v>CATÁLOGO MAESTRO DE MATERIAS</x:v>
      </x:c>
      <x:c r="H1" s="4" t="str">
        <x:v>CATÁLOGO MAESTRO DE MATERIAS</x:v>
      </x:c>
      <x:c r="I1" s="4" t="str">
        <x:v>CATÁLOGO MAESTRO DE MATERIAS</x:v>
      </x:c>
      <x:c r="J1" s="4" t="str">
        <x:v>CATÁLOGO MAESTRO DE MATERIAS</x:v>
      </x:c>
      <x:c r="K1" s="4" t="str">
        <x:v>CATÁLOGO MAESTRO DE MATERIAS</x:v>
      </x:c>
      <x:c r="L1" s="4" t="str">
        <x:v>CATÁLOGO MAESTRO DE MATERIAS</x:v>
      </x:c>
      <x:c r="M1" s="4" t="str">
        <x:v>CATÁLOGO MAESTRO DE MATERIAS</x:v>
      </x:c>
      <x:c r="N1" s="4" t="str">
        <x:v>CATÁLOGO MAESTRO DE MATERIAS</x:v>
      </x:c>
      <x:c r="O1" s="4" t="str">
        <x:v>CATÁLOGO MAESTRO DE MATERIAS</x:v>
      </x:c>
      <x:c r="P1" s="4" t="str">
        <x:v>CATÁLOGO MAESTRO DE MATERIAS</x:v>
      </x:c>
      <x:c r="Q1" s="4" t="str">
        <x:v>CATÁLOGO MAESTRO DE MATERIAS</x:v>
      </x:c>
      <x:c r="R1" s="4" t="str">
        <x:v>CATÁLOGO MAESTRO DE MATERIAS</x:v>
      </x:c>
      <x:c r="S1" s="4" t="str">
        <x:v>CATÁLOGO MAESTRO DE MATERIAS</x:v>
      </x:c>
      <x:c r="T1" s="4" t="str">
        <x:v>CATÁLOGO MAESTRO DE MATERIAS</x:v>
      </x:c>
      <x:c r="U1" s="4" t="str">
        <x:v>CATÁLOGO MAESTRO DE MATERIAS</x:v>
      </x:c>
      <x:c r="V1" s="4" t="str">
        <x:v>CATÁLOGO MAESTRO DE MATERIAS</x:v>
      </x:c>
      <x:c r="W1" s="4" t="str">
        <x:v>CATÁLOGO MAESTRO DE MATERIAS</x:v>
      </x:c>
      <x:c r="X1" s="4" t="str">
        <x:v>CATÁLOGO MAESTRO DE MATERIAS</x:v>
      </x:c>
      <x:c r="Y1" s="4" t="str">
        <x:v>CATÁLOGO MAESTRO DE MATERIAS</x:v>
      </x:c>
      <x:c r="Z1" s="4" t="str">
        <x:v>CATÁLOGO MAESTRO DE MATERIAS</x:v>
      </x:c>
      <x:c r="AA1" s="4" t="str">
        <x:v>CATÁLOGO MAESTRO DE MATERIAS</x:v>
      </x:c>
    </x:row>
    <x:row r="2" ht="30" customHeight="1">
      <x:c r="A2" s="8" t="str">
        <x:v>Filtra por ruta, fase, prioridad, madurez, horizonte o estado. Horas totales y ECTS se calculan automáticamente.</x:v>
      </x:c>
      <x:c r="B2" s="8" t="str">
        <x:v>Filtra por ruta, fase, prioridad, madurez, horizonte o estado. Horas totales y ECTS se calculan automáticamente.</x:v>
      </x:c>
      <x:c r="C2" s="8" t="str">
        <x:v>Filtra por ruta, fase, prioridad, madurez, horizonte o estado. Horas totales y ECTS se calculan automáticamente.</x:v>
      </x:c>
      <x:c r="D2" s="8" t="str">
        <x:v>Filtra por ruta, fase, prioridad, madurez, horizonte o estado. Horas totales y ECTS se calculan automáticamente.</x:v>
      </x:c>
      <x:c r="E2" s="8" t="str">
        <x:v>Filtra por ruta, fase, prioridad, madurez, horizonte o estado. Horas totales y ECTS se calculan automáticamente.</x:v>
      </x:c>
      <x:c r="F2" s="8" t="str">
        <x:v>Filtra por ruta, fase, prioridad, madurez, horizonte o estado. Horas totales y ECTS se calculan automáticamente.</x:v>
      </x:c>
      <x:c r="G2" s="8" t="str">
        <x:v>Filtra por ruta, fase, prioridad, madurez, horizonte o estado. Horas totales y ECTS se calculan automáticamente.</x:v>
      </x:c>
      <x:c r="H2" s="8" t="str">
        <x:v>Filtra por ruta, fase, prioridad, madurez, horizonte o estado. Horas totales y ECTS se calculan automáticamente.</x:v>
      </x:c>
      <x:c r="I2" s="8" t="str">
        <x:v>Filtra por ruta, fase, prioridad, madurez, horizonte o estado. Horas totales y ECTS se calculan automáticamente.</x:v>
      </x:c>
      <x:c r="J2" s="8" t="str">
        <x:v>Filtra por ruta, fase, prioridad, madurez, horizonte o estado. Horas totales y ECTS se calculan automáticamente.</x:v>
      </x:c>
      <x:c r="K2" s="8" t="str">
        <x:v>Filtra por ruta, fase, prioridad, madurez, horizonte o estado. Horas totales y ECTS se calculan automáticamente.</x:v>
      </x:c>
      <x:c r="L2" s="8" t="str">
        <x:v>Filtra por ruta, fase, prioridad, madurez, horizonte o estado. Horas totales y ECTS se calculan automáticamente.</x:v>
      </x:c>
      <x:c r="M2" s="8" t="str">
        <x:v>Filtra por ruta, fase, prioridad, madurez, horizonte o estado. Horas totales y ECTS se calculan automáticamente.</x:v>
      </x:c>
      <x:c r="N2" s="8" t="str">
        <x:v>Filtra por ruta, fase, prioridad, madurez, horizonte o estado. Horas totales y ECTS se calculan automáticamente.</x:v>
      </x:c>
      <x:c r="O2" s="8" t="str">
        <x:v>Filtra por ruta, fase, prioridad, madurez, horizonte o estado. Horas totales y ECTS se calculan automáticamente.</x:v>
      </x:c>
      <x:c r="P2" s="8" t="str">
        <x:v>Filtra por ruta, fase, prioridad, madurez, horizonte o estado. Horas totales y ECTS se calculan automáticamente.</x:v>
      </x:c>
      <x:c r="Q2" s="8" t="str">
        <x:v>Filtra por ruta, fase, prioridad, madurez, horizonte o estado. Horas totales y ECTS se calculan automáticamente.</x:v>
      </x:c>
      <x:c r="R2" s="8" t="str">
        <x:v>Filtra por ruta, fase, prioridad, madurez, horizonte o estado. Horas totales y ECTS se calculan automáticamente.</x:v>
      </x:c>
      <x:c r="S2" s="8" t="str">
        <x:v>Filtra por ruta, fase, prioridad, madurez, horizonte o estado. Horas totales y ECTS se calculan automáticamente.</x:v>
      </x:c>
      <x:c r="T2" s="8" t="str">
        <x:v>Filtra por ruta, fase, prioridad, madurez, horizonte o estado. Horas totales y ECTS se calculan automáticamente.</x:v>
      </x:c>
      <x:c r="U2" s="8" t="str">
        <x:v>Filtra por ruta, fase, prioridad, madurez, horizonte o estado. Horas totales y ECTS se calculan automáticamente.</x:v>
      </x:c>
      <x:c r="V2" s="8" t="str">
        <x:v>Filtra por ruta, fase, prioridad, madurez, horizonte o estado. Horas totales y ECTS se calculan automáticamente.</x:v>
      </x:c>
      <x:c r="W2" s="8" t="str">
        <x:v>Filtra por ruta, fase, prioridad, madurez, horizonte o estado. Horas totales y ECTS se calculan automáticamente.</x:v>
      </x:c>
      <x:c r="X2" s="8" t="str">
        <x:v>Filtra por ruta, fase, prioridad, madurez, horizonte o estado. Horas totales y ECTS se calculan automáticamente.</x:v>
      </x:c>
      <x:c r="Y2" s="8" t="str">
        <x:v>Filtra por ruta, fase, prioridad, madurez, horizonte o estado. Horas totales y ECTS se calculan automáticamente.</x:v>
      </x:c>
      <x:c r="Z2" s="8" t="str">
        <x:v>Filtra por ruta, fase, prioridad, madurez, horizonte o estado. Horas totales y ECTS se calculan automáticamente.</x:v>
      </x:c>
      <x:c r="AA2" s="8" t="str">
        <x:v>Filtra por ruta, fase, prioridad, madurez, horizonte o estado. Horas totales y ECTS se calculan automáticamente.</x:v>
      </x:c>
    </x:row>
    <x:row r="4" ht="32" customHeight="1">
      <x:c r="A4" s="308" t="str">
        <x:v>ID</x:v>
      </x:c>
      <x:c r="B4" s="308" t="str">
        <x:v>Nivel</x:v>
      </x:c>
      <x:c r="C4" s="308" t="str">
        <x:v>Fase</x:v>
      </x:c>
      <x:c r="D4" s="308" t="str">
        <x:v>Área</x:v>
      </x:c>
      <x:c r="E4" s="308" t="str">
        <x:v>Ruta</x:v>
      </x:c>
      <x:c r="F4" s="308" t="str">
        <x:v>Materia</x:v>
      </x:c>
      <x:c r="G4" s="308" t="str">
        <x:v>Temas clave</x:v>
      </x:c>
      <x:c r="H4" s="308" t="str">
        <x:v>Prerrequisitos</x:v>
      </x:c>
      <x:c r="I4" s="308" t="str">
        <x:v>Alcance</x:v>
      </x:c>
      <x:c r="J4" s="308" t="str">
        <x:v>Prioridad</x:v>
      </x:c>
      <x:c r="K4" s="308" t="str">
        <x:v>Teoría h</x:v>
      </x:c>
      <x:c r="L4" s="308" t="str">
        <x:v>Laboratorio h</x:v>
      </x:c>
      <x:c r="M4" s="308" t="str">
        <x:v>Proyecto h</x:v>
      </x:c>
      <x:c r="N4" s="308" t="str">
        <x:v>Horas totales</x:v>
      </x:c>
      <x:c r="O4" s="308" t="str">
        <x:v>ECTS eq.</x:v>
      </x:c>
      <x:c r="P4" s="308" t="str">
        <x:v>Evidencia mínima</x:v>
      </x:c>
      <x:c r="Q4" s="308" t="str">
        <x:v>Fuentes</x:v>
      </x:c>
      <x:c r="R4" s="308" t="str">
        <x:v>Estado</x:v>
      </x:c>
      <x:c r="S4" s="308" t="str">
        <x:v>Avance</x:v>
      </x:c>
      <x:c r="T4" s="308" t="str">
        <x:v>Inicio</x:v>
      </x:c>
      <x:c r="U4" s="308" t="str">
        <x:v>Fin</x:v>
      </x:c>
      <x:c r="V4" s="308" t="str">
        <x:v>Papel histórico</x:v>
      </x:c>
      <x:c r="W4" s="308" t="str">
        <x:v>Vigencia 2026</x:v>
      </x:c>
      <x:c r="X4" s="308" t="str">
        <x:v>Horizonte principal</x:v>
      </x:c>
      <x:c r="Y4" s="308" t="str">
        <x:v>Radar 2026</x:v>
      </x:c>
      <x:c r="Z4" s="308" t="str">
        <x:v>Revisión</x:v>
      </x:c>
      <x:c r="AA4" s="308" t="str">
        <x:v>Señal futura a vigilar</x:v>
      </x:c>
    </x:row>
    <x:row r="5" ht="58" customHeight="1">
      <x:c r="A5" s="361" t="str">
        <x:v>PRE-001</x:v>
      </x:c>
      <x:c r="B5" s="361" t="n">
        <x:v>0</x:v>
      </x:c>
      <x:c r="C5" s="361" t="str">
        <x:v>Preparación</x:v>
      </x:c>
      <x:c r="D5" s="361" t="str">
        <x:v>Competencias de entrada</x:v>
      </x:c>
      <x:c r="E5" s="361" t="str">
        <x:v>Preparación y ofimática</x:v>
      </x:c>
      <x:c r="F5" s="361" t="str">
        <x:v>Aprender a aprender y gestión del conocimiento</x:v>
      </x:c>
      <x:c r="G5" s="361" t="str">
        <x:v>Aprender a aprender y gestión del conocimiento. Uso práctico, documentación, automatización básica y evidencia verificable.</x:v>
      </x:c>
      <x:c r="H5" s="361" t="str"/>
      <x:c r="I5" s="361" t="str">
        <x:v>Núcleo esencial</x:v>
      </x:c>
      <x:c r="J5" s="361" t="n">
        <x:v>1</x:v>
      </x:c>
      <x:c r="K5" s="361" t="n">
        <x:v>36</x:v>
      </x:c>
      <x:c r="L5" s="361" t="n">
        <x:v>42</x:v>
      </x:c>
      <x:c r="M5" s="361" t="n">
        <x:v>22</x:v>
      </x:c>
      <x:c r="N5" s="362" t="n">
        <x:f>SUM(K5:M5)</x:f>
        <x:v>100</x:v>
      </x:c>
      <x:c r="O5" s="363" t="n">
        <x:f>N5/25</x:f>
        <x:v>4</x:v>
      </x:c>
      <x:c r="P5" s="361" t="str">
        <x:v>Portafolio de productividad: Aprender a aprender y gestión del conocimiento.</x:v>
      </x:c>
      <x:c r="Q5" s="361" t="str">
        <x:v>S03; S46; S49</x:v>
      </x:c>
      <x:c r="R5" s="361" t="str">
        <x:v>No iniciado</x:v>
      </x:c>
      <x:c r="S5" s="364" t="n">
        <x:v>0</x:v>
      </x:c>
      <x:c r="T5" s="365"/>
      <x:c r="U5" s="365"/>
      <x:c r="V5" s="361" t="str">
        <x:v>Hereda alfabetización, escritura, archivo, cálculo de oficina y automatización del trabajo intelectual.</x:v>
      </x:c>
      <x:c r="W5" s="361" t="str">
        <x:v>Muy alta: fundamento durable</x:v>
      </x:c>
      <x:c r="X5" s="361" t="str">
        <x:v>Transversal permanente</x:v>
      </x:c>
      <x:c r="Y5" s="361" t="str">
        <x:v>Consolidada</x:v>
      </x:c>
      <x:c r="Z5" s="361" t="str">
        <x:v>24 meses</x:v>
      </x:c>
      <x:c r="AA5" s="361" t="str">
        <x:v>Agentes de productividad, interoperabilidad documental, identidad digital y automatización personal verificable.</x:v>
      </x:c>
    </x:row>
    <x:row r="6" ht="58" customHeight="1">
      <x:c r="A6" s="351" t="str">
        <x:v>PRE-002</x:v>
      </x:c>
      <x:c r="B6" s="351" t="n">
        <x:v>0</x:v>
      </x:c>
      <x:c r="C6" s="351" t="str">
        <x:v>Preparación</x:v>
      </x:c>
      <x:c r="D6" s="351" t="str">
        <x:v>Competencias de entrada</x:v>
      </x:c>
      <x:c r="E6" s="351" t="str">
        <x:v>Preparación y ofimática</x:v>
      </x:c>
      <x:c r="F6" s="351" t="str">
        <x:v>Pensamiento lógico y resolución de problemas</x:v>
      </x:c>
      <x:c r="G6" s="351" t="str">
        <x:v>Pensamiento lógico y resolución de problemas. Uso práctico, documentación, automatización básica y evidencia verificable.</x:v>
      </x:c>
      <x:c r="H6" s="351" t="str">
        <x:v>PRE-001</x:v>
      </x:c>
      <x:c r="I6" s="351" t="str">
        <x:v>Núcleo esencial</x:v>
      </x:c>
      <x:c r="J6" s="351" t="n">
        <x:v>1</x:v>
      </x:c>
      <x:c r="K6" s="351" t="n">
        <x:v>36</x:v>
      </x:c>
      <x:c r="L6" s="351" t="n">
        <x:v>42</x:v>
      </x:c>
      <x:c r="M6" s="351" t="n">
        <x:v>22</x:v>
      </x:c>
      <x:c r="N6" s="352" t="n">
        <x:f>SUM(K6:M6)</x:f>
        <x:v>100</x:v>
      </x:c>
      <x:c r="O6" s="353" t="n">
        <x:f>N6/25</x:f>
        <x:v>4</x:v>
      </x:c>
      <x:c r="P6" s="351" t="str">
        <x:v>Portafolio de productividad: Pensamiento lógico y resolución de problemas.</x:v>
      </x:c>
      <x:c r="Q6" s="351" t="str">
        <x:v>S03; S46; S49</x:v>
      </x:c>
      <x:c r="R6" s="351" t="str">
        <x:v>No iniciado</x:v>
      </x:c>
      <x:c r="S6" s="354" t="n">
        <x:v>0</x:v>
      </x:c>
      <x:c r="T6" s="355"/>
      <x:c r="U6" s="355"/>
      <x:c r="V6" s="351" t="str">
        <x:v>Hereda alfabetización, escritura, archivo, cálculo de oficina y automatización del trabajo intelectual.</x:v>
      </x:c>
      <x:c r="W6" s="351" t="str">
        <x:v>Muy alta: fundamento durable</x:v>
      </x:c>
      <x:c r="X6" s="351" t="str">
        <x:v>Transversal permanente</x:v>
      </x:c>
      <x:c r="Y6" s="351" t="str">
        <x:v>Consolidada</x:v>
      </x:c>
      <x:c r="Z6" s="351" t="str">
        <x:v>24 meses</x:v>
      </x:c>
      <x:c r="AA6" s="351" t="str">
        <x:v>Agentes de productividad, interoperabilidad documental, identidad digital y automatización personal verificable.</x:v>
      </x:c>
    </x:row>
    <x:row r="7" ht="58" customHeight="1">
      <x:c r="A7" s="366" t="str">
        <x:v>PRE-003</x:v>
      </x:c>
      <x:c r="B7" s="366" t="n">
        <x:v>0</x:v>
      </x:c>
      <x:c r="C7" s="366" t="str">
        <x:v>Preparación</x:v>
      </x:c>
      <x:c r="D7" s="366" t="str">
        <x:v>Competencias de entrada</x:v>
      </x:c>
      <x:c r="E7" s="366" t="str">
        <x:v>Preparación y ofimática</x:v>
      </x:c>
      <x:c r="F7" s="366" t="str">
        <x:v>Comunicación oral y escrita en español</x:v>
      </x:c>
      <x:c r="G7" s="366" t="str">
        <x:v>Comunicación oral y escrita en español. Uso práctico, documentación, automatización básica y evidencia verificable.</x:v>
      </x:c>
      <x:c r="H7" s="366" t="str">
        <x:v>PRE-002</x:v>
      </x:c>
      <x:c r="I7" s="366" t="str">
        <x:v>Núcleo esencial</x:v>
      </x:c>
      <x:c r="J7" s="366" t="n">
        <x:v>1</x:v>
      </x:c>
      <x:c r="K7" s="366" t="n">
        <x:v>36</x:v>
      </x:c>
      <x:c r="L7" s="366" t="n">
        <x:v>42</x:v>
      </x:c>
      <x:c r="M7" s="366" t="n">
        <x:v>22</x:v>
      </x:c>
      <x:c r="N7" s="367" t="n">
        <x:f>SUM(K7:M7)</x:f>
        <x:v>100</x:v>
      </x:c>
      <x:c r="O7" s="368" t="n">
        <x:f>N7/25</x:f>
        <x:v>4</x:v>
      </x:c>
      <x:c r="P7" s="366" t="str">
        <x:v>Portafolio de productividad: Comunicación oral y escrita en español.</x:v>
      </x:c>
      <x:c r="Q7" s="366" t="str">
        <x:v>S03; S46; S49</x:v>
      </x:c>
      <x:c r="R7" s="366" t="str">
        <x:v>No iniciado</x:v>
      </x:c>
      <x:c r="S7" s="369" t="n">
        <x:v>0</x:v>
      </x:c>
      <x:c r="T7" s="370"/>
      <x:c r="U7" s="370"/>
      <x:c r="V7" s="366" t="str">
        <x:v>Hereda alfabetización, escritura, archivo, cálculo de oficina y automatización del trabajo intelectual.</x:v>
      </x:c>
      <x:c r="W7" s="366" t="str">
        <x:v>Muy alta: fundamento durable</x:v>
      </x:c>
      <x:c r="X7" s="366" t="str">
        <x:v>Transversal permanente</x:v>
      </x:c>
      <x:c r="Y7" s="366" t="str">
        <x:v>Consolidada</x:v>
      </x:c>
      <x:c r="Z7" s="366" t="str">
        <x:v>24 meses</x:v>
      </x:c>
      <x:c r="AA7" s="366" t="str">
        <x:v>Agentes de productividad, interoperabilidad documental, identidad digital y automatización personal verificable.</x:v>
      </x:c>
    </x:row>
    <x:row r="8" ht="58" customHeight="1">
      <x:c r="A8" s="351" t="str">
        <x:v>PRE-004</x:v>
      </x:c>
      <x:c r="B8" s="351" t="n">
        <x:v>0</x:v>
      </x:c>
      <x:c r="C8" s="351" t="str">
        <x:v>Preparación</x:v>
      </x:c>
      <x:c r="D8" s="351" t="str">
        <x:v>Competencias de entrada</x:v>
      </x:c>
      <x:c r="E8" s="351" t="str">
        <x:v>Preparación y ofimática</x:v>
      </x:c>
      <x:c r="F8" s="351" t="str">
        <x:v>Inglés técnico I</x:v>
      </x:c>
      <x:c r="G8" s="351" t="str">
        <x:v>Inglés técnico I. Uso práctico, documentación, automatización básica y evidencia verificable.</x:v>
      </x:c>
      <x:c r="H8" s="351" t="str">
        <x:v>PRE-003</x:v>
      </x:c>
      <x:c r="I8" s="351" t="str">
        <x:v>Núcleo esencial</x:v>
      </x:c>
      <x:c r="J8" s="351" t="n">
        <x:v>1</x:v>
      </x:c>
      <x:c r="K8" s="351" t="n">
        <x:v>36</x:v>
      </x:c>
      <x:c r="L8" s="351" t="n">
        <x:v>42</x:v>
      </x:c>
      <x:c r="M8" s="351" t="n">
        <x:v>22</x:v>
      </x:c>
      <x:c r="N8" s="352" t="n">
        <x:f>SUM(K8:M8)</x:f>
        <x:v>100</x:v>
      </x:c>
      <x:c r="O8" s="353" t="n">
        <x:f>N8/25</x:f>
        <x:v>4</x:v>
      </x:c>
      <x:c r="P8" s="351" t="str">
        <x:v>Portafolio de productividad: Inglés técnico I.</x:v>
      </x:c>
      <x:c r="Q8" s="351" t="str">
        <x:v>S03; S46; S49</x:v>
      </x:c>
      <x:c r="R8" s="351" t="str">
        <x:v>No iniciado</x:v>
      </x:c>
      <x:c r="S8" s="354" t="n">
        <x:v>0</x:v>
      </x:c>
      <x:c r="T8" s="355"/>
      <x:c r="U8" s="355"/>
      <x:c r="V8" s="351" t="str">
        <x:v>Hereda alfabetización, escritura, archivo, cálculo de oficina y automatización del trabajo intelectual.</x:v>
      </x:c>
      <x:c r="W8" s="351" t="str">
        <x:v>Muy alta: fundamento durable</x:v>
      </x:c>
      <x:c r="X8" s="351" t="str">
        <x:v>Transversal permanente</x:v>
      </x:c>
      <x:c r="Y8" s="351" t="str">
        <x:v>Consolidada</x:v>
      </x:c>
      <x:c r="Z8" s="351" t="str">
        <x:v>24 meses</x:v>
      </x:c>
      <x:c r="AA8" s="351" t="str">
        <x:v>Agentes de productividad, interoperabilidad documental, identidad digital y automatización personal verificable.</x:v>
      </x:c>
    </x:row>
    <x:row r="9" ht="58" customHeight="1">
      <x:c r="A9" s="366" t="str">
        <x:v>PRE-005</x:v>
      </x:c>
      <x:c r="B9" s="366" t="n">
        <x:v>0</x:v>
      </x:c>
      <x:c r="C9" s="366" t="str">
        <x:v>Preparación</x:v>
      </x:c>
      <x:c r="D9" s="366" t="str">
        <x:v>Competencias de entrada</x:v>
      </x:c>
      <x:c r="E9" s="366" t="str">
        <x:v>Preparación y ofimática</x:v>
      </x:c>
      <x:c r="F9" s="366" t="str">
        <x:v>Inglés técnico II</x:v>
      </x:c>
      <x:c r="G9" s="366" t="str">
        <x:v>Inglés técnico II. Uso práctico, documentación, automatización básica y evidencia verificable.</x:v>
      </x:c>
      <x:c r="H9" s="366" t="str">
        <x:v>PRE-004</x:v>
      </x:c>
      <x:c r="I9" s="366" t="str">
        <x:v>Núcleo esencial</x:v>
      </x:c>
      <x:c r="J9" s="366" t="n">
        <x:v>1</x:v>
      </x:c>
      <x:c r="K9" s="366" t="n">
        <x:v>36</x:v>
      </x:c>
      <x:c r="L9" s="366" t="n">
        <x:v>42</x:v>
      </x:c>
      <x:c r="M9" s="366" t="n">
        <x:v>22</x:v>
      </x:c>
      <x:c r="N9" s="367" t="n">
        <x:f>SUM(K9:M9)</x:f>
        <x:v>100</x:v>
      </x:c>
      <x:c r="O9" s="368" t="n">
        <x:f>N9/25</x:f>
        <x:v>4</x:v>
      </x:c>
      <x:c r="P9" s="366" t="str">
        <x:v>Portafolio de productividad: Inglés técnico II.</x:v>
      </x:c>
      <x:c r="Q9" s="366" t="str">
        <x:v>S03; S46; S49</x:v>
      </x:c>
      <x:c r="R9" s="366" t="str">
        <x:v>No iniciado</x:v>
      </x:c>
      <x:c r="S9" s="369" t="n">
        <x:v>0</x:v>
      </x:c>
      <x:c r="T9" s="370"/>
      <x:c r="U9" s="370"/>
      <x:c r="V9" s="366" t="str">
        <x:v>Hereda alfabetización, escritura, archivo, cálculo de oficina y automatización del trabajo intelectual.</x:v>
      </x:c>
      <x:c r="W9" s="366" t="str">
        <x:v>Muy alta: fundamento durable</x:v>
      </x:c>
      <x:c r="X9" s="366" t="str">
        <x:v>Transversal permanente</x:v>
      </x:c>
      <x:c r="Y9" s="366" t="str">
        <x:v>Consolidada</x:v>
      </x:c>
      <x:c r="Z9" s="366" t="str">
        <x:v>24 meses</x:v>
      </x:c>
      <x:c r="AA9" s="366" t="str">
        <x:v>Agentes de productividad, interoperabilidad documental, identidad digital y automatización personal verificable.</x:v>
      </x:c>
    </x:row>
    <x:row r="10" ht="58" customHeight="1">
      <x:c r="A10" s="351" t="str">
        <x:v>PRE-006</x:v>
      </x:c>
      <x:c r="B10" s="351" t="n">
        <x:v>0</x:v>
      </x:c>
      <x:c r="C10" s="351" t="str">
        <x:v>Preparación</x:v>
      </x:c>
      <x:c r="D10" s="351" t="str">
        <x:v>Competencias de entrada</x:v>
      </x:c>
      <x:c r="E10" s="351" t="str">
        <x:v>Preparación y ofimática</x:v>
      </x:c>
      <x:c r="F10" s="351" t="str">
        <x:v>Investigación documental y normas APA</x:v>
      </x:c>
      <x:c r="G10" s="351" t="str">
        <x:v>Investigación documental y normas APA. Uso práctico, documentación, automatización básica y evidencia verificable.</x:v>
      </x:c>
      <x:c r="H10" s="351" t="str">
        <x:v>PRE-005</x:v>
      </x:c>
      <x:c r="I10" s="351" t="str">
        <x:v>Núcleo esencial</x:v>
      </x:c>
      <x:c r="J10" s="351" t="n">
        <x:v>1</x:v>
      </x:c>
      <x:c r="K10" s="351" t="n">
        <x:v>36</x:v>
      </x:c>
      <x:c r="L10" s="351" t="n">
        <x:v>42</x:v>
      </x:c>
      <x:c r="M10" s="351" t="n">
        <x:v>22</x:v>
      </x:c>
      <x:c r="N10" s="352" t="n">
        <x:f>SUM(K10:M10)</x:f>
        <x:v>100</x:v>
      </x:c>
      <x:c r="O10" s="353" t="n">
        <x:f>N10/25</x:f>
        <x:v>4</x:v>
      </x:c>
      <x:c r="P10" s="351" t="str">
        <x:v>Portafolio de productividad: Investigación documental y normas APA.</x:v>
      </x:c>
      <x:c r="Q10" s="351" t="str">
        <x:v>S03; S46; S49</x:v>
      </x:c>
      <x:c r="R10" s="351" t="str">
        <x:v>No iniciado</x:v>
      </x:c>
      <x:c r="S10" s="354" t="n">
        <x:v>0</x:v>
      </x:c>
      <x:c r="T10" s="355"/>
      <x:c r="U10" s="355"/>
      <x:c r="V10" s="351" t="str">
        <x:v>Hereda alfabetización, escritura, archivo, cálculo de oficina y automatización del trabajo intelectual.</x:v>
      </x:c>
      <x:c r="W10" s="351" t="str">
        <x:v>Muy alta: fundamento durable</x:v>
      </x:c>
      <x:c r="X10" s="351" t="str">
        <x:v>Transversal permanente</x:v>
      </x:c>
      <x:c r="Y10" s="351" t="str">
        <x:v>Consolidada</x:v>
      </x:c>
      <x:c r="Z10" s="351" t="str">
        <x:v>24 meses</x:v>
      </x:c>
      <x:c r="AA10" s="351" t="str">
        <x:v>Agentes de productividad, interoperabilidad documental, identidad digital y automatización personal verificable.</x:v>
      </x:c>
    </x:row>
    <x:row r="11" ht="58" customHeight="1">
      <x:c r="A11" s="366" t="str">
        <x:v>PRE-007</x:v>
      </x:c>
      <x:c r="B11" s="366" t="n">
        <x:v>0</x:v>
      </x:c>
      <x:c r="C11" s="366" t="str">
        <x:v>Preparación</x:v>
      </x:c>
      <x:c r="D11" s="366" t="str">
        <x:v>Competencias de entrada</x:v>
      </x:c>
      <x:c r="E11" s="366" t="str">
        <x:v>Preparación y ofimática</x:v>
      </x:c>
      <x:c r="F11" s="366" t="str">
        <x:v>Alfabetización digital y seguridad personal</x:v>
      </x:c>
      <x:c r="G11" s="366" t="str">
        <x:v>Alfabetización digital y seguridad personal. Uso práctico, documentación, automatización básica y evidencia verificable.</x:v>
      </x:c>
      <x:c r="H11" s="366" t="str">
        <x:v>PRE-006</x:v>
      </x:c>
      <x:c r="I11" s="366" t="str">
        <x:v>Núcleo esencial</x:v>
      </x:c>
      <x:c r="J11" s="366" t="n">
        <x:v>1</x:v>
      </x:c>
      <x:c r="K11" s="366" t="n">
        <x:v>36</x:v>
      </x:c>
      <x:c r="L11" s="366" t="n">
        <x:v>42</x:v>
      </x:c>
      <x:c r="M11" s="366" t="n">
        <x:v>22</x:v>
      </x:c>
      <x:c r="N11" s="367" t="n">
        <x:f>SUM(K11:M11)</x:f>
        <x:v>100</x:v>
      </x:c>
      <x:c r="O11" s="368" t="n">
        <x:f>N11/25</x:f>
        <x:v>4</x:v>
      </x:c>
      <x:c r="P11" s="366" t="str">
        <x:v>Portafolio de productividad: Alfabetización digital y seguridad personal.</x:v>
      </x:c>
      <x:c r="Q11" s="366" t="str">
        <x:v>S03; S46; S49</x:v>
      </x:c>
      <x:c r="R11" s="366" t="str">
        <x:v>No iniciado</x:v>
      </x:c>
      <x:c r="S11" s="369" t="n">
        <x:v>0</x:v>
      </x:c>
      <x:c r="T11" s="370"/>
      <x:c r="U11" s="370"/>
      <x:c r="V11" s="366" t="str">
        <x:v>Hereda alfabetización, escritura, archivo, cálculo de oficina y automatización del trabajo intelectual.</x:v>
      </x:c>
      <x:c r="W11" s="366" t="str">
        <x:v>Muy alta: fundamento durable</x:v>
      </x:c>
      <x:c r="X11" s="366" t="str">
        <x:v>Transversal permanente</x:v>
      </x:c>
      <x:c r="Y11" s="366" t="str">
        <x:v>Consolidada</x:v>
      </x:c>
      <x:c r="Z11" s="366" t="str">
        <x:v>24 meses</x:v>
      </x:c>
      <x:c r="AA11" s="366" t="str">
        <x:v>Agentes de productividad, interoperabilidad documental, identidad digital y automatización personal verificable.</x:v>
      </x:c>
    </x:row>
    <x:row r="12" ht="58" customHeight="1">
      <x:c r="A12" s="351" t="str">
        <x:v>PRE-008</x:v>
      </x:c>
      <x:c r="B12" s="351" t="n">
        <x:v>0</x:v>
      </x:c>
      <x:c r="C12" s="351" t="str">
        <x:v>Preparación</x:v>
      </x:c>
      <x:c r="D12" s="351" t="str">
        <x:v>Competencias de entrada</x:v>
      </x:c>
      <x:c r="E12" s="351" t="str">
        <x:v>Preparación y ofimática</x:v>
      </x:c>
      <x:c r="F12" s="351" t="str">
        <x:v>Mecanografía y productividad con atajos</x:v>
      </x:c>
      <x:c r="G12" s="351" t="str">
        <x:v>Mecanografía y productividad con atajos. Uso práctico, documentación, automatización básica y evidencia verificable.</x:v>
      </x:c>
      <x:c r="H12" s="351" t="str">
        <x:v>PRE-007</x:v>
      </x:c>
      <x:c r="I12" s="351" t="str">
        <x:v>Núcleo esencial</x:v>
      </x:c>
      <x:c r="J12" s="351" t="n">
        <x:v>1</x:v>
      </x:c>
      <x:c r="K12" s="351" t="n">
        <x:v>36</x:v>
      </x:c>
      <x:c r="L12" s="351" t="n">
        <x:v>42</x:v>
      </x:c>
      <x:c r="M12" s="351" t="n">
        <x:v>22</x:v>
      </x:c>
      <x:c r="N12" s="352" t="n">
        <x:f>SUM(K12:M12)</x:f>
        <x:v>100</x:v>
      </x:c>
      <x:c r="O12" s="353" t="n">
        <x:f>N12/25</x:f>
        <x:v>4</x:v>
      </x:c>
      <x:c r="P12" s="351" t="str">
        <x:v>Portafolio de productividad: Mecanografía y productividad con atajos.</x:v>
      </x:c>
      <x:c r="Q12" s="351" t="str">
        <x:v>S03; S46; S49</x:v>
      </x:c>
      <x:c r="R12" s="351" t="str">
        <x:v>No iniciado</x:v>
      </x:c>
      <x:c r="S12" s="354" t="n">
        <x:v>0</x:v>
      </x:c>
      <x:c r="T12" s="355"/>
      <x:c r="U12" s="355"/>
      <x:c r="V12" s="351" t="str">
        <x:v>Hereda alfabetización, escritura, archivo, cálculo de oficina y automatización del trabajo intelectual.</x:v>
      </x:c>
      <x:c r="W12" s="351" t="str">
        <x:v>Muy alta: fundamento durable</x:v>
      </x:c>
      <x:c r="X12" s="351" t="str">
        <x:v>Transversal permanente</x:v>
      </x:c>
      <x:c r="Y12" s="351" t="str">
        <x:v>Consolidada</x:v>
      </x:c>
      <x:c r="Z12" s="351" t="str">
        <x:v>24 meses</x:v>
      </x:c>
      <x:c r="AA12" s="351" t="str">
        <x:v>Agentes de productividad, interoperabilidad documental, identidad digital y automatización personal verificable.</x:v>
      </x:c>
    </x:row>
    <x:row r="13" ht="58" customHeight="1">
      <x:c r="A13" s="366" t="str">
        <x:v>PRE-009</x:v>
      </x:c>
      <x:c r="B13" s="366" t="n">
        <x:v>0</x:v>
      </x:c>
      <x:c r="C13" s="366" t="str">
        <x:v>Preparación</x:v>
      </x:c>
      <x:c r="D13" s="366" t="str">
        <x:v>Competencias de entrada</x:v>
      </x:c>
      <x:c r="E13" s="366" t="str">
        <x:v>Preparación y ofimática</x:v>
      </x:c>
      <x:c r="F13" s="366" t="str">
        <x:v>Windows para usuarios avanzados</x:v>
      </x:c>
      <x:c r="G13" s="366" t="str">
        <x:v>Windows para usuarios avanzados. Uso práctico, documentación, automatización básica y evidencia verificable.</x:v>
      </x:c>
      <x:c r="H13" s="366" t="str">
        <x:v>PRE-008</x:v>
      </x:c>
      <x:c r="I13" s="366" t="str">
        <x:v>Núcleo esencial</x:v>
      </x:c>
      <x:c r="J13" s="366" t="n">
        <x:v>1</x:v>
      </x:c>
      <x:c r="K13" s="366" t="n">
        <x:v>36</x:v>
      </x:c>
      <x:c r="L13" s="366" t="n">
        <x:v>42</x:v>
      </x:c>
      <x:c r="M13" s="366" t="n">
        <x:v>22</x:v>
      </x:c>
      <x:c r="N13" s="367" t="n">
        <x:f>SUM(K13:M13)</x:f>
        <x:v>100</x:v>
      </x:c>
      <x:c r="O13" s="368" t="n">
        <x:f>N13/25</x:f>
        <x:v>4</x:v>
      </x:c>
      <x:c r="P13" s="366" t="str">
        <x:v>Portafolio de productividad: Windows para usuarios avanzados.</x:v>
      </x:c>
      <x:c r="Q13" s="366" t="str">
        <x:v>S03; S46; S49</x:v>
      </x:c>
      <x:c r="R13" s="366" t="str">
        <x:v>No iniciado</x:v>
      </x:c>
      <x:c r="S13" s="369" t="n">
        <x:v>0</x:v>
      </x:c>
      <x:c r="T13" s="370"/>
      <x:c r="U13" s="370"/>
      <x:c r="V13" s="366" t="str">
        <x:v>Hereda alfabetización, escritura, archivo, cálculo de oficina y automatización del trabajo intelectual.</x:v>
      </x:c>
      <x:c r="W13" s="366" t="str">
        <x:v>Muy alta: fundamento durable</x:v>
      </x:c>
      <x:c r="X13" s="366" t="str">
        <x:v>Transversal permanente</x:v>
      </x:c>
      <x:c r="Y13" s="366" t="str">
        <x:v>Consolidada</x:v>
      </x:c>
      <x:c r="Z13" s="366" t="str">
        <x:v>24 meses</x:v>
      </x:c>
      <x:c r="AA13" s="366" t="str">
        <x:v>Agentes de productividad, interoperabilidad documental, identidad digital y automatización personal verificable.</x:v>
      </x:c>
    </x:row>
    <x:row r="14" ht="58" customHeight="1">
      <x:c r="A14" s="351" t="str">
        <x:v>PRE-010</x:v>
      </x:c>
      <x:c r="B14" s="351" t="n">
        <x:v>0</x:v>
      </x:c>
      <x:c r="C14" s="351" t="str">
        <x:v>Preparación</x:v>
      </x:c>
      <x:c r="D14" s="351" t="str">
        <x:v>Competencias de entrada</x:v>
      </x:c>
      <x:c r="E14" s="351" t="str">
        <x:v>Preparación y ofimática</x:v>
      </x:c>
      <x:c r="F14" s="351" t="str">
        <x:v>Linux de escritorio y terminal básica</x:v>
      </x:c>
      <x:c r="G14" s="351" t="str">
        <x:v>Linux de escritorio y terminal básica. Uso práctico, documentación, automatización básica y evidencia verificable.</x:v>
      </x:c>
      <x:c r="H14" s="351" t="str">
        <x:v>PRE-009</x:v>
      </x:c>
      <x:c r="I14" s="351" t="str">
        <x:v>Núcleo esencial</x:v>
      </x:c>
      <x:c r="J14" s="351" t="n">
        <x:v>1</x:v>
      </x:c>
      <x:c r="K14" s="351" t="n">
        <x:v>36</x:v>
      </x:c>
      <x:c r="L14" s="351" t="n">
        <x:v>42</x:v>
      </x:c>
      <x:c r="M14" s="351" t="n">
        <x:v>22</x:v>
      </x:c>
      <x:c r="N14" s="352" t="n">
        <x:f>SUM(K14:M14)</x:f>
        <x:v>100</x:v>
      </x:c>
      <x:c r="O14" s="353" t="n">
        <x:f>N14/25</x:f>
        <x:v>4</x:v>
      </x:c>
      <x:c r="P14" s="351" t="str">
        <x:v>Portafolio de productividad: Linux de escritorio y terminal básica.</x:v>
      </x:c>
      <x:c r="Q14" s="351" t="str">
        <x:v>S03; S46; S49</x:v>
      </x:c>
      <x:c r="R14" s="351" t="str">
        <x:v>No iniciado</x:v>
      </x:c>
      <x:c r="S14" s="354" t="n">
        <x:v>0</x:v>
      </x:c>
      <x:c r="T14" s="355"/>
      <x:c r="U14" s="355"/>
      <x:c r="V14" s="351" t="str">
        <x:v>Hereda alfabetización, escritura, archivo, cálculo de oficina y automatización del trabajo intelectual.</x:v>
      </x:c>
      <x:c r="W14" s="351" t="str">
        <x:v>Muy alta: fundamento durable</x:v>
      </x:c>
      <x:c r="X14" s="351" t="str">
        <x:v>Transversal permanente</x:v>
      </x:c>
      <x:c r="Y14" s="351" t="str">
        <x:v>Consolidada</x:v>
      </x:c>
      <x:c r="Z14" s="351" t="str">
        <x:v>24 meses</x:v>
      </x:c>
      <x:c r="AA14" s="351" t="str">
        <x:v>Agentes de productividad, interoperabilidad documental, identidad digital y automatización personal verificable.</x:v>
      </x:c>
    </x:row>
    <x:row r="15" ht="58" customHeight="1">
      <x:c r="A15" s="366" t="str">
        <x:v>PRE-011</x:v>
      </x:c>
      <x:c r="B15" s="366" t="n">
        <x:v>0</x:v>
      </x:c>
      <x:c r="C15" s="366" t="str">
        <x:v>Preparación</x:v>
      </x:c>
      <x:c r="D15" s="366" t="str">
        <x:v>Competencias de entrada</x:v>
      </x:c>
      <x:c r="E15" s="366" t="str">
        <x:v>Preparación y ofimática</x:v>
      </x:c>
      <x:c r="F15" s="366" t="str">
        <x:v>Git y GitHub desde cero</x:v>
      </x:c>
      <x:c r="G15" s="366" t="str">
        <x:v>Git y GitHub desde cero. Uso práctico, documentación, automatización básica y evidencia verificable.</x:v>
      </x:c>
      <x:c r="H15" s="366" t="str">
        <x:v>PRE-010</x:v>
      </x:c>
      <x:c r="I15" s="366" t="str">
        <x:v>Núcleo esencial</x:v>
      </x:c>
      <x:c r="J15" s="366" t="n">
        <x:v>1</x:v>
      </x:c>
      <x:c r="K15" s="366" t="n">
        <x:v>36</x:v>
      </x:c>
      <x:c r="L15" s="366" t="n">
        <x:v>42</x:v>
      </x:c>
      <x:c r="M15" s="366" t="n">
        <x:v>22</x:v>
      </x:c>
      <x:c r="N15" s="367" t="n">
        <x:f>SUM(K15:M15)</x:f>
        <x:v>100</x:v>
      </x:c>
      <x:c r="O15" s="368" t="n">
        <x:f>N15/25</x:f>
        <x:v>4</x:v>
      </x:c>
      <x:c r="P15" s="366" t="str">
        <x:v>Portafolio de productividad: Git y GitHub desde cero.</x:v>
      </x:c>
      <x:c r="Q15" s="366" t="str">
        <x:v>S03; S46; S49</x:v>
      </x:c>
      <x:c r="R15" s="366" t="str">
        <x:v>No iniciado</x:v>
      </x:c>
      <x:c r="S15" s="369" t="n">
        <x:v>0</x:v>
      </x:c>
      <x:c r="T15" s="370"/>
      <x:c r="U15" s="370"/>
      <x:c r="V15" s="366" t="str">
        <x:v>Hereda alfabetización, escritura, archivo, cálculo de oficina y automatización del trabajo intelectual.</x:v>
      </x:c>
      <x:c r="W15" s="366" t="str">
        <x:v>Muy alta: fundamento durable</x:v>
      </x:c>
      <x:c r="X15" s="366" t="str">
        <x:v>Transversal permanente</x:v>
      </x:c>
      <x:c r="Y15" s="366" t="str">
        <x:v>Consolidada</x:v>
      </x:c>
      <x:c r="Z15" s="366" t="str">
        <x:v>24 meses</x:v>
      </x:c>
      <x:c r="AA15" s="366" t="str">
        <x:v>Agentes de productividad, interoperabilidad documental, identidad digital y automatización personal verificable.</x:v>
      </x:c>
    </x:row>
    <x:row r="16" ht="58" customHeight="1">
      <x:c r="A16" s="351" t="str">
        <x:v>PRE-012</x:v>
      </x:c>
      <x:c r="B16" s="351" t="n">
        <x:v>0</x:v>
      </x:c>
      <x:c r="C16" s="351" t="str">
        <x:v>Preparación</x:v>
      </x:c>
      <x:c r="D16" s="351" t="str">
        <x:v>Competencias de entrada</x:v>
      </x:c>
      <x:c r="E16" s="351" t="str">
        <x:v>Preparación y ofimática</x:v>
      </x:c>
      <x:c r="F16" s="351" t="str">
        <x:v>Word profesional y documentos largos</x:v>
      </x:c>
      <x:c r="G16" s="351" t="str">
        <x:v>Word profesional y documentos largos. Uso práctico, documentación, automatización básica y evidencia verificable.</x:v>
      </x:c>
      <x:c r="H16" s="351" t="str">
        <x:v>PRE-011</x:v>
      </x:c>
      <x:c r="I16" s="351" t="str">
        <x:v>Núcleo esencial</x:v>
      </x:c>
      <x:c r="J16" s="351" t="n">
        <x:v>1</x:v>
      </x:c>
      <x:c r="K16" s="351" t="n">
        <x:v>36</x:v>
      </x:c>
      <x:c r="L16" s="351" t="n">
        <x:v>42</x:v>
      </x:c>
      <x:c r="M16" s="351" t="n">
        <x:v>22</x:v>
      </x:c>
      <x:c r="N16" s="352" t="n">
        <x:f>SUM(K16:M16)</x:f>
        <x:v>100</x:v>
      </x:c>
      <x:c r="O16" s="353" t="n">
        <x:f>N16/25</x:f>
        <x:v>4</x:v>
      </x:c>
      <x:c r="P16" s="351" t="str">
        <x:v>Portafolio de productividad: Word profesional y documentos largos.</x:v>
      </x:c>
      <x:c r="Q16" s="351" t="str">
        <x:v>S03; S46; S49</x:v>
      </x:c>
      <x:c r="R16" s="351" t="str">
        <x:v>No iniciado</x:v>
      </x:c>
      <x:c r="S16" s="354" t="n">
        <x:v>0</x:v>
      </x:c>
      <x:c r="T16" s="355"/>
      <x:c r="U16" s="355"/>
      <x:c r="V16" s="351" t="str">
        <x:v>Hereda alfabetización, escritura, archivo, cálculo de oficina y automatización del trabajo intelectual.</x:v>
      </x:c>
      <x:c r="W16" s="351" t="str">
        <x:v>Muy alta: fundamento durable</x:v>
      </x:c>
      <x:c r="X16" s="351" t="str">
        <x:v>Transversal permanente</x:v>
      </x:c>
      <x:c r="Y16" s="351" t="str">
        <x:v>Consolidada</x:v>
      </x:c>
      <x:c r="Z16" s="351" t="str">
        <x:v>24 meses</x:v>
      </x:c>
      <x:c r="AA16" s="351" t="str">
        <x:v>Agentes de productividad, interoperabilidad documental, identidad digital y automatización personal verificable.</x:v>
      </x:c>
    </x:row>
    <x:row r="17" ht="58" customHeight="1">
      <x:c r="A17" s="366" t="str">
        <x:v>PRE-013</x:v>
      </x:c>
      <x:c r="B17" s="366" t="n">
        <x:v>0</x:v>
      </x:c>
      <x:c r="C17" s="366" t="str">
        <x:v>Preparación</x:v>
      </x:c>
      <x:c r="D17" s="366" t="str">
        <x:v>Competencias de entrada</x:v>
      </x:c>
      <x:c r="E17" s="366" t="str">
        <x:v>Preparación y ofimática</x:v>
      </x:c>
      <x:c r="F17" s="366" t="str">
        <x:v>Excel intermedio</x:v>
      </x:c>
      <x:c r="G17" s="366" t="str">
        <x:v>Excel intermedio. Uso práctico, documentación, automatización básica y evidencia verificable.</x:v>
      </x:c>
      <x:c r="H17" s="366" t="str">
        <x:v>PRE-012</x:v>
      </x:c>
      <x:c r="I17" s="366" t="str">
        <x:v>Núcleo esencial</x:v>
      </x:c>
      <x:c r="J17" s="366" t="n">
        <x:v>1</x:v>
      </x:c>
      <x:c r="K17" s="366" t="n">
        <x:v>36</x:v>
      </x:c>
      <x:c r="L17" s="366" t="n">
        <x:v>42</x:v>
      </x:c>
      <x:c r="M17" s="366" t="n">
        <x:v>22</x:v>
      </x:c>
      <x:c r="N17" s="367" t="n">
        <x:f>SUM(K17:M17)</x:f>
        <x:v>100</x:v>
      </x:c>
      <x:c r="O17" s="368" t="n">
        <x:f>N17/25</x:f>
        <x:v>4</x:v>
      </x:c>
      <x:c r="P17" s="366" t="str">
        <x:v>Portafolio de productividad: Excel intermedio.</x:v>
      </x:c>
      <x:c r="Q17" s="366" t="str">
        <x:v>S03; S46; S49</x:v>
      </x:c>
      <x:c r="R17" s="366" t="str">
        <x:v>No iniciado</x:v>
      </x:c>
      <x:c r="S17" s="369" t="n">
        <x:v>0</x:v>
      </x:c>
      <x:c r="T17" s="370"/>
      <x:c r="U17" s="370"/>
      <x:c r="V17" s="366" t="str">
        <x:v>Hereda alfabetización, escritura, archivo, cálculo de oficina y automatización del trabajo intelectual.</x:v>
      </x:c>
      <x:c r="W17" s="366" t="str">
        <x:v>Muy alta: fundamento durable</x:v>
      </x:c>
      <x:c r="X17" s="366" t="str">
        <x:v>Transversal permanente</x:v>
      </x:c>
      <x:c r="Y17" s="366" t="str">
        <x:v>Consolidada</x:v>
      </x:c>
      <x:c r="Z17" s="366" t="str">
        <x:v>24 meses</x:v>
      </x:c>
      <x:c r="AA17" s="366" t="str">
        <x:v>Agentes de productividad, interoperabilidad documental, identidad digital y automatización personal verificable.</x:v>
      </x:c>
    </x:row>
    <x:row r="18" ht="58" customHeight="1">
      <x:c r="A18" s="351" t="str">
        <x:v>PRE-014</x:v>
      </x:c>
      <x:c r="B18" s="351" t="n">
        <x:v>0</x:v>
      </x:c>
      <x:c r="C18" s="351" t="str">
        <x:v>Preparación</x:v>
      </x:c>
      <x:c r="D18" s="351" t="str">
        <x:v>Competencias de entrada</x:v>
      </x:c>
      <x:c r="E18" s="351" t="str">
        <x:v>Preparación y ofimática</x:v>
      </x:c>
      <x:c r="F18" s="351" t="str">
        <x:v>Excel avanzado y modelado</x:v>
      </x:c>
      <x:c r="G18" s="351" t="str">
        <x:v>Excel avanzado y modelado. Uso práctico, documentación, automatización básica y evidencia verificable.</x:v>
      </x:c>
      <x:c r="H18" s="351" t="str">
        <x:v>PRE-013</x:v>
      </x:c>
      <x:c r="I18" s="351" t="str">
        <x:v>Núcleo esencial</x:v>
      </x:c>
      <x:c r="J18" s="351" t="n">
        <x:v>1</x:v>
      </x:c>
      <x:c r="K18" s="351" t="n">
        <x:v>36</x:v>
      </x:c>
      <x:c r="L18" s="351" t="n">
        <x:v>42</x:v>
      </x:c>
      <x:c r="M18" s="351" t="n">
        <x:v>22</x:v>
      </x:c>
      <x:c r="N18" s="352" t="n">
        <x:f>SUM(K18:M18)</x:f>
        <x:v>100</x:v>
      </x:c>
      <x:c r="O18" s="353" t="n">
        <x:f>N18/25</x:f>
        <x:v>4</x:v>
      </x:c>
      <x:c r="P18" s="351" t="str">
        <x:v>Portafolio de productividad: Excel avanzado y modelado.</x:v>
      </x:c>
      <x:c r="Q18" s="351" t="str">
        <x:v>S03; S46; S49</x:v>
      </x:c>
      <x:c r="R18" s="351" t="str">
        <x:v>No iniciado</x:v>
      </x:c>
      <x:c r="S18" s="354" t="n">
        <x:v>0</x:v>
      </x:c>
      <x:c r="T18" s="355"/>
      <x:c r="U18" s="355"/>
      <x:c r="V18" s="351" t="str">
        <x:v>Hereda alfabetización, escritura, archivo, cálculo de oficina y automatización del trabajo intelectual.</x:v>
      </x:c>
      <x:c r="W18" s="351" t="str">
        <x:v>Muy alta: fundamento durable</x:v>
      </x:c>
      <x:c r="X18" s="351" t="str">
        <x:v>Transversal permanente</x:v>
      </x:c>
      <x:c r="Y18" s="351" t="str">
        <x:v>Consolidada</x:v>
      </x:c>
      <x:c r="Z18" s="351" t="str">
        <x:v>24 meses</x:v>
      </x:c>
      <x:c r="AA18" s="351" t="str">
        <x:v>Agentes de productividad, interoperabilidad documental, identidad digital y automatización personal verificable.</x:v>
      </x:c>
    </x:row>
    <x:row r="19" ht="58" customHeight="1">
      <x:c r="A19" s="366" t="str">
        <x:v>PRE-015</x:v>
      </x:c>
      <x:c r="B19" s="366" t="n">
        <x:v>0</x:v>
      </x:c>
      <x:c r="C19" s="366" t="str">
        <x:v>Preparación</x:v>
      </x:c>
      <x:c r="D19" s="366" t="str">
        <x:v>Competencias de entrada</x:v>
      </x:c>
      <x:c r="E19" s="366" t="str">
        <x:v>Preparación y ofimática</x:v>
      </x:c>
      <x:c r="F19" s="366" t="str">
        <x:v>Excel VBA y automatización</x:v>
      </x:c>
      <x:c r="G19" s="366" t="str">
        <x:v>Excel VBA y automatización. Uso práctico, documentación, automatización básica y evidencia verificable.</x:v>
      </x:c>
      <x:c r="H19" s="366" t="str">
        <x:v>PRE-014</x:v>
      </x:c>
      <x:c r="I19" s="366" t="str">
        <x:v>Núcleo esencial</x:v>
      </x:c>
      <x:c r="J19" s="366" t="n">
        <x:v>1</x:v>
      </x:c>
      <x:c r="K19" s="366" t="n">
        <x:v>36</x:v>
      </x:c>
      <x:c r="L19" s="366" t="n">
        <x:v>42</x:v>
      </x:c>
      <x:c r="M19" s="366" t="n">
        <x:v>22</x:v>
      </x:c>
      <x:c r="N19" s="367" t="n">
        <x:f>SUM(K19:M19)</x:f>
        <x:v>100</x:v>
      </x:c>
      <x:c r="O19" s="368" t="n">
        <x:f>N19/25</x:f>
        <x:v>4</x:v>
      </x:c>
      <x:c r="P19" s="366" t="str">
        <x:v>Portafolio de productividad: Excel VBA y automatización.</x:v>
      </x:c>
      <x:c r="Q19" s="366" t="str">
        <x:v>S03; S46; S49</x:v>
      </x:c>
      <x:c r="R19" s="366" t="str">
        <x:v>No iniciado</x:v>
      </x:c>
      <x:c r="S19" s="369" t="n">
        <x:v>0</x:v>
      </x:c>
      <x:c r="T19" s="370"/>
      <x:c r="U19" s="370"/>
      <x:c r="V19" s="366" t="str">
        <x:v>Hereda alfabetización, escritura, archivo, cálculo de oficina y automatización del trabajo intelectual.</x:v>
      </x:c>
      <x:c r="W19" s="366" t="str">
        <x:v>Muy alta: fundamento durable</x:v>
      </x:c>
      <x:c r="X19" s="366" t="str">
        <x:v>Transversal permanente</x:v>
      </x:c>
      <x:c r="Y19" s="366" t="str">
        <x:v>Consolidada</x:v>
      </x:c>
      <x:c r="Z19" s="366" t="str">
        <x:v>24 meses</x:v>
      </x:c>
      <x:c r="AA19" s="366" t="str">
        <x:v>Agentes de productividad, interoperabilidad documental, identidad digital y automatización personal verificable.</x:v>
      </x:c>
    </x:row>
    <x:row r="20" ht="58" customHeight="1">
      <x:c r="A20" s="351" t="str">
        <x:v>PRE-016</x:v>
      </x:c>
      <x:c r="B20" s="351" t="n">
        <x:v>0</x:v>
      </x:c>
      <x:c r="C20" s="351" t="str">
        <x:v>Preparación</x:v>
      </x:c>
      <x:c r="D20" s="351" t="str">
        <x:v>Competencias de entrada</x:v>
      </x:c>
      <x:c r="E20" s="351" t="str">
        <x:v>Preparación y ofimática</x:v>
      </x:c>
      <x:c r="F20" s="351" t="str">
        <x:v>PowerPoint profesional y storytelling</x:v>
      </x:c>
      <x:c r="G20" s="351" t="str">
        <x:v>PowerPoint profesional y storytelling. Uso práctico, documentación, automatización básica y evidencia verificable.</x:v>
      </x:c>
      <x:c r="H20" s="351" t="str">
        <x:v>PRE-015</x:v>
      </x:c>
      <x:c r="I20" s="351" t="str">
        <x:v>Núcleo esencial</x:v>
      </x:c>
      <x:c r="J20" s="351" t="n">
        <x:v>1</x:v>
      </x:c>
      <x:c r="K20" s="351" t="n">
        <x:v>36</x:v>
      </x:c>
      <x:c r="L20" s="351" t="n">
        <x:v>42</x:v>
      </x:c>
      <x:c r="M20" s="351" t="n">
        <x:v>22</x:v>
      </x:c>
      <x:c r="N20" s="352" t="n">
        <x:f>SUM(K20:M20)</x:f>
        <x:v>100</x:v>
      </x:c>
      <x:c r="O20" s="353" t="n">
        <x:f>N20/25</x:f>
        <x:v>4</x:v>
      </x:c>
      <x:c r="P20" s="351" t="str">
        <x:v>Portafolio de productividad: PowerPoint profesional y storytelling.</x:v>
      </x:c>
      <x:c r="Q20" s="351" t="str">
        <x:v>S03; S46; S49</x:v>
      </x:c>
      <x:c r="R20" s="351" t="str">
        <x:v>No iniciado</x:v>
      </x:c>
      <x:c r="S20" s="354" t="n">
        <x:v>0</x:v>
      </x:c>
      <x:c r="T20" s="355"/>
      <x:c r="U20" s="355"/>
      <x:c r="V20" s="351" t="str">
        <x:v>Hereda alfabetización, escritura, archivo, cálculo de oficina y automatización del trabajo intelectual.</x:v>
      </x:c>
      <x:c r="W20" s="351" t="str">
        <x:v>Muy alta: fundamento durable</x:v>
      </x:c>
      <x:c r="X20" s="351" t="str">
        <x:v>Transversal permanente</x:v>
      </x:c>
      <x:c r="Y20" s="351" t="str">
        <x:v>Consolidada</x:v>
      </x:c>
      <x:c r="Z20" s="351" t="str">
        <x:v>24 meses</x:v>
      </x:c>
      <x:c r="AA20" s="351" t="str">
        <x:v>Agentes de productividad, interoperabilidad documental, identidad digital y automatización personal verificable.</x:v>
      </x:c>
    </x:row>
    <x:row r="21" ht="58" customHeight="1">
      <x:c r="A21" s="366" t="str">
        <x:v>PRE-017</x:v>
      </x:c>
      <x:c r="B21" s="366" t="n">
        <x:v>0</x:v>
      </x:c>
      <x:c r="C21" s="366" t="str">
        <x:v>Preparación</x:v>
      </x:c>
      <x:c r="D21" s="366" t="str">
        <x:v>Competencias de entrada</x:v>
      </x:c>
      <x:c r="E21" s="366" t="str">
        <x:v>Preparación y ofimática</x:v>
      </x:c>
      <x:c r="F21" s="366" t="str">
        <x:v>Access y bases de datos de oficina</x:v>
      </x:c>
      <x:c r="G21" s="366" t="str">
        <x:v>Access y bases de datos de oficina. Uso práctico, documentación, automatización básica y evidencia verificable.</x:v>
      </x:c>
      <x:c r="H21" s="366" t="str">
        <x:v>PRE-016</x:v>
      </x:c>
      <x:c r="I21" s="366" t="str">
        <x:v>Núcleo esencial</x:v>
      </x:c>
      <x:c r="J21" s="366" t="n">
        <x:v>1</x:v>
      </x:c>
      <x:c r="K21" s="366" t="n">
        <x:v>36</x:v>
      </x:c>
      <x:c r="L21" s="366" t="n">
        <x:v>42</x:v>
      </x:c>
      <x:c r="M21" s="366" t="n">
        <x:v>22</x:v>
      </x:c>
      <x:c r="N21" s="367" t="n">
        <x:f>SUM(K21:M21)</x:f>
        <x:v>100</x:v>
      </x:c>
      <x:c r="O21" s="368" t="n">
        <x:f>N21/25</x:f>
        <x:v>4</x:v>
      </x:c>
      <x:c r="P21" s="366" t="str">
        <x:v>Portafolio de productividad: Access y bases de datos de oficina.</x:v>
      </x:c>
      <x:c r="Q21" s="366" t="str">
        <x:v>S03; S46; S49</x:v>
      </x:c>
      <x:c r="R21" s="366" t="str">
        <x:v>No iniciado</x:v>
      </x:c>
      <x:c r="S21" s="369" t="n">
        <x:v>0</x:v>
      </x:c>
      <x:c r="T21" s="370"/>
      <x:c r="U21" s="370"/>
      <x:c r="V21" s="366" t="str">
        <x:v>Hereda alfabetización, escritura, archivo, cálculo de oficina y automatización del trabajo intelectual.</x:v>
      </x:c>
      <x:c r="W21" s="366" t="str">
        <x:v>Muy alta: fundamento durable</x:v>
      </x:c>
      <x:c r="X21" s="366" t="str">
        <x:v>Transversal permanente</x:v>
      </x:c>
      <x:c r="Y21" s="366" t="str">
        <x:v>Consolidada</x:v>
      </x:c>
      <x:c r="Z21" s="366" t="str">
        <x:v>24 meses</x:v>
      </x:c>
      <x:c r="AA21" s="366" t="str">
        <x:v>Agentes de productividad, interoperabilidad documental, identidad digital y automatización personal verificable.</x:v>
      </x:c>
    </x:row>
    <x:row r="22" ht="58" customHeight="1">
      <x:c r="A22" s="351" t="str">
        <x:v>PRE-018</x:v>
      </x:c>
      <x:c r="B22" s="351" t="n">
        <x:v>0</x:v>
      </x:c>
      <x:c r="C22" s="351" t="str">
        <x:v>Preparación</x:v>
      </x:c>
      <x:c r="D22" s="351" t="str">
        <x:v>Competencias de entrada</x:v>
      </x:c>
      <x:c r="E22" s="351" t="str">
        <x:v>Preparación y ofimática</x:v>
      </x:c>
      <x:c r="F22" s="351" t="str">
        <x:v>Microsoft 365, colaboración y administración básica</x:v>
      </x:c>
      <x:c r="G22" s="351" t="str">
        <x:v>Microsoft 365, colaboración y administración básica. Uso práctico, documentación, automatización básica y evidencia verificable.</x:v>
      </x:c>
      <x:c r="H22" s="351" t="str">
        <x:v>PRE-017</x:v>
      </x:c>
      <x:c r="I22" s="351" t="str">
        <x:v>Núcleo esencial</x:v>
      </x:c>
      <x:c r="J22" s="351" t="n">
        <x:v>1</x:v>
      </x:c>
      <x:c r="K22" s="351" t="n">
        <x:v>36</x:v>
      </x:c>
      <x:c r="L22" s="351" t="n">
        <x:v>42</x:v>
      </x:c>
      <x:c r="M22" s="351" t="n">
        <x:v>22</x:v>
      </x:c>
      <x:c r="N22" s="352" t="n">
        <x:f>SUM(K22:M22)</x:f>
        <x:v>100</x:v>
      </x:c>
      <x:c r="O22" s="353" t="n">
        <x:f>N22/25</x:f>
        <x:v>4</x:v>
      </x:c>
      <x:c r="P22" s="351" t="str">
        <x:v>Portafolio de productividad: Microsoft 365, colaboración y administración básica.</x:v>
      </x:c>
      <x:c r="Q22" s="351" t="str">
        <x:v>S03; S46; S49</x:v>
      </x:c>
      <x:c r="R22" s="351" t="str">
        <x:v>No iniciado</x:v>
      </x:c>
      <x:c r="S22" s="354" t="n">
        <x:v>0</x:v>
      </x:c>
      <x:c r="T22" s="355"/>
      <x:c r="U22" s="355"/>
      <x:c r="V22" s="351" t="str">
        <x:v>Hereda alfabetización, escritura, archivo, cálculo de oficina y automatización del trabajo intelectual.</x:v>
      </x:c>
      <x:c r="W22" s="351" t="str">
        <x:v>Muy alta: fundamento durable</x:v>
      </x:c>
      <x:c r="X22" s="351" t="str">
        <x:v>Transversal permanente</x:v>
      </x:c>
      <x:c r="Y22" s="351" t="str">
        <x:v>Consolidada</x:v>
      </x:c>
      <x:c r="Z22" s="351" t="str">
        <x:v>24 meses</x:v>
      </x:c>
      <x:c r="AA22" s="351" t="str">
        <x:v>Agentes de productividad, interoperabilidad documental, identidad digital y automatización personal verificable.</x:v>
      </x:c>
    </x:row>
    <x:row r="23" ht="58" customHeight="1">
      <x:c r="A23" s="366" t="str">
        <x:v>MED-001</x:v>
      </x:c>
      <x:c r="B23" s="366" t="n">
        <x:v>1</x:v>
      </x:c>
      <x:c r="C23" s="366" t="str">
        <x:v>Fundamentos STEM</x:v>
      </x:c>
      <x:c r="D23" s="366" t="str">
        <x:v>Diseño gráfico y comunicación visual</x:v>
      </x:c>
      <x:c r="E23" s="366" t="str">
        <x:v>Diseño, foto, cine y multimedia</x:v>
      </x:c>
      <x:c r="F23" s="366" t="str">
        <x:v>Fundamentos del diseño visual</x:v>
      </x:c>
      <x:c r="G23" s="366" t="str">
        <x:v>Fundamentos del diseño visual. Concepto, forma, técnica, crítica, accesibilidad y producción para medios impresos y digitales.</x:v>
      </x:c>
      <x:c r="H23" s="366" t="str">
        <x:v>PRE-003</x:v>
      </x:c>
      <x:c r="I23" s="366" t="str">
        <x:v>Frontera/adyacente</x:v>
      </x:c>
      <x:c r="J23" s="366" t="n">
        <x:v>3</x:v>
      </x:c>
      <x:c r="K23" s="366" t="n">
        <x:v>18</x:v>
      </x:c>
      <x:c r="L23" s="366" t="n">
        <x:v>52</x:v>
      </x:c>
      <x:c r="M23" s="366" t="n">
        <x:v>26</x:v>
      </x:c>
      <x:c r="N23" s="367" t="n">
        <x:f>SUM(K23:M23)</x:f>
        <x:v>96</x:v>
      </x:c>
      <x:c r="O23" s="368" t="n">
        <x:f>N23/25</x:f>
        <x:v>3.84</x:v>
      </x:c>
      <x:c r="P23" s="366" t="str">
        <x:v>Pieza de portafolio: Fundamentos del diseño visual.</x:v>
      </x:c>
      <x:c r="Q23" s="366" t="str">
        <x:v>S43; S46</x:v>
      </x:c>
      <x:c r="R23" s="366" t="str">
        <x:v>No iniciado</x:v>
      </x:c>
      <x:c r="S23" s="369" t="n">
        <x:v>0</x:v>
      </x:c>
      <x:c r="T23" s="370"/>
      <x:c r="U23" s="370"/>
      <x:c r="V23" s="366" t="str">
        <x:v>Integra artes visuales y narrativas con reproducción, captura, edición y distribución digital.</x:v>
      </x:c>
      <x:c r="W23" s="366" t="str">
        <x:v>Alta: práctica vigente</x:v>
      </x:c>
      <x:c r="X23" s="366" t="str">
        <x:v>Presente 2026 y corto (2027–2029)</x:v>
      </x:c>
      <x:c r="Y23" s="366" t="str">
        <x:v>Actual</x:v>
      </x:c>
      <x:c r="Z23" s="366" t="str">
        <x:v>12 meses</x:v>
      </x:c>
      <x:c r="AA23" s="366" t="str">
        <x:v>Medios generativos con procedencia, producción virtual, síntesis multimodal y autenticidad verificable.</x:v>
      </x:c>
    </x:row>
    <x:row r="24" ht="58" customHeight="1">
      <x:c r="A24" s="351" t="str">
        <x:v>MED-002</x:v>
      </x:c>
      <x:c r="B24" s="351" t="n">
        <x:v>1</x:v>
      </x:c>
      <x:c r="C24" s="351" t="str">
        <x:v>Fundamentos STEM</x:v>
      </x:c>
      <x:c r="D24" s="351" t="str">
        <x:v>Diseño gráfico y comunicación visual</x:v>
      </x:c>
      <x:c r="E24" s="351" t="str">
        <x:v>Diseño, foto, cine y multimedia</x:v>
      </x:c>
      <x:c r="F24" s="351" t="str">
        <x:v>Dibujo y bocetaje</x:v>
      </x:c>
      <x:c r="G24" s="351" t="str">
        <x:v>Dibujo y bocetaje. Concepto, forma, técnica, crítica, accesibilidad y producción para medios impresos y digitales.</x:v>
      </x:c>
      <x:c r="H24" s="351" t="str">
        <x:v>MED-001</x:v>
      </x:c>
      <x:c r="I24" s="351" t="str">
        <x:v>Frontera/adyacente</x:v>
      </x:c>
      <x:c r="J24" s="351" t="n">
        <x:v>3</x:v>
      </x:c>
      <x:c r="K24" s="351" t="n">
        <x:v>18</x:v>
      </x:c>
      <x:c r="L24" s="351" t="n">
        <x:v>52</x:v>
      </x:c>
      <x:c r="M24" s="351" t="n">
        <x:v>26</x:v>
      </x:c>
      <x:c r="N24" s="352" t="n">
        <x:f>SUM(K24:M24)</x:f>
        <x:v>96</x:v>
      </x:c>
      <x:c r="O24" s="353" t="n">
        <x:f>N24/25</x:f>
        <x:v>3.84</x:v>
      </x:c>
      <x:c r="P24" s="351" t="str">
        <x:v>Pieza de portafolio: Dibujo y bocetaje.</x:v>
      </x:c>
      <x:c r="Q24" s="351" t="str">
        <x:v>S43; S46</x:v>
      </x:c>
      <x:c r="R24" s="351" t="str">
        <x:v>No iniciado</x:v>
      </x:c>
      <x:c r="S24" s="354" t="n">
        <x:v>0</x:v>
      </x:c>
      <x:c r="T24" s="355"/>
      <x:c r="U24" s="355"/>
      <x:c r="V24" s="351" t="str">
        <x:v>Integra artes visuales y narrativas con reproducción, captura, edición y distribución digital.</x:v>
      </x:c>
      <x:c r="W24" s="351" t="str">
        <x:v>Alta: práctica vigente</x:v>
      </x:c>
      <x:c r="X24" s="351" t="str">
        <x:v>Presente 2026 y corto (2027–2029)</x:v>
      </x:c>
      <x:c r="Y24" s="351" t="str">
        <x:v>Actual</x:v>
      </x:c>
      <x:c r="Z24" s="351" t="str">
        <x:v>12 meses</x:v>
      </x:c>
      <x:c r="AA24" s="351" t="str">
        <x:v>Medios generativos con procedencia, producción virtual, síntesis multimodal y autenticidad verificable.</x:v>
      </x:c>
    </x:row>
    <x:row r="25" ht="58" customHeight="1">
      <x:c r="A25" s="366" t="str">
        <x:v>MED-003</x:v>
      </x:c>
      <x:c r="B25" s="366" t="n">
        <x:v>1</x:v>
      </x:c>
      <x:c r="C25" s="366" t="str">
        <x:v>Fundamentos STEM</x:v>
      </x:c>
      <x:c r="D25" s="366" t="str">
        <x:v>Diseño gráfico y comunicación visual</x:v>
      </x:c>
      <x:c r="E25" s="366" t="str">
        <x:v>Diseño, foto, cine y multimedia</x:v>
      </x:c>
      <x:c r="F25" s="366" t="str">
        <x:v>Teoría del color</x:v>
      </x:c>
      <x:c r="G25" s="366" t="str">
        <x:v>Teoría del color. Concepto, forma, técnica, crítica, accesibilidad y producción para medios impresos y digitales.</x:v>
      </x:c>
      <x:c r="H25" s="366" t="str">
        <x:v>MED-002</x:v>
      </x:c>
      <x:c r="I25" s="366" t="str">
        <x:v>Frontera/adyacente</x:v>
      </x:c>
      <x:c r="J25" s="366" t="n">
        <x:v>3</x:v>
      </x:c>
      <x:c r="K25" s="366" t="n">
        <x:v>18</x:v>
      </x:c>
      <x:c r="L25" s="366" t="n">
        <x:v>52</x:v>
      </x:c>
      <x:c r="M25" s="366" t="n">
        <x:v>26</x:v>
      </x:c>
      <x:c r="N25" s="367" t="n">
        <x:f>SUM(K25:M25)</x:f>
        <x:v>96</x:v>
      </x:c>
      <x:c r="O25" s="368" t="n">
        <x:f>N25/25</x:f>
        <x:v>3.84</x:v>
      </x:c>
      <x:c r="P25" s="366" t="str">
        <x:v>Pieza de portafolio: Teoría del color.</x:v>
      </x:c>
      <x:c r="Q25" s="366" t="str">
        <x:v>S43; S46</x:v>
      </x:c>
      <x:c r="R25" s="366" t="str">
        <x:v>No iniciado</x:v>
      </x:c>
      <x:c r="S25" s="369" t="n">
        <x:v>0</x:v>
      </x:c>
      <x:c r="T25" s="370"/>
      <x:c r="U25" s="370"/>
      <x:c r="V25" s="366" t="str">
        <x:v>Integra artes visuales y narrativas con reproducción, captura, edición y distribución digital.</x:v>
      </x:c>
      <x:c r="W25" s="366" t="str">
        <x:v>Alta: práctica vigente</x:v>
      </x:c>
      <x:c r="X25" s="366" t="str">
        <x:v>Presente 2026 y corto (2027–2029)</x:v>
      </x:c>
      <x:c r="Y25" s="366" t="str">
        <x:v>Actual</x:v>
      </x:c>
      <x:c r="Z25" s="366" t="str">
        <x:v>12 meses</x:v>
      </x:c>
      <x:c r="AA25" s="366" t="str">
        <x:v>Medios generativos con procedencia, producción virtual, síntesis multimodal y autenticidad verificable.</x:v>
      </x:c>
    </x:row>
    <x:row r="26" ht="58" customHeight="1">
      <x:c r="A26" s="351" t="str">
        <x:v>MED-004</x:v>
      </x:c>
      <x:c r="B26" s="351" t="n">
        <x:v>1</x:v>
      </x:c>
      <x:c r="C26" s="351" t="str">
        <x:v>Fundamentos STEM</x:v>
      </x:c>
      <x:c r="D26" s="351" t="str">
        <x:v>Diseño gráfico y comunicación visual</x:v>
      </x:c>
      <x:c r="E26" s="351" t="str">
        <x:v>Diseño, foto, cine y multimedia</x:v>
      </x:c>
      <x:c r="F26" s="351" t="str">
        <x:v>Composición y retícula</x:v>
      </x:c>
      <x:c r="G26" s="351" t="str">
        <x:v>Composición y retícula. Concepto, forma, técnica, crítica, accesibilidad y producción para medios impresos y digitales.</x:v>
      </x:c>
      <x:c r="H26" s="351" t="str">
        <x:v>MED-003</x:v>
      </x:c>
      <x:c r="I26" s="351" t="str">
        <x:v>Frontera/adyacente</x:v>
      </x:c>
      <x:c r="J26" s="351" t="n">
        <x:v>3</x:v>
      </x:c>
      <x:c r="K26" s="351" t="n">
        <x:v>18</x:v>
      </x:c>
      <x:c r="L26" s="351" t="n">
        <x:v>52</x:v>
      </x:c>
      <x:c r="M26" s="351" t="n">
        <x:v>26</x:v>
      </x:c>
      <x:c r="N26" s="352" t="n">
        <x:f>SUM(K26:M26)</x:f>
        <x:v>96</x:v>
      </x:c>
      <x:c r="O26" s="353" t="n">
        <x:f>N26/25</x:f>
        <x:v>3.84</x:v>
      </x:c>
      <x:c r="P26" s="351" t="str">
        <x:v>Pieza de portafolio: Composición y retícula.</x:v>
      </x:c>
      <x:c r="Q26" s="351" t="str">
        <x:v>S43; S46</x:v>
      </x:c>
      <x:c r="R26" s="351" t="str">
        <x:v>No iniciado</x:v>
      </x:c>
      <x:c r="S26" s="354" t="n">
        <x:v>0</x:v>
      </x:c>
      <x:c r="T26" s="355"/>
      <x:c r="U26" s="355"/>
      <x:c r="V26" s="351" t="str">
        <x:v>Integra artes visuales y narrativas con reproducción, captura, edición y distribución digital.</x:v>
      </x:c>
      <x:c r="W26" s="351" t="str">
        <x:v>Alta: práctica vigente</x:v>
      </x:c>
      <x:c r="X26" s="351" t="str">
        <x:v>Presente 2026 y corto (2027–2029)</x:v>
      </x:c>
      <x:c r="Y26" s="351" t="str">
        <x:v>Actual</x:v>
      </x:c>
      <x:c r="Z26" s="351" t="str">
        <x:v>12 meses</x:v>
      </x:c>
      <x:c r="AA26" s="351" t="str">
        <x:v>Medios generativos con procedencia, producción virtual, síntesis multimodal y autenticidad verificable.</x:v>
      </x:c>
    </x:row>
    <x:row r="27" ht="58" customHeight="1">
      <x:c r="A27" s="366" t="str">
        <x:v>MED-005</x:v>
      </x:c>
      <x:c r="B27" s="366" t="n">
        <x:v>1</x:v>
      </x:c>
      <x:c r="C27" s="366" t="str">
        <x:v>Fundamentos STEM</x:v>
      </x:c>
      <x:c r="D27" s="366" t="str">
        <x:v>Diseño gráfico y comunicación visual</x:v>
      </x:c>
      <x:c r="E27" s="366" t="str">
        <x:v>Diseño, foto, cine y multimedia</x:v>
      </x:c>
      <x:c r="F27" s="366" t="str">
        <x:v>Tipografía I</x:v>
      </x:c>
      <x:c r="G27" s="366" t="str">
        <x:v>Tipografía I. Concepto, forma, técnica, crítica, accesibilidad y producción para medios impresos y digitales.</x:v>
      </x:c>
      <x:c r="H27" s="366" t="str">
        <x:v>MED-004</x:v>
      </x:c>
      <x:c r="I27" s="366" t="str">
        <x:v>Frontera/adyacente</x:v>
      </x:c>
      <x:c r="J27" s="366" t="n">
        <x:v>3</x:v>
      </x:c>
      <x:c r="K27" s="366" t="n">
        <x:v>18</x:v>
      </x:c>
      <x:c r="L27" s="366" t="n">
        <x:v>52</x:v>
      </x:c>
      <x:c r="M27" s="366" t="n">
        <x:v>26</x:v>
      </x:c>
      <x:c r="N27" s="367" t="n">
        <x:f>SUM(K27:M27)</x:f>
        <x:v>96</x:v>
      </x:c>
      <x:c r="O27" s="368" t="n">
        <x:f>N27/25</x:f>
        <x:v>3.84</x:v>
      </x:c>
      <x:c r="P27" s="366" t="str">
        <x:v>Pieza de portafolio: Tipografía I.</x:v>
      </x:c>
      <x:c r="Q27" s="366" t="str">
        <x:v>S43; S46</x:v>
      </x:c>
      <x:c r="R27" s="366" t="str">
        <x:v>No iniciado</x:v>
      </x:c>
      <x:c r="S27" s="369" t="n">
        <x:v>0</x:v>
      </x:c>
      <x:c r="T27" s="370"/>
      <x:c r="U27" s="370"/>
      <x:c r="V27" s="366" t="str">
        <x:v>Integra artes visuales y narrativas con reproducción, captura, edición y distribución digital.</x:v>
      </x:c>
      <x:c r="W27" s="366" t="str">
        <x:v>Alta: práctica vigente</x:v>
      </x:c>
      <x:c r="X27" s="366" t="str">
        <x:v>Presente 2026 y corto (2027–2029)</x:v>
      </x:c>
      <x:c r="Y27" s="366" t="str">
        <x:v>Actual</x:v>
      </x:c>
      <x:c r="Z27" s="366" t="str">
        <x:v>12 meses</x:v>
      </x:c>
      <x:c r="AA27" s="366" t="str">
        <x:v>Medios generativos con procedencia, producción virtual, síntesis multimodal y autenticidad verificable.</x:v>
      </x:c>
    </x:row>
    <x:row r="28" ht="58" customHeight="1">
      <x:c r="A28" s="351" t="str">
        <x:v>MED-006</x:v>
      </x:c>
      <x:c r="B28" s="351" t="n">
        <x:v>1</x:v>
      </x:c>
      <x:c r="C28" s="351" t="str">
        <x:v>Fundamentos STEM</x:v>
      </x:c>
      <x:c r="D28" s="351" t="str">
        <x:v>Diseño gráfico y comunicación visual</x:v>
      </x:c>
      <x:c r="E28" s="351" t="str">
        <x:v>Diseño, foto, cine y multimedia</x:v>
      </x:c>
      <x:c r="F28" s="351" t="str">
        <x:v>Tipografía II</x:v>
      </x:c>
      <x:c r="G28" s="351" t="str">
        <x:v>Tipografía II. Concepto, forma, técnica, crítica, accesibilidad y producción para medios impresos y digitales.</x:v>
      </x:c>
      <x:c r="H28" s="351" t="str">
        <x:v>MED-005</x:v>
      </x:c>
      <x:c r="I28" s="351" t="str">
        <x:v>Frontera/adyacente</x:v>
      </x:c>
      <x:c r="J28" s="351" t="n">
        <x:v>3</x:v>
      </x:c>
      <x:c r="K28" s="351" t="n">
        <x:v>18</x:v>
      </x:c>
      <x:c r="L28" s="351" t="n">
        <x:v>52</x:v>
      </x:c>
      <x:c r="M28" s="351" t="n">
        <x:v>26</x:v>
      </x:c>
      <x:c r="N28" s="352" t="n">
        <x:f>SUM(K28:M28)</x:f>
        <x:v>96</x:v>
      </x:c>
      <x:c r="O28" s="353" t="n">
        <x:f>N28/25</x:f>
        <x:v>3.84</x:v>
      </x:c>
      <x:c r="P28" s="351" t="str">
        <x:v>Pieza de portafolio: Tipografía II.</x:v>
      </x:c>
      <x:c r="Q28" s="351" t="str">
        <x:v>S43; S46</x:v>
      </x:c>
      <x:c r="R28" s="351" t="str">
        <x:v>No iniciado</x:v>
      </x:c>
      <x:c r="S28" s="354" t="n">
        <x:v>0</x:v>
      </x:c>
      <x:c r="T28" s="355"/>
      <x:c r="U28" s="355"/>
      <x:c r="V28" s="351" t="str">
        <x:v>Integra artes visuales y narrativas con reproducción, captura, edición y distribución digital.</x:v>
      </x:c>
      <x:c r="W28" s="351" t="str">
        <x:v>Alta: práctica vigente</x:v>
      </x:c>
      <x:c r="X28" s="351" t="str">
        <x:v>Presente 2026 y corto (2027–2029)</x:v>
      </x:c>
      <x:c r="Y28" s="351" t="str">
        <x:v>Actual</x:v>
      </x:c>
      <x:c r="Z28" s="351" t="str">
        <x:v>12 meses</x:v>
      </x:c>
      <x:c r="AA28" s="351" t="str">
        <x:v>Medios generativos con procedencia, producción virtual, síntesis multimodal y autenticidad verificable.</x:v>
      </x:c>
    </x:row>
    <x:row r="29" ht="58" customHeight="1">
      <x:c r="A29" s="366" t="str">
        <x:v>CAP-001</x:v>
      </x:c>
      <x:c r="B29" s="366" t="n">
        <x:v>1</x:v>
      </x:c>
      <x:c r="C29" s="366" t="str">
        <x:v>Fundamentos STEM</x:v>
      </x:c>
      <x:c r="D29" s="366" t="str">
        <x:v>Investigación y profesión</x:v>
      </x:c>
      <x:c r="E29" s="366" t="str">
        <x:v>Investigación, profesión y capstones</x:v>
      </x:c>
      <x:c r="F29" s="366" t="str">
        <x:v>Ética profesional, derecho digital y sociedad</x:v>
      </x:c>
      <x:c r="G29" s="366" t="str">
        <x:v>Ética profesional, derecho digital y sociedad. Método científico, comunicación, colaboración, ética, impacto y evidencia pública.</x:v>
      </x:c>
      <x:c r="H29" s="366" t="str">
        <x:v>PRE-006</x:v>
      </x:c>
      <x:c r="I29" s="366" t="str">
        <x:v>Núcleo esencial</x:v>
      </x:c>
      <x:c r="J29" s="366" t="n">
        <x:v>1</x:v>
      </x:c>
      <x:c r="K29" s="366" t="n">
        <x:v>20</x:v>
      </x:c>
      <x:c r="L29" s="366" t="n">
        <x:v>24</x:v>
      </x:c>
      <x:c r="M29" s="366" t="n">
        <x:v>56</x:v>
      </x:c>
      <x:c r="N29" s="367" t="n">
        <x:f>SUM(K29:M29)</x:f>
        <x:v>100</x:v>
      </x:c>
      <x:c r="O29" s="368" t="n">
        <x:f>N29/25</x:f>
        <x:v>4</x:v>
      </x:c>
      <x:c r="P29" s="366" t="str">
        <x:v>Informe y defensa: Ética profesional, derecho digital y sociedad.</x:v>
      </x:c>
      <x:c r="Q29" s="366" t="str">
        <x:v>S01; S03; S04; S07; S08</x:v>
      </x:c>
      <x:c r="R29" s="366" t="str">
        <x:v>No iniciado</x:v>
      </x:c>
      <x:c r="S29" s="369" t="n">
        <x:v>0</x:v>
      </x:c>
      <x:c r="T29" s="370"/>
      <x:c r="U29" s="370"/>
      <x:c r="V29" s="366" t="str">
        <x:v>Hereda método científico, ingeniería, revisión por pares, ética profesional e innovación.</x:v>
      </x:c>
      <x:c r="W29" s="366" t="str">
        <x:v>Muy alta: fundamento durable</x:v>
      </x:c>
      <x:c r="X29" s="366" t="str">
        <x:v>Transversal permanente</x:v>
      </x:c>
      <x:c r="Y29" s="366" t="str">
        <x:v>Consolidada</x:v>
      </x:c>
      <x:c r="Z29" s="366" t="str">
        <x:v>24 meses</x:v>
      </x:c>
      <x:c r="AA29" s="366" t="str">
        <x:v>Ciencia asistida por IA, inteligencia de patentes/estándares y actualización curricular basada en señales.</x:v>
      </x:c>
    </x:row>
    <x:row r="30" ht="58" customHeight="1">
      <x:c r="A30" s="351" t="str">
        <x:v>CAP-002</x:v>
      </x:c>
      <x:c r="B30" s="351" t="n">
        <x:v>1</x:v>
      </x:c>
      <x:c r="C30" s="351" t="str">
        <x:v>Fundamentos STEM</x:v>
      </x:c>
      <x:c r="D30" s="351" t="str">
        <x:v>Investigación y profesión</x:v>
      </x:c>
      <x:c r="E30" s="351" t="str">
        <x:v>Investigación, profesión y capstones</x:v>
      </x:c>
      <x:c r="F30" s="351" t="str">
        <x:v>Comunicación técnica</x:v>
      </x:c>
      <x:c r="G30" s="351" t="str">
        <x:v>Comunicación técnica. Método científico, comunicación, colaboración, ética, impacto y evidencia pública.</x:v>
      </x:c>
      <x:c r="H30" s="351" t="str">
        <x:v>CAP-001</x:v>
      </x:c>
      <x:c r="I30" s="351" t="str">
        <x:v>Núcleo esencial</x:v>
      </x:c>
      <x:c r="J30" s="351" t="n">
        <x:v>1</x:v>
      </x:c>
      <x:c r="K30" s="351" t="n">
        <x:v>20</x:v>
      </x:c>
      <x:c r="L30" s="351" t="n">
        <x:v>24</x:v>
      </x:c>
      <x:c r="M30" s="351" t="n">
        <x:v>56</x:v>
      </x:c>
      <x:c r="N30" s="352" t="n">
        <x:f>SUM(K30:M30)</x:f>
        <x:v>100</x:v>
      </x:c>
      <x:c r="O30" s="353" t="n">
        <x:f>N30/25</x:f>
        <x:v>4</x:v>
      </x:c>
      <x:c r="P30" s="351" t="str">
        <x:v>Informe y defensa: Comunicación técnica.</x:v>
      </x:c>
      <x:c r="Q30" s="351" t="str">
        <x:v>S01; S03; S04; S07; S08</x:v>
      </x:c>
      <x:c r="R30" s="351" t="str">
        <x:v>No iniciado</x:v>
      </x:c>
      <x:c r="S30" s="354" t="n">
        <x:v>0</x:v>
      </x:c>
      <x:c r="T30" s="355"/>
      <x:c r="U30" s="355"/>
      <x:c r="V30" s="351" t="str">
        <x:v>Hereda método científico, ingeniería, revisión por pares, ética profesional e innovación.</x:v>
      </x:c>
      <x:c r="W30" s="351" t="str">
        <x:v>Muy alta: fundamento durable</x:v>
      </x:c>
      <x:c r="X30" s="351" t="str">
        <x:v>Transversal permanente</x:v>
      </x:c>
      <x:c r="Y30" s="351" t="str">
        <x:v>Consolidada</x:v>
      </x:c>
      <x:c r="Z30" s="351" t="str">
        <x:v>24 meses</x:v>
      </x:c>
      <x:c r="AA30" s="351" t="str">
        <x:v>Ciencia asistida por IA, inteligencia de patentes/estándares y actualización curricular basada en señales.</x:v>
      </x:c>
    </x:row>
    <x:row r="31" ht="58" customHeight="1">
      <x:c r="A31" s="366" t="str">
        <x:v>CAP-003</x:v>
      </x:c>
      <x:c r="B31" s="366" t="n">
        <x:v>1</x:v>
      </x:c>
      <x:c r="C31" s="366" t="str">
        <x:v>Fundamentos STEM</x:v>
      </x:c>
      <x:c r="D31" s="366" t="str">
        <x:v>Investigación y profesión</x:v>
      </x:c>
      <x:c r="E31" s="366" t="str">
        <x:v>Investigación, profesión y capstones</x:v>
      </x:c>
      <x:c r="F31" s="366" t="str">
        <x:v>Metodología de investigación I</x:v>
      </x:c>
      <x:c r="G31" s="366" t="str">
        <x:v>Metodología de investigación I. Método científico, comunicación, colaboración, ética, impacto y evidencia pública.</x:v>
      </x:c>
      <x:c r="H31" s="366" t="str">
        <x:v>CAP-002</x:v>
      </x:c>
      <x:c r="I31" s="366" t="str">
        <x:v>Núcleo esencial</x:v>
      </x:c>
      <x:c r="J31" s="366" t="n">
        <x:v>1</x:v>
      </x:c>
      <x:c r="K31" s="366" t="n">
        <x:v>20</x:v>
      </x:c>
      <x:c r="L31" s="366" t="n">
        <x:v>24</x:v>
      </x:c>
      <x:c r="M31" s="366" t="n">
        <x:v>56</x:v>
      </x:c>
      <x:c r="N31" s="367" t="n">
        <x:f>SUM(K31:M31)</x:f>
        <x:v>100</x:v>
      </x:c>
      <x:c r="O31" s="368" t="n">
        <x:f>N31/25</x:f>
        <x:v>4</x:v>
      </x:c>
      <x:c r="P31" s="366" t="str">
        <x:v>Informe y defensa: Metodología de investigación I.</x:v>
      </x:c>
      <x:c r="Q31" s="366" t="str">
        <x:v>S01; S03; S04; S07; S08</x:v>
      </x:c>
      <x:c r="R31" s="366" t="str">
        <x:v>No iniciado</x:v>
      </x:c>
      <x:c r="S31" s="369" t="n">
        <x:v>0</x:v>
      </x:c>
      <x:c r="T31" s="370"/>
      <x:c r="U31" s="370"/>
      <x:c r="V31" s="366" t="str">
        <x:v>Hereda método científico, ingeniería, revisión por pares, ética profesional e innovación.</x:v>
      </x:c>
      <x:c r="W31" s="366" t="str">
        <x:v>Muy alta: fundamento durable</x:v>
      </x:c>
      <x:c r="X31" s="366" t="str">
        <x:v>Transversal permanente</x:v>
      </x:c>
      <x:c r="Y31" s="366" t="str">
        <x:v>Consolidada</x:v>
      </x:c>
      <x:c r="Z31" s="366" t="str">
        <x:v>24 meses</x:v>
      </x:c>
      <x:c r="AA31" s="366" t="str">
        <x:v>Ciencia asistida por IA, inteligencia de patentes/estándares y actualización curricular basada en señales.</x:v>
      </x:c>
    </x:row>
    <x:row r="32" ht="58" customHeight="1">
      <x:c r="A32" s="351" t="str">
        <x:v>CAP-004</x:v>
      </x:c>
      <x:c r="B32" s="351" t="n">
        <x:v>1</x:v>
      </x:c>
      <x:c r="C32" s="351" t="str">
        <x:v>Fundamentos STEM</x:v>
      </x:c>
      <x:c r="D32" s="351" t="str">
        <x:v>Investigación y profesión</x:v>
      </x:c>
      <x:c r="E32" s="351" t="str">
        <x:v>Investigación, profesión y capstones</x:v>
      </x:c>
      <x:c r="F32" s="351" t="str">
        <x:v>Metodología de investigación II</x:v>
      </x:c>
      <x:c r="G32" s="351" t="str">
        <x:v>Metodología de investigación II. Método científico, comunicación, colaboración, ética, impacto y evidencia pública.</x:v>
      </x:c>
      <x:c r="H32" s="351" t="str">
        <x:v>CAP-003</x:v>
      </x:c>
      <x:c r="I32" s="351" t="str">
        <x:v>Núcleo esencial</x:v>
      </x:c>
      <x:c r="J32" s="351" t="n">
        <x:v>1</x:v>
      </x:c>
      <x:c r="K32" s="351" t="n">
        <x:v>20</x:v>
      </x:c>
      <x:c r="L32" s="351" t="n">
        <x:v>24</x:v>
      </x:c>
      <x:c r="M32" s="351" t="n">
        <x:v>56</x:v>
      </x:c>
      <x:c r="N32" s="352" t="n">
        <x:f>SUM(K32:M32)</x:f>
        <x:v>100</x:v>
      </x:c>
      <x:c r="O32" s="353" t="n">
        <x:f>N32/25</x:f>
        <x:v>4</x:v>
      </x:c>
      <x:c r="P32" s="351" t="str">
        <x:v>Informe y defensa: Metodología de investigación II.</x:v>
      </x:c>
      <x:c r="Q32" s="351" t="str">
        <x:v>S01; S03; S04; S07; S08</x:v>
      </x:c>
      <x:c r="R32" s="351" t="str">
        <x:v>No iniciado</x:v>
      </x:c>
      <x:c r="S32" s="354" t="n">
        <x:v>0</x:v>
      </x:c>
      <x:c r="T32" s="355"/>
      <x:c r="U32" s="355"/>
      <x:c r="V32" s="351" t="str">
        <x:v>Hereda método científico, ingeniería, revisión por pares, ética profesional e innovación.</x:v>
      </x:c>
      <x:c r="W32" s="351" t="str">
        <x:v>Muy alta: fundamento durable</x:v>
      </x:c>
      <x:c r="X32" s="351" t="str">
        <x:v>Transversal permanente</x:v>
      </x:c>
      <x:c r="Y32" s="351" t="str">
        <x:v>Consolidada</x:v>
      </x:c>
      <x:c r="Z32" s="351" t="str">
        <x:v>24 meses</x:v>
      </x:c>
      <x:c r="AA32" s="351" t="str">
        <x:v>Ciencia asistida por IA, inteligencia de patentes/estándares y actualización curricular basada en señales.</x:v>
      </x:c>
    </x:row>
    <x:row r="33" ht="58" customHeight="1">
      <x:c r="A33" s="366" t="str">
        <x:v>CAP-005</x:v>
      </x:c>
      <x:c r="B33" s="366" t="n">
        <x:v>1</x:v>
      </x:c>
      <x:c r="C33" s="366" t="str">
        <x:v>Fundamentos STEM</x:v>
      </x:c>
      <x:c r="D33" s="366" t="str">
        <x:v>Investigación y profesión</x:v>
      </x:c>
      <x:c r="E33" s="366" t="str">
        <x:v>Investigación, profesión y capstones</x:v>
      </x:c>
      <x:c r="F33" s="366" t="str">
        <x:v>Reproducibilidad, ciencia abierta y datos FAIR</x:v>
      </x:c>
      <x:c r="G33" s="366" t="str">
        <x:v>Reproducibilidad, ciencia abierta y datos FAIR. Método científico, comunicación, colaboración, ética, impacto y evidencia pública.</x:v>
      </x:c>
      <x:c r="H33" s="366" t="str">
        <x:v>CAP-004</x:v>
      </x:c>
      <x:c r="I33" s="366" t="str">
        <x:v>Núcleo esencial</x:v>
      </x:c>
      <x:c r="J33" s="366" t="n">
        <x:v>1</x:v>
      </x:c>
      <x:c r="K33" s="366" t="n">
        <x:v>20</x:v>
      </x:c>
      <x:c r="L33" s="366" t="n">
        <x:v>24</x:v>
      </x:c>
      <x:c r="M33" s="366" t="n">
        <x:v>56</x:v>
      </x:c>
      <x:c r="N33" s="367" t="n">
        <x:f>SUM(K33:M33)</x:f>
        <x:v>100</x:v>
      </x:c>
      <x:c r="O33" s="368" t="n">
        <x:f>N33/25</x:f>
        <x:v>4</x:v>
      </x:c>
      <x:c r="P33" s="366" t="str">
        <x:v>Informe y defensa: Reproducibilidad, ciencia abierta y datos FAIR.</x:v>
      </x:c>
      <x:c r="Q33" s="366" t="str">
        <x:v>S01; S03; S04; S07; S08</x:v>
      </x:c>
      <x:c r="R33" s="366" t="str">
        <x:v>No iniciado</x:v>
      </x:c>
      <x:c r="S33" s="369" t="n">
        <x:v>0</x:v>
      </x:c>
      <x:c r="T33" s="370"/>
      <x:c r="U33" s="370"/>
      <x:c r="V33" s="366" t="str">
        <x:v>Hereda método científico, ingeniería, revisión por pares, ética profesional e innovación.</x:v>
      </x:c>
      <x:c r="W33" s="366" t="str">
        <x:v>Muy alta: fundamento durable</x:v>
      </x:c>
      <x:c r="X33" s="366" t="str">
        <x:v>Transversal permanente</x:v>
      </x:c>
      <x:c r="Y33" s="366" t="str">
        <x:v>Consolidada</x:v>
      </x:c>
      <x:c r="Z33" s="366" t="str">
        <x:v>24 meses</x:v>
      </x:c>
      <x:c r="AA33" s="366" t="str">
        <x:v>Ciencia asistida por IA, inteligencia de patentes/estándares y actualización curricular basada en señales.</x:v>
      </x:c>
    </x:row>
    <x:row r="34" ht="58" customHeight="1">
      <x:c r="A34" s="351" t="str">
        <x:v>MAT-001</x:v>
      </x:c>
      <x:c r="B34" s="351" t="n">
        <x:v>1</x:v>
      </x:c>
      <x:c r="C34" s="351" t="str">
        <x:v>Fundamentos STEM</x:v>
      </x:c>
      <x:c r="D34" s="351" t="str">
        <x:v>Matemática fundamental</x:v>
      </x:c>
      <x:c r="E34" s="351" t="str">
        <x:v>Matemática y ciencias</x:v>
      </x:c>
      <x:c r="F34" s="351" t="str">
        <x:v>Álgebra y precálculo</x:v>
      </x:c>
      <x:c r="G34" s="351" t="str">
        <x:v>Álgebra y precálculo. Definiciones, demostraciones, cálculo manual, modelado y uso computacional.</x:v>
      </x:c>
      <x:c r="H34" s="351" t="str">
        <x:v>PRE-002</x:v>
      </x:c>
      <x:c r="I34" s="351" t="str">
        <x:v>Núcleo esencial</x:v>
      </x:c>
      <x:c r="J34" s="351" t="n">
        <x:v>1</x:v>
      </x:c>
      <x:c r="K34" s="351" t="n">
        <x:v>36</x:v>
      </x:c>
      <x:c r="L34" s="351" t="n">
        <x:v>42</x:v>
      </x:c>
      <x:c r="M34" s="351" t="n">
        <x:v>22</x:v>
      </x:c>
      <x:c r="N34" s="352" t="n">
        <x:f>SUM(K34:M34)</x:f>
        <x:v>100</x:v>
      </x:c>
      <x:c r="O34" s="353" t="n">
        <x:f>N34/25</x:f>
        <x:v>4</x:v>
      </x:c>
      <x:c r="P34" s="351" t="str">
        <x:v>Cuaderno de problemas y notebook reproducible: Álgebra y precálculo.</x:v>
      </x:c>
      <x:c r="Q34" s="351" t="str">
        <x:v>S01; S03; S04; S09; S11; S16</x:v>
      </x:c>
      <x:c r="R34" s="351" t="str">
        <x:v>No iniciado</x:v>
      </x:c>
      <x:c r="S34" s="354" t="n">
        <x:v>0</x:v>
      </x:c>
      <x:c r="T34" s="355"/>
      <x:c r="U34" s="355"/>
      <x:c r="V34" s="351" t="str">
        <x:v>Precede a la computación y aporta lógica, prueba, modelado, medición y límites físicos.</x:v>
      </x:c>
      <x:c r="W34" s="351" t="str">
        <x:v>Muy alta: fundamento durable</x:v>
      </x:c>
      <x:c r="X34" s="351" t="str">
        <x:v>Transversal permanente</x:v>
      </x:c>
      <x:c r="Y34" s="351" t="str">
        <x:v>Consolidada</x:v>
      </x:c>
      <x:c r="Z34" s="351" t="str">
        <x:v>24 meses</x:v>
      </x:c>
      <x:c r="AA34" s="351" t="str">
        <x:v>Prueba asistida, matemática formalizada, modelado multiescala y cálculo científico acelerado.</x:v>
      </x:c>
    </x:row>
    <x:row r="35" ht="58" customHeight="1">
      <x:c r="A35" s="366" t="str">
        <x:v>MAT-002</x:v>
      </x:c>
      <x:c r="B35" s="366" t="n">
        <x:v>1</x:v>
      </x:c>
      <x:c r="C35" s="366" t="str">
        <x:v>Fundamentos STEM</x:v>
      </x:c>
      <x:c r="D35" s="366" t="str">
        <x:v>Matemática fundamental</x:v>
      </x:c>
      <x:c r="E35" s="366" t="str">
        <x:v>Matemática y ciencias</x:v>
      </x:c>
      <x:c r="F35" s="366" t="str">
        <x:v>Geometría analítica y trigonometría</x:v>
      </x:c>
      <x:c r="G35" s="366" t="str">
        <x:v>Geometría analítica y trigonometría. Definiciones, demostraciones, cálculo manual, modelado y uso computacional.</x:v>
      </x:c>
      <x:c r="H35" s="366" t="str">
        <x:v>MAT-001</x:v>
      </x:c>
      <x:c r="I35" s="366" t="str">
        <x:v>Núcleo esencial</x:v>
      </x:c>
      <x:c r="J35" s="366" t="n">
        <x:v>1</x:v>
      </x:c>
      <x:c r="K35" s="366" t="n">
        <x:v>36</x:v>
      </x:c>
      <x:c r="L35" s="366" t="n">
        <x:v>42</x:v>
      </x:c>
      <x:c r="M35" s="366" t="n">
        <x:v>22</x:v>
      </x:c>
      <x:c r="N35" s="367" t="n">
        <x:f>SUM(K35:M35)</x:f>
        <x:v>100</x:v>
      </x:c>
      <x:c r="O35" s="368" t="n">
        <x:f>N35/25</x:f>
        <x:v>4</x:v>
      </x:c>
      <x:c r="P35" s="366" t="str">
        <x:v>Cuaderno de problemas y notebook reproducible: Geometría analítica y trigonometría.</x:v>
      </x:c>
      <x:c r="Q35" s="366" t="str">
        <x:v>S01; S03; S04; S09; S11; S16</x:v>
      </x:c>
      <x:c r="R35" s="366" t="str">
        <x:v>No iniciado</x:v>
      </x:c>
      <x:c r="S35" s="369" t="n">
        <x:v>0</x:v>
      </x:c>
      <x:c r="T35" s="370"/>
      <x:c r="U35" s="370"/>
      <x:c r="V35" s="366" t="str">
        <x:v>Precede a la computación y aporta lógica, prueba, modelado, medición y límites físicos.</x:v>
      </x:c>
      <x:c r="W35" s="366" t="str">
        <x:v>Muy alta: fundamento durable</x:v>
      </x:c>
      <x:c r="X35" s="366" t="str">
        <x:v>Transversal permanente</x:v>
      </x:c>
      <x:c r="Y35" s="366" t="str">
        <x:v>Consolidada</x:v>
      </x:c>
      <x:c r="Z35" s="366" t="str">
        <x:v>24 meses</x:v>
      </x:c>
      <x:c r="AA35" s="366" t="str">
        <x:v>Prueba asistida, matemática formalizada, modelado multiescala y cálculo científico acelerado.</x:v>
      </x:c>
    </x:row>
    <x:row r="36" ht="58" customHeight="1">
      <x:c r="A36" s="351" t="str">
        <x:v>MAT-003</x:v>
      </x:c>
      <x:c r="B36" s="351" t="n">
        <x:v>1</x:v>
      </x:c>
      <x:c r="C36" s="351" t="str">
        <x:v>Fundamentos STEM</x:v>
      </x:c>
      <x:c r="D36" s="351" t="str">
        <x:v>Matemática fundamental</x:v>
      </x:c>
      <x:c r="E36" s="351" t="str">
        <x:v>Matemática y ciencias</x:v>
      </x:c>
      <x:c r="F36" s="351" t="str">
        <x:v>Cálculo diferencial</x:v>
      </x:c>
      <x:c r="G36" s="351" t="str">
        <x:v>Cálculo diferencial. Definiciones, demostraciones, cálculo manual, modelado y uso computacional.</x:v>
      </x:c>
      <x:c r="H36" s="351" t="str">
        <x:v>MAT-002</x:v>
      </x:c>
      <x:c r="I36" s="351" t="str">
        <x:v>Núcleo esencial</x:v>
      </x:c>
      <x:c r="J36" s="351" t="n">
        <x:v>1</x:v>
      </x:c>
      <x:c r="K36" s="351" t="n">
        <x:v>36</x:v>
      </x:c>
      <x:c r="L36" s="351" t="n">
        <x:v>42</x:v>
      </x:c>
      <x:c r="M36" s="351" t="n">
        <x:v>22</x:v>
      </x:c>
      <x:c r="N36" s="352" t="n">
        <x:f>SUM(K36:M36)</x:f>
        <x:v>100</x:v>
      </x:c>
      <x:c r="O36" s="353" t="n">
        <x:f>N36/25</x:f>
        <x:v>4</x:v>
      </x:c>
      <x:c r="P36" s="351" t="str">
        <x:v>Cuaderno de problemas y notebook reproducible: Cálculo diferencial.</x:v>
      </x:c>
      <x:c r="Q36" s="351" t="str">
        <x:v>S01; S03; S04; S09; S11; S16</x:v>
      </x:c>
      <x:c r="R36" s="351" t="str">
        <x:v>No iniciado</x:v>
      </x:c>
      <x:c r="S36" s="354" t="n">
        <x:v>0</x:v>
      </x:c>
      <x:c r="T36" s="355"/>
      <x:c r="U36" s="355"/>
      <x:c r="V36" s="351" t="str">
        <x:v>Precede a la computación y aporta lógica, prueba, modelado, medición y límites físicos.</x:v>
      </x:c>
      <x:c r="W36" s="351" t="str">
        <x:v>Muy alta: fundamento durable</x:v>
      </x:c>
      <x:c r="X36" s="351" t="str">
        <x:v>Transversal permanente</x:v>
      </x:c>
      <x:c r="Y36" s="351" t="str">
        <x:v>Consolidada</x:v>
      </x:c>
      <x:c r="Z36" s="351" t="str">
        <x:v>24 meses</x:v>
      </x:c>
      <x:c r="AA36" s="351" t="str">
        <x:v>Prueba asistida, matemática formalizada, modelado multiescala y cálculo científico acelerado.</x:v>
      </x:c>
    </x:row>
    <x:row r="37" ht="58" customHeight="1">
      <x:c r="A37" s="366" t="str">
        <x:v>MAT-004</x:v>
      </x:c>
      <x:c r="B37" s="366" t="n">
        <x:v>1</x:v>
      </x:c>
      <x:c r="C37" s="366" t="str">
        <x:v>Fundamentos STEM</x:v>
      </x:c>
      <x:c r="D37" s="366" t="str">
        <x:v>Matemática fundamental</x:v>
      </x:c>
      <x:c r="E37" s="366" t="str">
        <x:v>Matemática y ciencias</x:v>
      </x:c>
      <x:c r="F37" s="366" t="str">
        <x:v>Cálculo integral</x:v>
      </x:c>
      <x:c r="G37" s="366" t="str">
        <x:v>Cálculo integral. Definiciones, demostraciones, cálculo manual, modelado y uso computacional.</x:v>
      </x:c>
      <x:c r="H37" s="366" t="str">
        <x:v>MAT-003</x:v>
      </x:c>
      <x:c r="I37" s="366" t="str">
        <x:v>Núcleo esencial</x:v>
      </x:c>
      <x:c r="J37" s="366" t="n">
        <x:v>1</x:v>
      </x:c>
      <x:c r="K37" s="366" t="n">
        <x:v>36</x:v>
      </x:c>
      <x:c r="L37" s="366" t="n">
        <x:v>42</x:v>
      </x:c>
      <x:c r="M37" s="366" t="n">
        <x:v>22</x:v>
      </x:c>
      <x:c r="N37" s="367" t="n">
        <x:f>SUM(K37:M37)</x:f>
        <x:v>100</x:v>
      </x:c>
      <x:c r="O37" s="368" t="n">
        <x:f>N37/25</x:f>
        <x:v>4</x:v>
      </x:c>
      <x:c r="P37" s="366" t="str">
        <x:v>Cuaderno de problemas y notebook reproducible: Cálculo integral.</x:v>
      </x:c>
      <x:c r="Q37" s="366" t="str">
        <x:v>S01; S03; S04; S09; S11; S16</x:v>
      </x:c>
      <x:c r="R37" s="366" t="str">
        <x:v>No iniciado</x:v>
      </x:c>
      <x:c r="S37" s="369" t="n">
        <x:v>0</x:v>
      </x:c>
      <x:c r="T37" s="370"/>
      <x:c r="U37" s="370"/>
      <x:c r="V37" s="366" t="str">
        <x:v>Precede a la computación y aporta lógica, prueba, modelado, medición y límites físicos.</x:v>
      </x:c>
      <x:c r="W37" s="366" t="str">
        <x:v>Muy alta: fundamento durable</x:v>
      </x:c>
      <x:c r="X37" s="366" t="str">
        <x:v>Transversal permanente</x:v>
      </x:c>
      <x:c r="Y37" s="366" t="str">
        <x:v>Consolidada</x:v>
      </x:c>
      <x:c r="Z37" s="366" t="str">
        <x:v>24 meses</x:v>
      </x:c>
      <x:c r="AA37" s="366" t="str">
        <x:v>Prueba asistida, matemática formalizada, modelado multiescala y cálculo científico acelerado.</x:v>
      </x:c>
    </x:row>
    <x:row r="38" ht="58" customHeight="1">
      <x:c r="A38" s="351" t="str">
        <x:v>MAT-005</x:v>
      </x:c>
      <x:c r="B38" s="351" t="n">
        <x:v>1</x:v>
      </x:c>
      <x:c r="C38" s="351" t="str">
        <x:v>Fundamentos STEM</x:v>
      </x:c>
      <x:c r="D38" s="351" t="str">
        <x:v>Matemática fundamental</x:v>
      </x:c>
      <x:c r="E38" s="351" t="str">
        <x:v>Matemática y ciencias</x:v>
      </x:c>
      <x:c r="F38" s="351" t="str">
        <x:v>Cálculo multivariable</x:v>
      </x:c>
      <x:c r="G38" s="351" t="str">
        <x:v>Cálculo multivariable. Definiciones, demostraciones, cálculo manual, modelado y uso computacional.</x:v>
      </x:c>
      <x:c r="H38" s="351" t="str">
        <x:v>MAT-004</x:v>
      </x:c>
      <x:c r="I38" s="351" t="str">
        <x:v>Núcleo esencial</x:v>
      </x:c>
      <x:c r="J38" s="351" t="n">
        <x:v>1</x:v>
      </x:c>
      <x:c r="K38" s="351" t="n">
        <x:v>36</x:v>
      </x:c>
      <x:c r="L38" s="351" t="n">
        <x:v>42</x:v>
      </x:c>
      <x:c r="M38" s="351" t="n">
        <x:v>22</x:v>
      </x:c>
      <x:c r="N38" s="352" t="n">
        <x:f>SUM(K38:M38)</x:f>
        <x:v>100</x:v>
      </x:c>
      <x:c r="O38" s="353" t="n">
        <x:f>N38/25</x:f>
        <x:v>4</x:v>
      </x:c>
      <x:c r="P38" s="351" t="str">
        <x:v>Cuaderno de problemas y notebook reproducible: Cálculo multivariable.</x:v>
      </x:c>
      <x:c r="Q38" s="351" t="str">
        <x:v>S01; S03; S04; S09; S11; S16</x:v>
      </x:c>
      <x:c r="R38" s="351" t="str">
        <x:v>No iniciado</x:v>
      </x:c>
      <x:c r="S38" s="354" t="n">
        <x:v>0</x:v>
      </x:c>
      <x:c r="T38" s="355"/>
      <x:c r="U38" s="355"/>
      <x:c r="V38" s="351" t="str">
        <x:v>Precede a la computación y aporta lógica, prueba, modelado, medición y límites físicos.</x:v>
      </x:c>
      <x:c r="W38" s="351" t="str">
        <x:v>Muy alta: fundamento durable</x:v>
      </x:c>
      <x:c r="X38" s="351" t="str">
        <x:v>Transversal permanente</x:v>
      </x:c>
      <x:c r="Y38" s="351" t="str">
        <x:v>Consolidada</x:v>
      </x:c>
      <x:c r="Z38" s="351" t="str">
        <x:v>24 meses</x:v>
      </x:c>
      <x:c r="AA38" s="351" t="str">
        <x:v>Prueba asistida, matemática formalizada, modelado multiescala y cálculo científico acelerado.</x:v>
      </x:c>
    </x:row>
    <x:row r="39" ht="58" customHeight="1">
      <x:c r="A39" s="366" t="str">
        <x:v>MAT-006</x:v>
      </x:c>
      <x:c r="B39" s="366" t="n">
        <x:v>1</x:v>
      </x:c>
      <x:c r="C39" s="366" t="str">
        <x:v>Fundamentos STEM</x:v>
      </x:c>
      <x:c r="D39" s="366" t="str">
        <x:v>Matemática fundamental</x:v>
      </x:c>
      <x:c r="E39" s="366" t="str">
        <x:v>Matemática y ciencias</x:v>
      </x:c>
      <x:c r="F39" s="366" t="str">
        <x:v>Álgebra lineal I</x:v>
      </x:c>
      <x:c r="G39" s="366" t="str">
        <x:v>Álgebra lineal I. Definiciones, demostraciones, cálculo manual, modelado y uso computacional.</x:v>
      </x:c>
      <x:c r="H39" s="366" t="str">
        <x:v>MAT-005</x:v>
      </x:c>
      <x:c r="I39" s="366" t="str">
        <x:v>Núcleo esencial</x:v>
      </x:c>
      <x:c r="J39" s="366" t="n">
        <x:v>1</x:v>
      </x:c>
      <x:c r="K39" s="366" t="n">
        <x:v>36</x:v>
      </x:c>
      <x:c r="L39" s="366" t="n">
        <x:v>42</x:v>
      </x:c>
      <x:c r="M39" s="366" t="n">
        <x:v>22</x:v>
      </x:c>
      <x:c r="N39" s="367" t="n">
        <x:f>SUM(K39:M39)</x:f>
        <x:v>100</x:v>
      </x:c>
      <x:c r="O39" s="368" t="n">
        <x:f>N39/25</x:f>
        <x:v>4</x:v>
      </x:c>
      <x:c r="P39" s="366" t="str">
        <x:v>Cuaderno de problemas y notebook reproducible: Álgebra lineal I.</x:v>
      </x:c>
      <x:c r="Q39" s="366" t="str">
        <x:v>S01; S03; S04; S09; S11; S16</x:v>
      </x:c>
      <x:c r="R39" s="366" t="str">
        <x:v>No iniciado</x:v>
      </x:c>
      <x:c r="S39" s="369" t="n">
        <x:v>0</x:v>
      </x:c>
      <x:c r="T39" s="370"/>
      <x:c r="U39" s="370"/>
      <x:c r="V39" s="366" t="str">
        <x:v>Precede a la computación y aporta lógica, prueba, modelado, medición y límites físicos.</x:v>
      </x:c>
      <x:c r="W39" s="366" t="str">
        <x:v>Muy alta: fundamento durable</x:v>
      </x:c>
      <x:c r="X39" s="366" t="str">
        <x:v>Transversal permanente</x:v>
      </x:c>
      <x:c r="Y39" s="366" t="str">
        <x:v>Consolidada</x:v>
      </x:c>
      <x:c r="Z39" s="366" t="str">
        <x:v>24 meses</x:v>
      </x:c>
      <x:c r="AA39" s="366" t="str">
        <x:v>Prueba asistida, matemática formalizada, modelado multiescala y cálculo científico acelerado.</x:v>
      </x:c>
    </x:row>
    <x:row r="40" ht="58" customHeight="1">
      <x:c r="A40" s="351" t="str">
        <x:v>MAT-007</x:v>
      </x:c>
      <x:c r="B40" s="351" t="n">
        <x:v>1</x:v>
      </x:c>
      <x:c r="C40" s="351" t="str">
        <x:v>Fundamentos STEM</x:v>
      </x:c>
      <x:c r="D40" s="351" t="str">
        <x:v>Matemática fundamental</x:v>
      </x:c>
      <x:c r="E40" s="351" t="str">
        <x:v>Matemática y ciencias</x:v>
      </x:c>
      <x:c r="F40" s="351" t="str">
        <x:v>Álgebra lineal II y tensores</x:v>
      </x:c>
      <x:c r="G40" s="351" t="str">
        <x:v>Álgebra lineal II y tensores. Definiciones, demostraciones, cálculo manual, modelado y uso computacional.</x:v>
      </x:c>
      <x:c r="H40" s="351" t="str">
        <x:v>MAT-006</x:v>
      </x:c>
      <x:c r="I40" s="351" t="str">
        <x:v>Núcleo esencial</x:v>
      </x:c>
      <x:c r="J40" s="351" t="n">
        <x:v>1</x:v>
      </x:c>
      <x:c r="K40" s="351" t="n">
        <x:v>36</x:v>
      </x:c>
      <x:c r="L40" s="351" t="n">
        <x:v>42</x:v>
      </x:c>
      <x:c r="M40" s="351" t="n">
        <x:v>22</x:v>
      </x:c>
      <x:c r="N40" s="352" t="n">
        <x:f>SUM(K40:M40)</x:f>
        <x:v>100</x:v>
      </x:c>
      <x:c r="O40" s="353" t="n">
        <x:f>N40/25</x:f>
        <x:v>4</x:v>
      </x:c>
      <x:c r="P40" s="351" t="str">
        <x:v>Cuaderno de problemas y notebook reproducible: Álgebra lineal II y tensores.</x:v>
      </x:c>
      <x:c r="Q40" s="351" t="str">
        <x:v>S01; S03; S04; S09; S11; S16</x:v>
      </x:c>
      <x:c r="R40" s="351" t="str">
        <x:v>No iniciado</x:v>
      </x:c>
      <x:c r="S40" s="354" t="n">
        <x:v>0</x:v>
      </x:c>
      <x:c r="T40" s="355"/>
      <x:c r="U40" s="355"/>
      <x:c r="V40" s="351" t="str">
        <x:v>Precede a la computación y aporta lógica, prueba, modelado, medición y límites físicos.</x:v>
      </x:c>
      <x:c r="W40" s="351" t="str">
        <x:v>Muy alta: fundamento durable</x:v>
      </x:c>
      <x:c r="X40" s="351" t="str">
        <x:v>Transversal permanente</x:v>
      </x:c>
      <x:c r="Y40" s="351" t="str">
        <x:v>Consolidada</x:v>
      </x:c>
      <x:c r="Z40" s="351" t="str">
        <x:v>24 meses</x:v>
      </x:c>
      <x:c r="AA40" s="351" t="str">
        <x:v>Prueba asistida, matemática formalizada, modelado multiescala y cálculo científico acelerado.</x:v>
      </x:c>
    </x:row>
    <x:row r="41" ht="58" customHeight="1">
      <x:c r="A41" s="366" t="str">
        <x:v>MAT-021</x:v>
      </x:c>
      <x:c r="B41" s="366" t="n">
        <x:v>1</x:v>
      </x:c>
      <x:c r="C41" s="366" t="str">
        <x:v>Fundamentos STEM</x:v>
      </x:c>
      <x:c r="D41" s="366" t="str">
        <x:v>Ciencias e ingeniería</x:v>
      </x:c>
      <x:c r="E41" s="366" t="str">
        <x:v>Matemática y ciencias</x:v>
      </x:c>
      <x:c r="F41" s="366" t="str">
        <x:v>Física I: mecánica</x:v>
      </x:c>
      <x:c r="G41" s="366" t="str">
        <x:v>Física I: mecánica. Experimentos, medición, incertidumbre y relación con hardware, señales y robótica.</x:v>
      </x:c>
      <x:c r="H41" s="366" t="str">
        <x:v>MAT-001</x:v>
      </x:c>
      <x:c r="I41" s="366" t="str">
        <x:v>Núcleo esencial</x:v>
      </x:c>
      <x:c r="J41" s="366" t="n">
        <x:v>1</x:v>
      </x:c>
      <x:c r="K41" s="366" t="n">
        <x:v>36</x:v>
      </x:c>
      <x:c r="L41" s="366" t="n">
        <x:v>42</x:v>
      </x:c>
      <x:c r="M41" s="366" t="n">
        <x:v>22</x:v>
      </x:c>
      <x:c r="N41" s="367" t="n">
        <x:f>SUM(K41:M41)</x:f>
        <x:v>100</x:v>
      </x:c>
      <x:c r="O41" s="368" t="n">
        <x:f>N41/25</x:f>
        <x:v>4</x:v>
      </x:c>
      <x:c r="P41" s="366" t="str">
        <x:v>Informe de laboratorio: Física I: mecánica.</x:v>
      </x:c>
      <x:c r="Q41" s="366" t="str">
        <x:v>S04; S10; S13; S24; S26</x:v>
      </x:c>
      <x:c r="R41" s="366" t="str">
        <x:v>No iniciado</x:v>
      </x:c>
      <x:c r="S41" s="369" t="n">
        <x:v>0</x:v>
      </x:c>
      <x:c r="T41" s="370"/>
      <x:c r="U41" s="370"/>
      <x:c r="V41" s="366" t="str">
        <x:v>Precede a la computación y aporta lógica, prueba, modelado, medición y límites físicos.</x:v>
      </x:c>
      <x:c r="W41" s="366" t="str">
        <x:v>Muy alta: fundamento durable</x:v>
      </x:c>
      <x:c r="X41" s="366" t="str">
        <x:v>Transversal permanente</x:v>
      </x:c>
      <x:c r="Y41" s="366" t="str">
        <x:v>Consolidada</x:v>
      </x:c>
      <x:c r="Z41" s="366" t="str">
        <x:v>24 meses</x:v>
      </x:c>
      <x:c r="AA41" s="366" t="str">
        <x:v>Prueba asistida, matemática formalizada, modelado multiescala y cálculo científico acelerado.</x:v>
      </x:c>
    </x:row>
    <x:row r="42" ht="58" customHeight="1">
      <x:c r="A42" s="351" t="str">
        <x:v>MAT-022</x:v>
      </x:c>
      <x:c r="B42" s="351" t="n">
        <x:v>1</x:v>
      </x:c>
      <x:c r="C42" s="351" t="str">
        <x:v>Fundamentos STEM</x:v>
      </x:c>
      <x:c r="D42" s="351" t="str">
        <x:v>Ciencias e ingeniería</x:v>
      </x:c>
      <x:c r="E42" s="351" t="str">
        <x:v>Matemática y ciencias</x:v>
      </x:c>
      <x:c r="F42" s="351" t="str">
        <x:v>Física II: electricidad y magnetismo</x:v>
      </x:c>
      <x:c r="G42" s="351" t="str">
        <x:v>Física II: electricidad y magnetismo. Experimentos, medición, incertidumbre y relación con hardware, señales y robótica.</x:v>
      </x:c>
      <x:c r="H42" s="351" t="str">
        <x:v>MAT-021</x:v>
      </x:c>
      <x:c r="I42" s="351" t="str">
        <x:v>Núcleo esencial</x:v>
      </x:c>
      <x:c r="J42" s="351" t="n">
        <x:v>1</x:v>
      </x:c>
      <x:c r="K42" s="351" t="n">
        <x:v>36</x:v>
      </x:c>
      <x:c r="L42" s="351" t="n">
        <x:v>42</x:v>
      </x:c>
      <x:c r="M42" s="351" t="n">
        <x:v>22</x:v>
      </x:c>
      <x:c r="N42" s="352" t="n">
        <x:f>SUM(K42:M42)</x:f>
        <x:v>100</x:v>
      </x:c>
      <x:c r="O42" s="353" t="n">
        <x:f>N42/25</x:f>
        <x:v>4</x:v>
      </x:c>
      <x:c r="P42" s="351" t="str">
        <x:v>Informe de laboratorio: Física II: electricidad y magnetismo.</x:v>
      </x:c>
      <x:c r="Q42" s="351" t="str">
        <x:v>S04; S10; S13; S24; S26</x:v>
      </x:c>
      <x:c r="R42" s="351" t="str">
        <x:v>No iniciado</x:v>
      </x:c>
      <x:c r="S42" s="354" t="n">
        <x:v>0</x:v>
      </x:c>
      <x:c r="T42" s="355"/>
      <x:c r="U42" s="355"/>
      <x:c r="V42" s="351" t="str">
        <x:v>Precede a la computación y aporta lógica, prueba, modelado, medición y límites físicos.</x:v>
      </x:c>
      <x:c r="W42" s="351" t="str">
        <x:v>Muy alta: fundamento durable</x:v>
      </x:c>
      <x:c r="X42" s="351" t="str">
        <x:v>Transversal permanente</x:v>
      </x:c>
      <x:c r="Y42" s="351" t="str">
        <x:v>Consolidada</x:v>
      </x:c>
      <x:c r="Z42" s="351" t="str">
        <x:v>24 meses</x:v>
      </x:c>
      <x:c r="AA42" s="351" t="str">
        <x:v>Prueba asistida, matemática formalizada, modelado multiescala y cálculo científico acelerado.</x:v>
      </x:c>
    </x:row>
    <x:row r="43" ht="58" customHeight="1">
      <x:c r="A43" s="366" t="str">
        <x:v>MAT-023</x:v>
      </x:c>
      <x:c r="B43" s="366" t="n">
        <x:v>1</x:v>
      </x:c>
      <x:c r="C43" s="366" t="str">
        <x:v>Fundamentos STEM</x:v>
      </x:c>
      <x:c r="D43" s="366" t="str">
        <x:v>Ciencias e ingeniería</x:v>
      </x:c>
      <x:c r="E43" s="366" t="str">
        <x:v>Matemática y ciencias</x:v>
      </x:c>
      <x:c r="F43" s="366" t="str">
        <x:v>Física III: ondas, óptica y termodinámica</x:v>
      </x:c>
      <x:c r="G43" s="366" t="str">
        <x:v>Física III: ondas, óptica y termodinámica. Experimentos, medición, incertidumbre y relación con hardware, señales y robótica.</x:v>
      </x:c>
      <x:c r="H43" s="366" t="str">
        <x:v>MAT-022</x:v>
      </x:c>
      <x:c r="I43" s="366" t="str">
        <x:v>Núcleo esencial</x:v>
      </x:c>
      <x:c r="J43" s="366" t="n">
        <x:v>1</x:v>
      </x:c>
      <x:c r="K43" s="366" t="n">
        <x:v>36</x:v>
      </x:c>
      <x:c r="L43" s="366" t="n">
        <x:v>42</x:v>
      </x:c>
      <x:c r="M43" s="366" t="n">
        <x:v>22</x:v>
      </x:c>
      <x:c r="N43" s="367" t="n">
        <x:f>SUM(K43:M43)</x:f>
        <x:v>100</x:v>
      </x:c>
      <x:c r="O43" s="368" t="n">
        <x:f>N43/25</x:f>
        <x:v>4</x:v>
      </x:c>
      <x:c r="P43" s="366" t="str">
        <x:v>Informe de laboratorio: Física III: ondas, óptica y termodinámica.</x:v>
      </x:c>
      <x:c r="Q43" s="366" t="str">
        <x:v>S04; S10; S13; S24; S26</x:v>
      </x:c>
      <x:c r="R43" s="366" t="str">
        <x:v>No iniciado</x:v>
      </x:c>
      <x:c r="S43" s="369" t="n">
        <x:v>0</x:v>
      </x:c>
      <x:c r="T43" s="370"/>
      <x:c r="U43" s="370"/>
      <x:c r="V43" s="366" t="str">
        <x:v>Precede a la computación y aporta lógica, prueba, modelado, medición y límites físicos.</x:v>
      </x:c>
      <x:c r="W43" s="366" t="str">
        <x:v>Muy alta: fundamento durable</x:v>
      </x:c>
      <x:c r="X43" s="366" t="str">
        <x:v>Transversal permanente</x:v>
      </x:c>
      <x:c r="Y43" s="366" t="str">
        <x:v>Consolidada</x:v>
      </x:c>
      <x:c r="Z43" s="366" t="str">
        <x:v>24 meses</x:v>
      </x:c>
      <x:c r="AA43" s="366" t="str">
        <x:v>Prueba asistida, matemática formalizada, modelado multiescala y cálculo científico acelerado.</x:v>
      </x:c>
    </x:row>
    <x:row r="44" ht="58" customHeight="1">
      <x:c r="A44" s="351" t="str">
        <x:v>MAT-024</x:v>
      </x:c>
      <x:c r="B44" s="351" t="n">
        <x:v>1</x:v>
      </x:c>
      <x:c r="C44" s="351" t="str">
        <x:v>Fundamentos STEM</x:v>
      </x:c>
      <x:c r="D44" s="351" t="str">
        <x:v>Ciencias e ingeniería</x:v>
      </x:c>
      <x:c r="E44" s="351" t="str">
        <x:v>Matemática y ciencias</x:v>
      </x:c>
      <x:c r="F44" s="351" t="str">
        <x:v>Química y ciencia de materiales</x:v>
      </x:c>
      <x:c r="G44" s="351" t="str">
        <x:v>Química y ciencia de materiales. Experimentos, medición, incertidumbre y relación con hardware, señales y robótica.</x:v>
      </x:c>
      <x:c r="H44" s="351" t="str">
        <x:v>MAT-023</x:v>
      </x:c>
      <x:c r="I44" s="351" t="str">
        <x:v>Núcleo esencial</x:v>
      </x:c>
      <x:c r="J44" s="351" t="n">
        <x:v>1</x:v>
      </x:c>
      <x:c r="K44" s="351" t="n">
        <x:v>36</x:v>
      </x:c>
      <x:c r="L44" s="351" t="n">
        <x:v>42</x:v>
      </x:c>
      <x:c r="M44" s="351" t="n">
        <x:v>22</x:v>
      </x:c>
      <x:c r="N44" s="352" t="n">
        <x:f>SUM(K44:M44)</x:f>
        <x:v>100</x:v>
      </x:c>
      <x:c r="O44" s="353" t="n">
        <x:f>N44/25</x:f>
        <x:v>4</x:v>
      </x:c>
      <x:c r="P44" s="351" t="str">
        <x:v>Informe de laboratorio: Química y ciencia de materiales.</x:v>
      </x:c>
      <x:c r="Q44" s="351" t="str">
        <x:v>S04; S10; S13; S24; S26</x:v>
      </x:c>
      <x:c r="R44" s="351" t="str">
        <x:v>No iniciado</x:v>
      </x:c>
      <x:c r="S44" s="354" t="n">
        <x:v>0</x:v>
      </x:c>
      <x:c r="T44" s="355"/>
      <x:c r="U44" s="355"/>
      <x:c r="V44" s="351" t="str">
        <x:v>Precede a la computación y aporta lógica, prueba, modelado, medición y límites físicos.</x:v>
      </x:c>
      <x:c r="W44" s="351" t="str">
        <x:v>Muy alta: fundamento durable</x:v>
      </x:c>
      <x:c r="X44" s="351" t="str">
        <x:v>Transversal permanente</x:v>
      </x:c>
      <x:c r="Y44" s="351" t="str">
        <x:v>Consolidada</x:v>
      </x:c>
      <x:c r="Z44" s="351" t="str">
        <x:v>24 meses</x:v>
      </x:c>
      <x:c r="AA44" s="351" t="str">
        <x:v>Prueba asistida, matemática formalizada, modelado multiescala y cálculo científico acelerado.</x:v>
      </x:c>
    </x:row>
    <x:row r="45" ht="58" customHeight="1">
      <x:c r="A45" s="366" t="str">
        <x:v>MAT-025</x:v>
      </x:c>
      <x:c r="B45" s="366" t="n">
        <x:v>1</x:v>
      </x:c>
      <x:c r="C45" s="366" t="str">
        <x:v>Fundamentos STEM</x:v>
      </x:c>
      <x:c r="D45" s="366" t="str">
        <x:v>Ciencias e ingeniería</x:v>
      </x:c>
      <x:c r="E45" s="366" t="str">
        <x:v>Matemática y ciencias</x:v>
      </x:c>
      <x:c r="F45" s="366" t="str">
        <x:v>Sistemas y señales</x:v>
      </x:c>
      <x:c r="G45" s="366" t="str">
        <x:v>Sistemas y señales. Experimentos, medición, incertidumbre y relación con hardware, señales y robótica.</x:v>
      </x:c>
      <x:c r="H45" s="366" t="str">
        <x:v>MAT-024</x:v>
      </x:c>
      <x:c r="I45" s="366" t="str">
        <x:v>Núcleo esencial</x:v>
      </x:c>
      <x:c r="J45" s="366" t="n">
        <x:v>1</x:v>
      </x:c>
      <x:c r="K45" s="366" t="n">
        <x:v>36</x:v>
      </x:c>
      <x:c r="L45" s="366" t="n">
        <x:v>42</x:v>
      </x:c>
      <x:c r="M45" s="366" t="n">
        <x:v>22</x:v>
      </x:c>
      <x:c r="N45" s="367" t="n">
        <x:f>SUM(K45:M45)</x:f>
        <x:v>100</x:v>
      </x:c>
      <x:c r="O45" s="368" t="n">
        <x:f>N45/25</x:f>
        <x:v>4</x:v>
      </x:c>
      <x:c r="P45" s="366" t="str">
        <x:v>Informe de laboratorio: Sistemas y señales.</x:v>
      </x:c>
      <x:c r="Q45" s="366" t="str">
        <x:v>S04; S10; S13; S24; S26</x:v>
      </x:c>
      <x:c r="R45" s="366" t="str">
        <x:v>No iniciado</x:v>
      </x:c>
      <x:c r="S45" s="369" t="n">
        <x:v>0</x:v>
      </x:c>
      <x:c r="T45" s="370"/>
      <x:c r="U45" s="370"/>
      <x:c r="V45" s="366" t="str">
        <x:v>Precede a la computación y aporta lógica, prueba, modelado, medición y límites físicos.</x:v>
      </x:c>
      <x:c r="W45" s="366" t="str">
        <x:v>Muy alta: fundamento durable</x:v>
      </x:c>
      <x:c r="X45" s="366" t="str">
        <x:v>Transversal permanente</x:v>
      </x:c>
      <x:c r="Y45" s="366" t="str">
        <x:v>Consolidada</x:v>
      </x:c>
      <x:c r="Z45" s="366" t="str">
        <x:v>24 meses</x:v>
      </x:c>
      <x:c r="AA45" s="366" t="str">
        <x:v>Prueba asistida, matemática formalizada, modelado multiescala y cálculo científico acelerado.</x:v>
      </x:c>
    </x:row>
    <x:row r="46" ht="58" customHeight="1">
      <x:c r="A46" s="351" t="str">
        <x:v>CST-001</x:v>
      </x:c>
      <x:c r="B46" s="351" t="n">
        <x:v>1</x:v>
      </x:c>
      <x:c r="C46" s="351" t="str">
        <x:v>Fundamentos STEM</x:v>
      </x:c>
      <x:c r="D46" s="351" t="str">
        <x:v>Programación</x:v>
      </x:c>
      <x:c r="E46" s="351" t="str">
        <x:v>Programación y teoría CS</x:v>
      </x:c>
      <x:c r="F46" s="351" t="str">
        <x:v>Pensamiento computacional</x:v>
      </x:c>
      <x:c r="G46" s="351" t="str">
        <x:v>Pensamiento computacional. Diseño de algoritmos, depuración, pruebas, estilo, complejidad y pequeños proyectos.</x:v>
      </x:c>
      <x:c r="H46" s="351" t="str">
        <x:v>PRE-002</x:v>
      </x:c>
      <x:c r="I46" s="351" t="str">
        <x:v>Núcleo esencial</x:v>
      </x:c>
      <x:c r="J46" s="351" t="n">
        <x:v>1</x:v>
      </x:c>
      <x:c r="K46" s="351" t="n">
        <x:v>36</x:v>
      </x:c>
      <x:c r="L46" s="351" t="n">
        <x:v>42</x:v>
      </x:c>
      <x:c r="M46" s="351" t="n">
        <x:v>22</x:v>
      </x:c>
      <x:c r="N46" s="352" t="n">
        <x:f>SUM(K46:M46)</x:f>
        <x:v>100</x:v>
      </x:c>
      <x:c r="O46" s="353" t="n">
        <x:f>N46/25</x:f>
        <x:v>4</x:v>
      </x:c>
      <x:c r="P46" s="351" t="str">
        <x:v>Repositorio con pruebas: Pensamiento computacional.</x:v>
      </x:c>
      <x:c r="Q46" s="351" t="str">
        <x:v>S01; S09; S11; S14; S16; S18</x:v>
      </x:c>
      <x:c r="R46" s="351" t="str">
        <x:v>No iniciado</x:v>
      </x:c>
      <x:c r="S46" s="354" t="n">
        <x:v>0</x:v>
      </x:c>
      <x:c r="T46" s="355"/>
      <x:c r="U46" s="355"/>
      <x:c r="V46" s="351" t="str">
        <x:v>Conecta lógica matemática, máquinas computables, lenguajes, algoritmos y abstracción.</x:v>
      </x:c>
      <x:c r="W46" s="351" t="str">
        <x:v>Muy alta: fundamento durable</x:v>
      </x:c>
      <x:c r="X46" s="351" t="str">
        <x:v>Transversal permanente</x:v>
      </x:c>
      <x:c r="Y46" s="351" t="str">
        <x:v>Consolidada</x:v>
      </x:c>
      <x:c r="Z46" s="351" t="str">
        <x:v>24 meses</x:v>
      </x:c>
      <x:c r="AA46" s="351" t="str">
        <x:v>Lenguajes seguros, verificación, WebAssembly, cómputo heterogéneo y nuevas abstracciones para agentes.</x:v>
      </x:c>
    </x:row>
    <x:row r="47" ht="58" customHeight="1">
      <x:c r="A47" s="366" t="str">
        <x:v>CST-002</x:v>
      </x:c>
      <x:c r="B47" s="366" t="n">
        <x:v>1</x:v>
      </x:c>
      <x:c r="C47" s="366" t="str">
        <x:v>Fundamentos STEM</x:v>
      </x:c>
      <x:c r="D47" s="366" t="str">
        <x:v>Programación</x:v>
      </x:c>
      <x:c r="E47" s="366" t="str">
        <x:v>Programación y teoría CS</x:v>
      </x:c>
      <x:c r="F47" s="366" t="str">
        <x:v>Programación I con Python</x:v>
      </x:c>
      <x:c r="G47" s="366" t="str">
        <x:v>Programación I con Python. Diseño de algoritmos, depuración, pruebas, estilo, complejidad y pequeños proyectos.</x:v>
      </x:c>
      <x:c r="H47" s="366" t="str">
        <x:v>CST-001</x:v>
      </x:c>
      <x:c r="I47" s="366" t="str">
        <x:v>Núcleo esencial</x:v>
      </x:c>
      <x:c r="J47" s="366" t="n">
        <x:v>1</x:v>
      </x:c>
      <x:c r="K47" s="366" t="n">
        <x:v>36</x:v>
      </x:c>
      <x:c r="L47" s="366" t="n">
        <x:v>42</x:v>
      </x:c>
      <x:c r="M47" s="366" t="n">
        <x:v>22</x:v>
      </x:c>
      <x:c r="N47" s="367" t="n">
        <x:f>SUM(K47:M47)</x:f>
        <x:v>100</x:v>
      </x:c>
      <x:c r="O47" s="368" t="n">
        <x:f>N47/25</x:f>
        <x:v>4</x:v>
      </x:c>
      <x:c r="P47" s="366" t="str">
        <x:v>Repositorio con pruebas: Programación I con Python.</x:v>
      </x:c>
      <x:c r="Q47" s="366" t="str">
        <x:v>S01; S09; S11; S14; S16; S18</x:v>
      </x:c>
      <x:c r="R47" s="366" t="str">
        <x:v>No iniciado</x:v>
      </x:c>
      <x:c r="S47" s="369" t="n">
        <x:v>0</x:v>
      </x:c>
      <x:c r="T47" s="370"/>
      <x:c r="U47" s="370"/>
      <x:c r="V47" s="366" t="str">
        <x:v>Conecta lógica matemática, máquinas computables, lenguajes, algoritmos y abstracción.</x:v>
      </x:c>
      <x:c r="W47" s="366" t="str">
        <x:v>Muy alta: fundamento durable</x:v>
      </x:c>
      <x:c r="X47" s="366" t="str">
        <x:v>Transversal permanente</x:v>
      </x:c>
      <x:c r="Y47" s="366" t="str">
        <x:v>Consolidada</x:v>
      </x:c>
      <x:c r="Z47" s="366" t="str">
        <x:v>24 meses</x:v>
      </x:c>
      <x:c r="AA47" s="366" t="str">
        <x:v>Lenguajes seguros, verificación, WebAssembly, cómputo heterogéneo y nuevas abstracciones para agentes.</x:v>
      </x:c>
    </x:row>
    <x:row r="48" ht="58" customHeight="1">
      <x:c r="A48" s="351" t="str">
        <x:v>CST-003</x:v>
      </x:c>
      <x:c r="B48" s="351" t="n">
        <x:v>1</x:v>
      </x:c>
      <x:c r="C48" s="351" t="str">
        <x:v>Fundamentos STEM</x:v>
      </x:c>
      <x:c r="D48" s="351" t="str">
        <x:v>Programación</x:v>
      </x:c>
      <x:c r="E48" s="351" t="str">
        <x:v>Programación y teoría CS</x:v>
      </x:c>
      <x:c r="F48" s="351" t="str">
        <x:v>Programación II con C</x:v>
      </x:c>
      <x:c r="G48" s="351" t="str">
        <x:v>Programación II con C. Diseño de algoritmos, depuración, pruebas, estilo, complejidad y pequeños proyectos.</x:v>
      </x:c>
      <x:c r="H48" s="351" t="str">
        <x:v>CST-002</x:v>
      </x:c>
      <x:c r="I48" s="351" t="str">
        <x:v>Núcleo esencial</x:v>
      </x:c>
      <x:c r="J48" s="351" t="n">
        <x:v>1</x:v>
      </x:c>
      <x:c r="K48" s="351" t="n">
        <x:v>36</x:v>
      </x:c>
      <x:c r="L48" s="351" t="n">
        <x:v>42</x:v>
      </x:c>
      <x:c r="M48" s="351" t="n">
        <x:v>22</x:v>
      </x:c>
      <x:c r="N48" s="352" t="n">
        <x:f>SUM(K48:M48)</x:f>
        <x:v>100</x:v>
      </x:c>
      <x:c r="O48" s="353" t="n">
        <x:f>N48/25</x:f>
        <x:v>4</x:v>
      </x:c>
      <x:c r="P48" s="351" t="str">
        <x:v>Repositorio con pruebas: Programación II con C.</x:v>
      </x:c>
      <x:c r="Q48" s="351" t="str">
        <x:v>S01; S09; S11; S14; S16; S18</x:v>
      </x:c>
      <x:c r="R48" s="351" t="str">
        <x:v>No iniciado</x:v>
      </x:c>
      <x:c r="S48" s="354" t="n">
        <x:v>0</x:v>
      </x:c>
      <x:c r="T48" s="355"/>
      <x:c r="U48" s="355"/>
      <x:c r="V48" s="351" t="str">
        <x:v>Conecta lógica matemática, máquinas computables, lenguajes, algoritmos y abstracción.</x:v>
      </x:c>
      <x:c r="W48" s="351" t="str">
        <x:v>Muy alta: fundamento durable</x:v>
      </x:c>
      <x:c r="X48" s="351" t="str">
        <x:v>Transversal permanente</x:v>
      </x:c>
      <x:c r="Y48" s="351" t="str">
        <x:v>Consolidada</x:v>
      </x:c>
      <x:c r="Z48" s="351" t="str">
        <x:v>24 meses</x:v>
      </x:c>
      <x:c r="AA48" s="351" t="str">
        <x:v>Lenguajes seguros, verificación, WebAssembly, cómputo heterogéneo y nuevas abstracciones para agentes.</x:v>
      </x:c>
    </x:row>
    <x:row r="49" ht="58" customHeight="1">
      <x:c r="A49" s="366" t="str">
        <x:v>CST-004</x:v>
      </x:c>
      <x:c r="B49" s="366" t="n">
        <x:v>1</x:v>
      </x:c>
      <x:c r="C49" s="366" t="str">
        <x:v>Fundamentos STEM</x:v>
      </x:c>
      <x:c r="D49" s="366" t="str">
        <x:v>Programación</x:v>
      </x:c>
      <x:c r="E49" s="366" t="str">
        <x:v>Programación y teoría CS</x:v>
      </x:c>
      <x:c r="F49" s="366" t="str">
        <x:v>Programación orientada a objetos</x:v>
      </x:c>
      <x:c r="G49" s="366" t="str">
        <x:v>Programación orientada a objetos. Diseño de algoritmos, depuración, pruebas, estilo, complejidad y pequeños proyectos.</x:v>
      </x:c>
      <x:c r="H49" s="366" t="str">
        <x:v>CST-003</x:v>
      </x:c>
      <x:c r="I49" s="366" t="str">
        <x:v>Núcleo esencial</x:v>
      </x:c>
      <x:c r="J49" s="366" t="n">
        <x:v>1</x:v>
      </x:c>
      <x:c r="K49" s="366" t="n">
        <x:v>36</x:v>
      </x:c>
      <x:c r="L49" s="366" t="n">
        <x:v>42</x:v>
      </x:c>
      <x:c r="M49" s="366" t="n">
        <x:v>22</x:v>
      </x:c>
      <x:c r="N49" s="367" t="n">
        <x:f>SUM(K49:M49)</x:f>
        <x:v>100</x:v>
      </x:c>
      <x:c r="O49" s="368" t="n">
        <x:f>N49/25</x:f>
        <x:v>4</x:v>
      </x:c>
      <x:c r="P49" s="366" t="str">
        <x:v>Repositorio con pruebas: Programación orientada a objetos.</x:v>
      </x:c>
      <x:c r="Q49" s="366" t="str">
        <x:v>S01; S09; S11; S14; S16; S18</x:v>
      </x:c>
      <x:c r="R49" s="366" t="str">
        <x:v>No iniciado</x:v>
      </x:c>
      <x:c r="S49" s="369" t="n">
        <x:v>0</x:v>
      </x:c>
      <x:c r="T49" s="370"/>
      <x:c r="U49" s="370"/>
      <x:c r="V49" s="366" t="str">
        <x:v>Conecta lógica matemática, máquinas computables, lenguajes, algoritmos y abstracción.</x:v>
      </x:c>
      <x:c r="W49" s="366" t="str">
        <x:v>Muy alta: fundamento durable</x:v>
      </x:c>
      <x:c r="X49" s="366" t="str">
        <x:v>Transversal permanente</x:v>
      </x:c>
      <x:c r="Y49" s="366" t="str">
        <x:v>Consolidada</x:v>
      </x:c>
      <x:c r="Z49" s="366" t="str">
        <x:v>24 meses</x:v>
      </x:c>
      <x:c r="AA49" s="366" t="str">
        <x:v>Lenguajes seguros, verificación, WebAssembly, cómputo heterogéneo y nuevas abstracciones para agentes.</x:v>
      </x:c>
    </x:row>
    <x:row r="50" ht="58" customHeight="1">
      <x:c r="A50" s="351" t="str">
        <x:v>CST-005</x:v>
      </x:c>
      <x:c r="B50" s="351" t="n">
        <x:v>1</x:v>
      </x:c>
      <x:c r="C50" s="351" t="str">
        <x:v>Fundamentos STEM</x:v>
      </x:c>
      <x:c r="D50" s="351" t="str">
        <x:v>Programación</x:v>
      </x:c>
      <x:c r="E50" s="351" t="str">
        <x:v>Programación y teoría CS</x:v>
      </x:c>
      <x:c r="F50" s="351" t="str">
        <x:v>Estructuras de datos</x:v>
      </x:c>
      <x:c r="G50" s="351" t="str">
        <x:v>Estructuras de datos. Diseño de algoritmos, depuración, pruebas, estilo, complejidad y pequeños proyectos.</x:v>
      </x:c>
      <x:c r="H50" s="351" t="str">
        <x:v>CST-004</x:v>
      </x:c>
      <x:c r="I50" s="351" t="str">
        <x:v>Núcleo esencial</x:v>
      </x:c>
      <x:c r="J50" s="351" t="n">
        <x:v>1</x:v>
      </x:c>
      <x:c r="K50" s="351" t="n">
        <x:v>36</x:v>
      </x:c>
      <x:c r="L50" s="351" t="n">
        <x:v>42</x:v>
      </x:c>
      <x:c r="M50" s="351" t="n">
        <x:v>22</x:v>
      </x:c>
      <x:c r="N50" s="352" t="n">
        <x:f>SUM(K50:M50)</x:f>
        <x:v>100</x:v>
      </x:c>
      <x:c r="O50" s="353" t="n">
        <x:f>N50/25</x:f>
        <x:v>4</x:v>
      </x:c>
      <x:c r="P50" s="351" t="str">
        <x:v>Repositorio con pruebas: Estructuras de datos.</x:v>
      </x:c>
      <x:c r="Q50" s="351" t="str">
        <x:v>S01; S09; S11; S14; S16; S18</x:v>
      </x:c>
      <x:c r="R50" s="351" t="str">
        <x:v>No iniciado</x:v>
      </x:c>
      <x:c r="S50" s="354" t="n">
        <x:v>0</x:v>
      </x:c>
      <x:c r="T50" s="355"/>
      <x:c r="U50" s="355"/>
      <x:c r="V50" s="351" t="str">
        <x:v>Conecta lógica matemática, máquinas computables, lenguajes, algoritmos y abstracción.</x:v>
      </x:c>
      <x:c r="W50" s="351" t="str">
        <x:v>Muy alta: fundamento durable</x:v>
      </x:c>
      <x:c r="X50" s="351" t="str">
        <x:v>Transversal permanente</x:v>
      </x:c>
      <x:c r="Y50" s="351" t="str">
        <x:v>Consolidada</x:v>
      </x:c>
      <x:c r="Z50" s="351" t="str">
        <x:v>24 meses</x:v>
      </x:c>
      <x:c r="AA50" s="351" t="str">
        <x:v>Lenguajes seguros, verificación, WebAssembly, cómputo heterogéneo y nuevas abstracciones para agentes.</x:v>
      </x:c>
    </x:row>
    <x:row r="51" ht="58" customHeight="1">
      <x:c r="A51" s="366" t="str">
        <x:v>CST-006</x:v>
      </x:c>
      <x:c r="B51" s="366" t="n">
        <x:v>1</x:v>
      </x:c>
      <x:c r="C51" s="366" t="str">
        <x:v>Fundamentos STEM</x:v>
      </x:c>
      <x:c r="D51" s="366" t="str">
        <x:v>Programación</x:v>
      </x:c>
      <x:c r="E51" s="366" t="str">
        <x:v>Programación y teoría CS</x:v>
      </x:c>
      <x:c r="F51" s="366" t="str">
        <x:v>Algoritmos I</x:v>
      </x:c>
      <x:c r="G51" s="366" t="str">
        <x:v>Algoritmos I. Diseño de algoritmos, depuración, pruebas, estilo, complejidad y pequeños proyectos.</x:v>
      </x:c>
      <x:c r="H51" s="366" t="str">
        <x:v>CST-005</x:v>
      </x:c>
      <x:c r="I51" s="366" t="str">
        <x:v>Núcleo esencial</x:v>
      </x:c>
      <x:c r="J51" s="366" t="n">
        <x:v>1</x:v>
      </x:c>
      <x:c r="K51" s="366" t="n">
        <x:v>36</x:v>
      </x:c>
      <x:c r="L51" s="366" t="n">
        <x:v>42</x:v>
      </x:c>
      <x:c r="M51" s="366" t="n">
        <x:v>22</x:v>
      </x:c>
      <x:c r="N51" s="367" t="n">
        <x:f>SUM(K51:M51)</x:f>
        <x:v>100</x:v>
      </x:c>
      <x:c r="O51" s="368" t="n">
        <x:f>N51/25</x:f>
        <x:v>4</x:v>
      </x:c>
      <x:c r="P51" s="366" t="str">
        <x:v>Repositorio con pruebas: Algoritmos I.</x:v>
      </x:c>
      <x:c r="Q51" s="366" t="str">
        <x:v>S01; S09; S11; S14; S16; S18</x:v>
      </x:c>
      <x:c r="R51" s="366" t="str">
        <x:v>No iniciado</x:v>
      </x:c>
      <x:c r="S51" s="369" t="n">
        <x:v>0</x:v>
      </x:c>
      <x:c r="T51" s="370"/>
      <x:c r="U51" s="370"/>
      <x:c r="V51" s="366" t="str">
        <x:v>Conecta lógica matemática, máquinas computables, lenguajes, algoritmos y abstracción.</x:v>
      </x:c>
      <x:c r="W51" s="366" t="str">
        <x:v>Muy alta: fundamento durable</x:v>
      </x:c>
      <x:c r="X51" s="366" t="str">
        <x:v>Transversal permanente</x:v>
      </x:c>
      <x:c r="Y51" s="366" t="str">
        <x:v>Consolidada</x:v>
      </x:c>
      <x:c r="Z51" s="366" t="str">
        <x:v>24 meses</x:v>
      </x:c>
      <x:c r="AA51" s="366" t="str">
        <x:v>Lenguajes seguros, verificación, WebAssembly, cómputo heterogéneo y nuevas abstracciones para agentes.</x:v>
      </x:c>
    </x:row>
    <x:row r="52" ht="58" customHeight="1">
      <x:c r="A52" s="351" t="str">
        <x:v>REP-001</x:v>
      </x:c>
      <x:c r="B52" s="351" t="n">
        <x:v>1</x:v>
      </x:c>
      <x:c r="C52" s="351" t="str">
        <x:v>Fundamentos STEM</x:v>
      </x:c>
      <x:c r="D52" s="351" t="str">
        <x:v>Soporte técnico y reparación</x:v>
      </x:c>
      <x:c r="E52" s="351" t="str">
        <x:v>Soporte y reparación</x:v>
      </x:c>
      <x:c r="F52" s="351" t="str">
        <x:v>Fundamentos de soporte técnico y mesa de ayuda</x:v>
      </x:c>
      <x:c r="G52" s="351" t="str">
        <x:v>Fundamentos de soporte técnico y mesa de ayuda. Diagnóstico sistemático, ESD, herramientas correctas, documentación, datos y seguridad del usuario.</x:v>
      </x:c>
      <x:c r="H52" s="351" t="str">
        <x:v>PRE-007</x:v>
      </x:c>
      <x:c r="I52" s="351" t="str">
        <x:v>Dominio profesional</x:v>
      </x:c>
      <x:c r="J52" s="351" t="n">
        <x:v>2</x:v>
      </x:c>
      <x:c r="K52" s="351" t="n">
        <x:v>20</x:v>
      </x:c>
      <x:c r="L52" s="351" t="n">
        <x:v>52</x:v>
      </x:c>
      <x:c r="M52" s="351" t="n">
        <x:v>20</x:v>
      </x:c>
      <x:c r="N52" s="352" t="n">
        <x:f>SUM(K52:M52)</x:f>
        <x:v>92</x:v>
      </x:c>
      <x:c r="O52" s="353" t="n">
        <x:f>N52/25</x:f>
        <x:v>3.68</x:v>
      </x:c>
      <x:c r="P52" s="351" t="str">
        <x:v>Orden de servicio con pruebas antes/después: Fundamentos de soporte técnico y mesa de ayuda.</x:v>
      </x:c>
      <x:c r="Q52" s="351" t="str">
        <x:v>S03; S47; S48</x:v>
      </x:c>
      <x:c r="R52" s="351" t="str">
        <x:v>No iniciado</x:v>
      </x:c>
      <x:c r="S52" s="354" t="n">
        <x:v>0</x:v>
      </x:c>
      <x:c r="T52" s="355"/>
      <x:c r="U52" s="355"/>
      <x:c r="V52" s="351" t="str">
        <x:v>Nace del mantenimiento electromecánico y electrónico y se adapta a dispositivos integrados y móviles.</x:v>
      </x:c>
      <x:c r="W52" s="351" t="str">
        <x:v>Alta: práctica vigente</x:v>
      </x:c>
      <x:c r="X52" s="351" t="str">
        <x:v>Presente 2026 y corto (2027–2029)</x:v>
      </x:c>
      <x:c r="Y52" s="351" t="str">
        <x:v>Actual</x:v>
      </x:c>
      <x:c r="Z52" s="351" t="str">
        <x:v>12 meses</x:v>
      </x:c>
      <x:c r="AA52" s="351" t="str">
        <x:v>Diagnóstico asistido, modularidad, derecho a reparar, circularidad, baterías y reparación de alta integración.</x:v>
      </x:c>
    </x:row>
    <x:row r="53" ht="58" customHeight="1">
      <x:c r="A53" s="366" t="str">
        <x:v>REP-002</x:v>
      </x:c>
      <x:c r="B53" s="366" t="n">
        <x:v>1</x:v>
      </x:c>
      <x:c r="C53" s="366" t="str">
        <x:v>Fundamentos STEM</x:v>
      </x:c>
      <x:c r="D53" s="366" t="str">
        <x:v>Soporte técnico y reparación</x:v>
      </x:c>
      <x:c r="E53" s="366" t="str">
        <x:v>Soporte y reparación</x:v>
      </x:c>
      <x:c r="F53" s="366" t="str">
        <x:v>Hardware de computadoras y periféricos</x:v>
      </x:c>
      <x:c r="G53" s="366" t="str">
        <x:v>Hardware de computadoras y periféricos. Diagnóstico sistemático, ESD, herramientas correctas, documentación, datos y seguridad del usuario.</x:v>
      </x:c>
      <x:c r="H53" s="366" t="str">
        <x:v>REP-001</x:v>
      </x:c>
      <x:c r="I53" s="366" t="str">
        <x:v>Dominio profesional</x:v>
      </x:c>
      <x:c r="J53" s="366" t="n">
        <x:v>2</x:v>
      </x:c>
      <x:c r="K53" s="366" t="n">
        <x:v>20</x:v>
      </x:c>
      <x:c r="L53" s="366" t="n">
        <x:v>52</x:v>
      </x:c>
      <x:c r="M53" s="366" t="n">
        <x:v>20</x:v>
      </x:c>
      <x:c r="N53" s="367" t="n">
        <x:f>SUM(K53:M53)</x:f>
        <x:v>92</x:v>
      </x:c>
      <x:c r="O53" s="368" t="n">
        <x:f>N53/25</x:f>
        <x:v>3.68</x:v>
      </x:c>
      <x:c r="P53" s="366" t="str">
        <x:v>Orden de servicio con pruebas antes/después: Hardware de computadoras y periféricos.</x:v>
      </x:c>
      <x:c r="Q53" s="366" t="str">
        <x:v>S03; S47; S48</x:v>
      </x:c>
      <x:c r="R53" s="366" t="str">
        <x:v>No iniciado</x:v>
      </x:c>
      <x:c r="S53" s="369" t="n">
        <x:v>0</x:v>
      </x:c>
      <x:c r="T53" s="370"/>
      <x:c r="U53" s="370"/>
      <x:c r="V53" s="366" t="str">
        <x:v>Nace del mantenimiento electromecánico y electrónico y se adapta a dispositivos integrados y móviles.</x:v>
      </x:c>
      <x:c r="W53" s="366" t="str">
        <x:v>Alta: práctica vigente</x:v>
      </x:c>
      <x:c r="X53" s="366" t="str">
        <x:v>Presente 2026 y corto (2027–2029)</x:v>
      </x:c>
      <x:c r="Y53" s="366" t="str">
        <x:v>Actual</x:v>
      </x:c>
      <x:c r="Z53" s="366" t="str">
        <x:v>12 meses</x:v>
      </x:c>
      <x:c r="AA53" s="366" t="str">
        <x:v>Diagnóstico asistido, modularidad, derecho a reparar, circularidad, baterías y reparación de alta integración.</x:v>
      </x:c>
    </x:row>
    <x:row r="54" ht="58" customHeight="1">
      <x:c r="A54" s="351" t="str">
        <x:v>REP-003</x:v>
      </x:c>
      <x:c r="B54" s="351" t="n">
        <x:v>1</x:v>
      </x:c>
      <x:c r="C54" s="351" t="str">
        <x:v>Fundamentos STEM</x:v>
      </x:c>
      <x:c r="D54" s="351" t="str">
        <x:v>Soporte técnico y reparación</x:v>
      </x:c>
      <x:c r="E54" s="351" t="str">
        <x:v>Soporte y reparación</x:v>
      </x:c>
      <x:c r="F54" s="351" t="str">
        <x:v>Ensamblaje y actualización de PC</x:v>
      </x:c>
      <x:c r="G54" s="351" t="str">
        <x:v>Ensamblaje y actualización de PC. Diagnóstico sistemático, ESD, herramientas correctas, documentación, datos y seguridad del usuario.</x:v>
      </x:c>
      <x:c r="H54" s="351" t="str">
        <x:v>REP-002</x:v>
      </x:c>
      <x:c r="I54" s="351" t="str">
        <x:v>Dominio profesional</x:v>
      </x:c>
      <x:c r="J54" s="351" t="n">
        <x:v>2</x:v>
      </x:c>
      <x:c r="K54" s="351" t="n">
        <x:v>20</x:v>
      </x:c>
      <x:c r="L54" s="351" t="n">
        <x:v>52</x:v>
      </x:c>
      <x:c r="M54" s="351" t="n">
        <x:v>20</x:v>
      </x:c>
      <x:c r="N54" s="352" t="n">
        <x:f>SUM(K54:M54)</x:f>
        <x:v>92</x:v>
      </x:c>
      <x:c r="O54" s="353" t="n">
        <x:f>N54/25</x:f>
        <x:v>3.68</x:v>
      </x:c>
      <x:c r="P54" s="351" t="str">
        <x:v>Orden de servicio con pruebas antes/después: Ensamblaje y actualización de PC.</x:v>
      </x:c>
      <x:c r="Q54" s="351" t="str">
        <x:v>S03; S47; S48</x:v>
      </x:c>
      <x:c r="R54" s="351" t="str">
        <x:v>No iniciado</x:v>
      </x:c>
      <x:c r="S54" s="354" t="n">
        <x:v>0</x:v>
      </x:c>
      <x:c r="T54" s="355"/>
      <x:c r="U54" s="355"/>
      <x:c r="V54" s="351" t="str">
        <x:v>Nace del mantenimiento electromecánico y electrónico y se adapta a dispositivos integrados y móviles.</x:v>
      </x:c>
      <x:c r="W54" s="351" t="str">
        <x:v>Alta: práctica vigente</x:v>
      </x:c>
      <x:c r="X54" s="351" t="str">
        <x:v>Presente 2026 y corto (2027–2029)</x:v>
      </x:c>
      <x:c r="Y54" s="351" t="str">
        <x:v>Actual</x:v>
      </x:c>
      <x:c r="Z54" s="351" t="str">
        <x:v>12 meses</x:v>
      </x:c>
      <x:c r="AA54" s="351" t="str">
        <x:v>Diagnóstico asistido, modularidad, derecho a reparar, circularidad, baterías y reparación de alta integración.</x:v>
      </x:c>
    </x:row>
    <x:row r="55" ht="58" customHeight="1">
      <x:c r="A55" s="366" t="str">
        <x:v>REP-004</x:v>
      </x:c>
      <x:c r="B55" s="366" t="n">
        <x:v>1</x:v>
      </x:c>
      <x:c r="C55" s="366" t="str">
        <x:v>Fundamentos STEM</x:v>
      </x:c>
      <x:c r="D55" s="366" t="str">
        <x:v>Soporte técnico y reparación</x:v>
      </x:c>
      <x:c r="E55" s="366" t="str">
        <x:v>Soporte y reparación</x:v>
      </x:c>
      <x:c r="F55" s="366" t="str">
        <x:v>Instalación y recuperación de sistemas operativos</x:v>
      </x:c>
      <x:c r="G55" s="366" t="str">
        <x:v>Instalación y recuperación de sistemas operativos. Diagnóstico sistemático, ESD, herramientas correctas, documentación, datos y seguridad del usuario.</x:v>
      </x:c>
      <x:c r="H55" s="366" t="str">
        <x:v>REP-003</x:v>
      </x:c>
      <x:c r="I55" s="366" t="str">
        <x:v>Dominio profesional</x:v>
      </x:c>
      <x:c r="J55" s="366" t="n">
        <x:v>2</x:v>
      </x:c>
      <x:c r="K55" s="366" t="n">
        <x:v>20</x:v>
      </x:c>
      <x:c r="L55" s="366" t="n">
        <x:v>52</x:v>
      </x:c>
      <x:c r="M55" s="366" t="n">
        <x:v>20</x:v>
      </x:c>
      <x:c r="N55" s="367" t="n">
        <x:f>SUM(K55:M55)</x:f>
        <x:v>92</x:v>
      </x:c>
      <x:c r="O55" s="368" t="n">
        <x:f>N55/25</x:f>
        <x:v>3.68</x:v>
      </x:c>
      <x:c r="P55" s="366" t="str">
        <x:v>Orden de servicio con pruebas antes/después: Instalación y recuperación de sistemas operativos.</x:v>
      </x:c>
      <x:c r="Q55" s="366" t="str">
        <x:v>S03; S47; S48</x:v>
      </x:c>
      <x:c r="R55" s="366" t="str">
        <x:v>No iniciado</x:v>
      </x:c>
      <x:c r="S55" s="369" t="n">
        <x:v>0</x:v>
      </x:c>
      <x:c r="T55" s="370"/>
      <x:c r="U55" s="370"/>
      <x:c r="V55" s="366" t="str">
        <x:v>Nace del mantenimiento electromecánico y electrónico y se adapta a dispositivos integrados y móviles.</x:v>
      </x:c>
      <x:c r="W55" s="366" t="str">
        <x:v>Alta: práctica vigente</x:v>
      </x:c>
      <x:c r="X55" s="366" t="str">
        <x:v>Presente 2026 y corto (2027–2029)</x:v>
      </x:c>
      <x:c r="Y55" s="366" t="str">
        <x:v>Actual</x:v>
      </x:c>
      <x:c r="Z55" s="366" t="str">
        <x:v>12 meses</x:v>
      </x:c>
      <x:c r="AA55" s="366" t="str">
        <x:v>Diagnóstico asistido, modularidad, derecho a reparar, circularidad, baterías y reparación de alta integración.</x:v>
      </x:c>
    </x:row>
    <x:row r="56" ht="58" customHeight="1">
      <x:c r="A56" s="351" t="str">
        <x:v>REP-005</x:v>
      </x:c>
      <x:c r="B56" s="351" t="n">
        <x:v>1</x:v>
      </x:c>
      <x:c r="C56" s="351" t="str">
        <x:v>Fundamentos STEM</x:v>
      </x:c>
      <x:c r="D56" s="351" t="str">
        <x:v>Soporte técnico y reparación</x:v>
      </x:c>
      <x:c r="E56" s="351" t="str">
        <x:v>Soporte y reparación</x:v>
      </x:c>
      <x:c r="F56" s="351" t="str">
        <x:v>Diagnóstico de software y rendimiento</x:v>
      </x:c>
      <x:c r="G56" s="351" t="str">
        <x:v>Diagnóstico de software y rendimiento. Diagnóstico sistemático, ESD, herramientas correctas, documentación, datos y seguridad del usuario.</x:v>
      </x:c>
      <x:c r="H56" s="351" t="str">
        <x:v>REP-004</x:v>
      </x:c>
      <x:c r="I56" s="351" t="str">
        <x:v>Dominio profesional</x:v>
      </x:c>
      <x:c r="J56" s="351" t="n">
        <x:v>2</x:v>
      </x:c>
      <x:c r="K56" s="351" t="n">
        <x:v>20</x:v>
      </x:c>
      <x:c r="L56" s="351" t="n">
        <x:v>52</x:v>
      </x:c>
      <x:c r="M56" s="351" t="n">
        <x:v>20</x:v>
      </x:c>
      <x:c r="N56" s="352" t="n">
        <x:f>SUM(K56:M56)</x:f>
        <x:v>92</x:v>
      </x:c>
      <x:c r="O56" s="353" t="n">
        <x:f>N56/25</x:f>
        <x:v>3.68</x:v>
      </x:c>
      <x:c r="P56" s="351" t="str">
        <x:v>Orden de servicio con pruebas antes/después: Diagnóstico de software y rendimiento.</x:v>
      </x:c>
      <x:c r="Q56" s="351" t="str">
        <x:v>S03; S47; S48</x:v>
      </x:c>
      <x:c r="R56" s="351" t="str">
        <x:v>No iniciado</x:v>
      </x:c>
      <x:c r="S56" s="354" t="n">
        <x:v>0</x:v>
      </x:c>
      <x:c r="T56" s="355"/>
      <x:c r="U56" s="355"/>
      <x:c r="V56" s="351" t="str">
        <x:v>Nace del mantenimiento electromecánico y electrónico y se adapta a dispositivos integrados y móviles.</x:v>
      </x:c>
      <x:c r="W56" s="351" t="str">
        <x:v>Alta: práctica vigente</x:v>
      </x:c>
      <x:c r="X56" s="351" t="str">
        <x:v>Presente 2026 y corto (2027–2029)</x:v>
      </x:c>
      <x:c r="Y56" s="351" t="str">
        <x:v>Actual</x:v>
      </x:c>
      <x:c r="Z56" s="351" t="str">
        <x:v>12 meses</x:v>
      </x:c>
      <x:c r="AA56" s="351" t="str">
        <x:v>Diagnóstico asistido, modularidad, derecho a reparar, circularidad, baterías y reparación de alta integración.</x:v>
      </x:c>
    </x:row>
    <x:row r="57" ht="58" customHeight="1">
      <x:c r="A57" s="366" t="str">
        <x:v>REP-006</x:v>
      </x:c>
      <x:c r="B57" s="366" t="n">
        <x:v>1</x:v>
      </x:c>
      <x:c r="C57" s="366" t="str">
        <x:v>Fundamentos STEM</x:v>
      </x:c>
      <x:c r="D57" s="366" t="str">
        <x:v>Soporte técnico y reparación</x:v>
      </x:c>
      <x:c r="E57" s="366" t="str">
        <x:v>Soporte y reparación</x:v>
      </x:c>
      <x:c r="F57" s="366" t="str">
        <x:v>Diagnóstico eléctrico y uso de multímetro</x:v>
      </x:c>
      <x:c r="G57" s="366" t="str">
        <x:v>Diagnóstico eléctrico y uso de multímetro. Diagnóstico sistemático, ESD, herramientas correctas, documentación, datos y seguridad del usuario.</x:v>
      </x:c>
      <x:c r="H57" s="366" t="str">
        <x:v>REP-005</x:v>
      </x:c>
      <x:c r="I57" s="366" t="str">
        <x:v>Dominio profesional</x:v>
      </x:c>
      <x:c r="J57" s="366" t="n">
        <x:v>2</x:v>
      </x:c>
      <x:c r="K57" s="366" t="n">
        <x:v>20</x:v>
      </x:c>
      <x:c r="L57" s="366" t="n">
        <x:v>52</x:v>
      </x:c>
      <x:c r="M57" s="366" t="n">
        <x:v>20</x:v>
      </x:c>
      <x:c r="N57" s="367" t="n">
        <x:f>SUM(K57:M57)</x:f>
        <x:v>92</x:v>
      </x:c>
      <x:c r="O57" s="368" t="n">
        <x:f>N57/25</x:f>
        <x:v>3.68</x:v>
      </x:c>
      <x:c r="P57" s="366" t="str">
        <x:v>Orden de servicio con pruebas antes/después: Diagnóstico eléctrico y uso de multímetro.</x:v>
      </x:c>
      <x:c r="Q57" s="366" t="str">
        <x:v>S03; S47; S48</x:v>
      </x:c>
      <x:c r="R57" s="366" t="str">
        <x:v>No iniciado</x:v>
      </x:c>
      <x:c r="S57" s="369" t="n">
        <x:v>0</x:v>
      </x:c>
      <x:c r="T57" s="370"/>
      <x:c r="U57" s="370"/>
      <x:c r="V57" s="366" t="str">
        <x:v>Nace del mantenimiento electromecánico y electrónico y se adapta a dispositivos integrados y móviles.</x:v>
      </x:c>
      <x:c r="W57" s="366" t="str">
        <x:v>Alta: práctica vigente</x:v>
      </x:c>
      <x:c r="X57" s="366" t="str">
        <x:v>Presente 2026 y corto (2027–2029)</x:v>
      </x:c>
      <x:c r="Y57" s="366" t="str">
        <x:v>Actual</x:v>
      </x:c>
      <x:c r="Z57" s="366" t="str">
        <x:v>12 meses</x:v>
      </x:c>
      <x:c r="AA57" s="366" t="str">
        <x:v>Diagnóstico asistido, modularidad, derecho a reparar, circularidad, baterías y reparación de alta integración.</x:v>
      </x:c>
    </x:row>
    <x:row r="58" ht="58" customHeight="1">
      <x:c r="A58" s="351" t="str">
        <x:v>REP-007</x:v>
      </x:c>
      <x:c r="B58" s="351" t="n">
        <x:v>1</x:v>
      </x:c>
      <x:c r="C58" s="351" t="str">
        <x:v>Fundamentos STEM</x:v>
      </x:c>
      <x:c r="D58" s="351" t="str">
        <x:v>Soporte técnico y reparación</x:v>
      </x:c>
      <x:c r="E58" s="351" t="str">
        <x:v>Soporte y reparación</x:v>
      </x:c>
      <x:c r="F58" s="351" t="str">
        <x:v>Mantenimiento preventivo</x:v>
      </x:c>
      <x:c r="G58" s="351" t="str">
        <x:v>Mantenimiento preventivo. Diagnóstico sistemático, ESD, herramientas correctas, documentación, datos y seguridad del usuario.</x:v>
      </x:c>
      <x:c r="H58" s="351" t="str">
        <x:v>REP-006</x:v>
      </x:c>
      <x:c r="I58" s="351" t="str">
        <x:v>Dominio profesional</x:v>
      </x:c>
      <x:c r="J58" s="351" t="n">
        <x:v>2</x:v>
      </x:c>
      <x:c r="K58" s="351" t="n">
        <x:v>20</x:v>
      </x:c>
      <x:c r="L58" s="351" t="n">
        <x:v>52</x:v>
      </x:c>
      <x:c r="M58" s="351" t="n">
        <x:v>20</x:v>
      </x:c>
      <x:c r="N58" s="352" t="n">
        <x:f>SUM(K58:M58)</x:f>
        <x:v>92</x:v>
      </x:c>
      <x:c r="O58" s="353" t="n">
        <x:f>N58/25</x:f>
        <x:v>3.68</x:v>
      </x:c>
      <x:c r="P58" s="351" t="str">
        <x:v>Orden de servicio con pruebas antes/después: Mantenimiento preventivo.</x:v>
      </x:c>
      <x:c r="Q58" s="351" t="str">
        <x:v>S03; S47; S48</x:v>
      </x:c>
      <x:c r="R58" s="351" t="str">
        <x:v>No iniciado</x:v>
      </x:c>
      <x:c r="S58" s="354" t="n">
        <x:v>0</x:v>
      </x:c>
      <x:c r="T58" s="355"/>
      <x:c r="U58" s="355"/>
      <x:c r="V58" s="351" t="str">
        <x:v>Nace del mantenimiento electromecánico y electrónico y se adapta a dispositivos integrados y móviles.</x:v>
      </x:c>
      <x:c r="W58" s="351" t="str">
        <x:v>Alta: práctica vigente</x:v>
      </x:c>
      <x:c r="X58" s="351" t="str">
        <x:v>Presente 2026 y corto (2027–2029)</x:v>
      </x:c>
      <x:c r="Y58" s="351" t="str">
        <x:v>Actual</x:v>
      </x:c>
      <x:c r="Z58" s="351" t="str">
        <x:v>12 meses</x:v>
      </x:c>
      <x:c r="AA58" s="351" t="str">
        <x:v>Diagnóstico asistido, modularidad, derecho a reparar, circularidad, baterías y reparación de alta integración.</x:v>
      </x:c>
    </x:row>
    <x:row r="59" ht="58" customHeight="1">
      <x:c r="A59" s="366" t="str">
        <x:v>DAI-001</x:v>
      </x:c>
      <x:c r="B59" s="366" t="n">
        <x:v>2</x:v>
      </x:c>
      <x:c r="C59" s="366" t="str">
        <x:v>Núcleo computacional</x:v>
      </x:c>
      <x:c r="D59" s="366" t="str">
        <x:v>Datos y bases de datos</x:v>
      </x:c>
      <x:c r="E59" s="366" t="str">
        <x:v>Datos, BI e IA</x:v>
      </x:c>
      <x:c r="F59" s="366" t="str">
        <x:v>Fundamentos de datos y SQL</x:v>
      </x:c>
      <x:c r="G59" s="366" t="str">
        <x:v>Fundamentos de datos y SQL. Modelado, consulta, calidad, gobierno, rendimiento y pipelines reproducibles.</x:v>
      </x:c>
      <x:c r="H59" s="366" t="str">
        <x:v>CST-002</x:v>
      </x:c>
      <x:c r="I59" s="366" t="str">
        <x:v>Núcleo esencial</x:v>
      </x:c>
      <x:c r="J59" s="366" t="n">
        <x:v>1</x:v>
      </x:c>
      <x:c r="K59" s="366" t="n">
        <x:v>36</x:v>
      </x:c>
      <x:c r="L59" s="366" t="n">
        <x:v>42</x:v>
      </x:c>
      <x:c r="M59" s="366" t="n">
        <x:v>22</x:v>
      </x:c>
      <x:c r="N59" s="367" t="n">
        <x:f>SUM(K59:M59)</x:f>
        <x:v>100</x:v>
      </x:c>
      <x:c r="O59" s="368" t="n">
        <x:f>N59/25</x:f>
        <x:v>4</x:v>
      </x:c>
      <x:c r="P59" s="366" t="str">
        <x:v>Sistema de datos: Fundamentos de datos y SQL.</x:v>
      </x:c>
      <x:c r="Q59" s="366" t="str">
        <x:v>S01; S07; S17; S18; S20; S37; S38</x:v>
      </x:c>
      <x:c r="R59" s="366" t="str">
        <x:v>No iniciado</x:v>
      </x:c>
      <x:c r="S59" s="369" t="n">
        <x:v>0</x:v>
      </x:c>
      <x:c r="T59" s="370"/>
      <x:c r="U59" s="370"/>
      <x:c r="V59" s="366" t="str">
        <x:v>Une estadística, bases de datos, investigación operativa, aprendizaje automático e IA generativa.</x:v>
      </x:c>
      <x:c r="W59" s="366" t="str">
        <x:v>Muy alta: fundamento durable</x:v>
      </x:c>
      <x:c r="X59" s="366" t="str">
        <x:v>Transversal permanente</x:v>
      </x:c>
      <x:c r="Y59" s="366" t="str">
        <x:v>Consolidada</x:v>
      </x:c>
      <x:c r="Z59" s="366" t="str">
        <x:v>24 meses</x:v>
      </x:c>
      <x:c r="AA59" s="366" t="str">
        <x:v>Modelos multimodales, IA agente, causalidad, privacidad, aprendizaje federado, evaluación y gobernanza.</x:v>
      </x:c>
    </x:row>
    <x:row r="60" ht="58" customHeight="1">
      <x:c r="A60" s="351" t="str">
        <x:v>DAI-002</x:v>
      </x:c>
      <x:c r="B60" s="351" t="n">
        <x:v>2</x:v>
      </x:c>
      <x:c r="C60" s="351" t="str">
        <x:v>Núcleo computacional</x:v>
      </x:c>
      <x:c r="D60" s="351" t="str">
        <x:v>Datos y bases de datos</x:v>
      </x:c>
      <x:c r="E60" s="351" t="str">
        <x:v>Datos, BI e IA</x:v>
      </x:c>
      <x:c r="F60" s="351" t="str">
        <x:v>Diseño de bases de datos relacionales</x:v>
      </x:c>
      <x:c r="G60" s="351" t="str">
        <x:v>Diseño de bases de datos relacionales. Modelado, consulta, calidad, gobierno, rendimiento y pipelines reproducibles.</x:v>
      </x:c>
      <x:c r="H60" s="351" t="str">
        <x:v>DAI-001</x:v>
      </x:c>
      <x:c r="I60" s="351" t="str">
        <x:v>Núcleo esencial</x:v>
      </x:c>
      <x:c r="J60" s="351" t="n">
        <x:v>1</x:v>
      </x:c>
      <x:c r="K60" s="351" t="n">
        <x:v>36</x:v>
      </x:c>
      <x:c r="L60" s="351" t="n">
        <x:v>42</x:v>
      </x:c>
      <x:c r="M60" s="351" t="n">
        <x:v>22</x:v>
      </x:c>
      <x:c r="N60" s="352" t="n">
        <x:f>SUM(K60:M60)</x:f>
        <x:v>100</x:v>
      </x:c>
      <x:c r="O60" s="353" t="n">
        <x:f>N60/25</x:f>
        <x:v>4</x:v>
      </x:c>
      <x:c r="P60" s="351" t="str">
        <x:v>Sistema de datos: Diseño de bases de datos relacionales.</x:v>
      </x:c>
      <x:c r="Q60" s="351" t="str">
        <x:v>S01; S07; S17; S18; S20; S37; S38</x:v>
      </x:c>
      <x:c r="R60" s="351" t="str">
        <x:v>No iniciado</x:v>
      </x:c>
      <x:c r="S60" s="354" t="n">
        <x:v>0</x:v>
      </x:c>
      <x:c r="T60" s="355"/>
      <x:c r="U60" s="355"/>
      <x:c r="V60" s="351" t="str">
        <x:v>Une estadística, bases de datos, investigación operativa, aprendizaje automático e IA generativa.</x:v>
      </x:c>
      <x:c r="W60" s="351" t="str">
        <x:v>Muy alta: fundamento durable</x:v>
      </x:c>
      <x:c r="X60" s="351" t="str">
        <x:v>Transversal permanente</x:v>
      </x:c>
      <x:c r="Y60" s="351" t="str">
        <x:v>Consolidada</x:v>
      </x:c>
      <x:c r="Z60" s="351" t="str">
        <x:v>24 meses</x:v>
      </x:c>
      <x:c r="AA60" s="351" t="str">
        <x:v>Modelos multimodales, IA agente, causalidad, privacidad, aprendizaje federado, evaluación y gobernanza.</x:v>
      </x:c>
    </x:row>
    <x:row r="61" ht="58" customHeight="1">
      <x:c r="A61" s="366" t="str">
        <x:v>DAI-003</x:v>
      </x:c>
      <x:c r="B61" s="366" t="n">
        <x:v>2</x:v>
      </x:c>
      <x:c r="C61" s="366" t="str">
        <x:v>Núcleo computacional</x:v>
      </x:c>
      <x:c r="D61" s="366" t="str">
        <x:v>Datos y bases de datos</x:v>
      </x:c>
      <x:c r="E61" s="366" t="str">
        <x:v>Datos, BI e IA</x:v>
      </x:c>
      <x:c r="F61" s="366" t="str">
        <x:v>SQL avanzado y optimización de consultas</x:v>
      </x:c>
      <x:c r="G61" s="366" t="str">
        <x:v>SQL avanzado y optimización de consultas. Modelado, consulta, calidad, gobierno, rendimiento y pipelines reproducibles.</x:v>
      </x:c>
      <x:c r="H61" s="366" t="str">
        <x:v>DAI-002</x:v>
      </x:c>
      <x:c r="I61" s="366" t="str">
        <x:v>Núcleo esencial</x:v>
      </x:c>
      <x:c r="J61" s="366" t="n">
        <x:v>1</x:v>
      </x:c>
      <x:c r="K61" s="366" t="n">
        <x:v>36</x:v>
      </x:c>
      <x:c r="L61" s="366" t="n">
        <x:v>42</x:v>
      </x:c>
      <x:c r="M61" s="366" t="n">
        <x:v>22</x:v>
      </x:c>
      <x:c r="N61" s="367" t="n">
        <x:f>SUM(K61:M61)</x:f>
        <x:v>100</x:v>
      </x:c>
      <x:c r="O61" s="368" t="n">
        <x:f>N61/25</x:f>
        <x:v>4</x:v>
      </x:c>
      <x:c r="P61" s="366" t="str">
        <x:v>Sistema de datos: SQL avanzado y optimización de consultas.</x:v>
      </x:c>
      <x:c r="Q61" s="366" t="str">
        <x:v>S01; S07; S17; S18; S20; S37; S38</x:v>
      </x:c>
      <x:c r="R61" s="366" t="str">
        <x:v>No iniciado</x:v>
      </x:c>
      <x:c r="S61" s="369" t="n">
        <x:v>0</x:v>
      </x:c>
      <x:c r="T61" s="370"/>
      <x:c r="U61" s="370"/>
      <x:c r="V61" s="366" t="str">
        <x:v>Une estadística, bases de datos, investigación operativa, aprendizaje automático e IA generativa.</x:v>
      </x:c>
      <x:c r="W61" s="366" t="str">
        <x:v>Muy alta: fundamento durable</x:v>
      </x:c>
      <x:c r="X61" s="366" t="str">
        <x:v>Transversal permanente</x:v>
      </x:c>
      <x:c r="Y61" s="366" t="str">
        <x:v>Consolidada</x:v>
      </x:c>
      <x:c r="Z61" s="366" t="str">
        <x:v>24 meses</x:v>
      </x:c>
      <x:c r="AA61" s="366" t="str">
        <x:v>Modelos multimodales, IA agente, causalidad, privacidad, aprendizaje federado, evaluación y gobernanza.</x:v>
      </x:c>
    </x:row>
    <x:row r="62" ht="58" customHeight="1">
      <x:c r="A62" s="351" t="str">
        <x:v>DAI-004</x:v>
      </x:c>
      <x:c r="B62" s="351" t="n">
        <x:v>2</x:v>
      </x:c>
      <x:c r="C62" s="351" t="str">
        <x:v>Núcleo computacional</x:v>
      </x:c>
      <x:c r="D62" s="351" t="str">
        <x:v>Datos y bases de datos</x:v>
      </x:c>
      <x:c r="E62" s="351" t="str">
        <x:v>Datos, BI e IA</x:v>
      </x:c>
      <x:c r="F62" s="351" t="str">
        <x:v>Administración de bases de datos</x:v>
      </x:c>
      <x:c r="G62" s="351" t="str">
        <x:v>Administración de bases de datos. Modelado, consulta, calidad, gobierno, rendimiento y pipelines reproducibles.</x:v>
      </x:c>
      <x:c r="H62" s="351" t="str">
        <x:v>DAI-003</x:v>
      </x:c>
      <x:c r="I62" s="351" t="str">
        <x:v>Núcleo esencial</x:v>
      </x:c>
      <x:c r="J62" s="351" t="n">
        <x:v>1</x:v>
      </x:c>
      <x:c r="K62" s="351" t="n">
        <x:v>36</x:v>
      </x:c>
      <x:c r="L62" s="351" t="n">
        <x:v>42</x:v>
      </x:c>
      <x:c r="M62" s="351" t="n">
        <x:v>22</x:v>
      </x:c>
      <x:c r="N62" s="352" t="n">
        <x:f>SUM(K62:M62)</x:f>
        <x:v>100</x:v>
      </x:c>
      <x:c r="O62" s="353" t="n">
        <x:f>N62/25</x:f>
        <x:v>4</x:v>
      </x:c>
      <x:c r="P62" s="351" t="str">
        <x:v>Sistema de datos: Administración de bases de datos.</x:v>
      </x:c>
      <x:c r="Q62" s="351" t="str">
        <x:v>S01; S07; S17; S18; S20; S37; S38</x:v>
      </x:c>
      <x:c r="R62" s="351" t="str">
        <x:v>No iniciado</x:v>
      </x:c>
      <x:c r="S62" s="354" t="n">
        <x:v>0</x:v>
      </x:c>
      <x:c r="T62" s="355"/>
      <x:c r="U62" s="355"/>
      <x:c r="V62" s="351" t="str">
        <x:v>Une estadística, bases de datos, investigación operativa, aprendizaje automático e IA generativa.</x:v>
      </x:c>
      <x:c r="W62" s="351" t="str">
        <x:v>Muy alta: fundamento durable</x:v>
      </x:c>
      <x:c r="X62" s="351" t="str">
        <x:v>Transversal permanente</x:v>
      </x:c>
      <x:c r="Y62" s="351" t="str">
        <x:v>Consolidada</x:v>
      </x:c>
      <x:c r="Z62" s="351" t="str">
        <x:v>24 meses</x:v>
      </x:c>
      <x:c r="AA62" s="351" t="str">
        <x:v>Modelos multimodales, IA agente, causalidad, privacidad, aprendizaje federado, evaluación y gobernanza.</x:v>
      </x:c>
    </x:row>
    <x:row r="63" ht="58" customHeight="1">
      <x:c r="A63" s="366" t="str">
        <x:v>DAI-005</x:v>
      </x:c>
      <x:c r="B63" s="366" t="n">
        <x:v>2</x:v>
      </x:c>
      <x:c r="C63" s="366" t="str">
        <x:v>Núcleo computacional</x:v>
      </x:c>
      <x:c r="D63" s="366" t="str">
        <x:v>Datos y bases de datos</x:v>
      </x:c>
      <x:c r="E63" s="366" t="str">
        <x:v>Datos, BI e IA</x:v>
      </x:c>
      <x:c r="F63" s="366" t="str">
        <x:v>Bases de datos NoSQL</x:v>
      </x:c>
      <x:c r="G63" s="366" t="str">
        <x:v>Bases de datos NoSQL. Modelado, consulta, calidad, gobierno, rendimiento y pipelines reproducibles.</x:v>
      </x:c>
      <x:c r="H63" s="366" t="str">
        <x:v>DAI-004</x:v>
      </x:c>
      <x:c r="I63" s="366" t="str">
        <x:v>Núcleo esencial</x:v>
      </x:c>
      <x:c r="J63" s="366" t="n">
        <x:v>1</x:v>
      </x:c>
      <x:c r="K63" s="366" t="n">
        <x:v>36</x:v>
      </x:c>
      <x:c r="L63" s="366" t="n">
        <x:v>42</x:v>
      </x:c>
      <x:c r="M63" s="366" t="n">
        <x:v>22</x:v>
      </x:c>
      <x:c r="N63" s="367" t="n">
        <x:f>SUM(K63:M63)</x:f>
        <x:v>100</x:v>
      </x:c>
      <x:c r="O63" s="368" t="n">
        <x:f>N63/25</x:f>
        <x:v>4</x:v>
      </x:c>
      <x:c r="P63" s="366" t="str">
        <x:v>Sistema de datos: Bases de datos NoSQL.</x:v>
      </x:c>
      <x:c r="Q63" s="366" t="str">
        <x:v>S01; S07; S17; S18; S20; S37; S38</x:v>
      </x:c>
      <x:c r="R63" s="366" t="str">
        <x:v>No iniciado</x:v>
      </x:c>
      <x:c r="S63" s="369" t="n">
        <x:v>0</x:v>
      </x:c>
      <x:c r="T63" s="370"/>
      <x:c r="U63" s="370"/>
      <x:c r="V63" s="366" t="str">
        <x:v>Une estadística, bases de datos, investigación operativa, aprendizaje automático e IA generativa.</x:v>
      </x:c>
      <x:c r="W63" s="366" t="str">
        <x:v>Muy alta: fundamento durable</x:v>
      </x:c>
      <x:c r="X63" s="366" t="str">
        <x:v>Transversal permanente</x:v>
      </x:c>
      <x:c r="Y63" s="366" t="str">
        <x:v>Consolidada</x:v>
      </x:c>
      <x:c r="Z63" s="366" t="str">
        <x:v>24 meses</x:v>
      </x:c>
      <x:c r="AA63" s="366" t="str">
        <x:v>Modelos multimodales, IA agente, causalidad, privacidad, aprendizaje federado, evaluación y gobernanza.</x:v>
      </x:c>
    </x:row>
    <x:row r="64" ht="58" customHeight="1">
      <x:c r="A64" s="351" t="str">
        <x:v>DAI-006</x:v>
      </x:c>
      <x:c r="B64" s="351" t="n">
        <x:v>2</x:v>
      </x:c>
      <x:c r="C64" s="351" t="str">
        <x:v>Núcleo computacional</x:v>
      </x:c>
      <x:c r="D64" s="351" t="str">
        <x:v>Datos y bases de datos</x:v>
      </x:c>
      <x:c r="E64" s="351" t="str">
        <x:v>Datos, BI e IA</x:v>
      </x:c>
      <x:c r="F64" s="351" t="str">
        <x:v>Bases de datos distribuidas</x:v>
      </x:c>
      <x:c r="G64" s="351" t="str">
        <x:v>Bases de datos distribuidas. Modelado, consulta, calidad, gobierno, rendimiento y pipelines reproducibles.</x:v>
      </x:c>
      <x:c r="H64" s="351" t="str">
        <x:v>DAI-005</x:v>
      </x:c>
      <x:c r="I64" s="351" t="str">
        <x:v>Núcleo esencial</x:v>
      </x:c>
      <x:c r="J64" s="351" t="n">
        <x:v>1</x:v>
      </x:c>
      <x:c r="K64" s="351" t="n">
        <x:v>36</x:v>
      </x:c>
      <x:c r="L64" s="351" t="n">
        <x:v>42</x:v>
      </x:c>
      <x:c r="M64" s="351" t="n">
        <x:v>22</x:v>
      </x:c>
      <x:c r="N64" s="352" t="n">
        <x:f>SUM(K64:M64)</x:f>
        <x:v>100</x:v>
      </x:c>
      <x:c r="O64" s="353" t="n">
        <x:f>N64/25</x:f>
        <x:v>4</x:v>
      </x:c>
      <x:c r="P64" s="351" t="str">
        <x:v>Sistema de datos: Bases de datos distribuidas.</x:v>
      </x:c>
      <x:c r="Q64" s="351" t="str">
        <x:v>S01; S07; S17; S18; S20; S37; S38</x:v>
      </x:c>
      <x:c r="R64" s="351" t="str">
        <x:v>No iniciado</x:v>
      </x:c>
      <x:c r="S64" s="354" t="n">
        <x:v>0</x:v>
      </x:c>
      <x:c r="T64" s="355"/>
      <x:c r="U64" s="355"/>
      <x:c r="V64" s="351" t="str">
        <x:v>Une estadística, bases de datos, investigación operativa, aprendizaje automático e IA generativa.</x:v>
      </x:c>
      <x:c r="W64" s="351" t="str">
        <x:v>Muy alta: fundamento durable</x:v>
      </x:c>
      <x:c r="X64" s="351" t="str">
        <x:v>Transversal permanente</x:v>
      </x:c>
      <x:c r="Y64" s="351" t="str">
        <x:v>Consolidada</x:v>
      </x:c>
      <x:c r="Z64" s="351" t="str">
        <x:v>24 meses</x:v>
      </x:c>
      <x:c r="AA64" s="351" t="str">
        <x:v>Modelos multimodales, IA agente, causalidad, privacidad, aprendizaje federado, evaluación y gobernanza.</x:v>
      </x:c>
    </x:row>
    <x:row r="65" ht="58" customHeight="1">
      <x:c r="A65" s="366" t="str">
        <x:v>MED-007</x:v>
      </x:c>
      <x:c r="B65" s="366" t="n">
        <x:v>2</x:v>
      </x:c>
      <x:c r="C65" s="366" t="str">
        <x:v>Núcleo computacional</x:v>
      </x:c>
      <x:c r="D65" s="366" t="str">
        <x:v>Diseño gráfico y comunicación visual</x:v>
      </x:c>
      <x:c r="E65" s="366" t="str">
        <x:v>Diseño, foto, cine y multimedia</x:v>
      </x:c>
      <x:c r="F65" s="366" t="str">
        <x:v>Diseño de identidad y branding</x:v>
      </x:c>
      <x:c r="G65" s="366" t="str">
        <x:v>Diseño de identidad y branding. Concepto, forma, técnica, crítica, accesibilidad y producción para medios impresos y digitales.</x:v>
      </x:c>
      <x:c r="H65" s="366" t="str">
        <x:v>MED-006</x:v>
      </x:c>
      <x:c r="I65" s="366" t="str">
        <x:v>Frontera/adyacente</x:v>
      </x:c>
      <x:c r="J65" s="366" t="n">
        <x:v>3</x:v>
      </x:c>
      <x:c r="K65" s="366" t="n">
        <x:v>18</x:v>
      </x:c>
      <x:c r="L65" s="366" t="n">
        <x:v>52</x:v>
      </x:c>
      <x:c r="M65" s="366" t="n">
        <x:v>26</x:v>
      </x:c>
      <x:c r="N65" s="367" t="n">
        <x:f>SUM(K65:M65)</x:f>
        <x:v>96</x:v>
      </x:c>
      <x:c r="O65" s="368" t="n">
        <x:f>N65/25</x:f>
        <x:v>3.84</x:v>
      </x:c>
      <x:c r="P65" s="366" t="str">
        <x:v>Pieza de portafolio: Diseño de identidad y branding.</x:v>
      </x:c>
      <x:c r="Q65" s="366" t="str">
        <x:v>S43; S46</x:v>
      </x:c>
      <x:c r="R65" s="366" t="str">
        <x:v>No iniciado</x:v>
      </x:c>
      <x:c r="S65" s="369" t="n">
        <x:v>0</x:v>
      </x:c>
      <x:c r="T65" s="370"/>
      <x:c r="U65" s="370"/>
      <x:c r="V65" s="366" t="str">
        <x:v>Integra artes visuales y narrativas con reproducción, captura, edición y distribución digital.</x:v>
      </x:c>
      <x:c r="W65" s="366" t="str">
        <x:v>Alta: práctica vigente</x:v>
      </x:c>
      <x:c r="X65" s="366" t="str">
        <x:v>Presente 2026 y corto (2027–2029)</x:v>
      </x:c>
      <x:c r="Y65" s="366" t="str">
        <x:v>Actual</x:v>
      </x:c>
      <x:c r="Z65" s="366" t="str">
        <x:v>12 meses</x:v>
      </x:c>
      <x:c r="AA65" s="366" t="str">
        <x:v>Medios generativos con procedencia, producción virtual, síntesis multimodal y autenticidad verificable.</x:v>
      </x:c>
    </x:row>
    <x:row r="66" ht="58" customHeight="1">
      <x:c r="A66" s="351" t="str">
        <x:v>MED-008</x:v>
      </x:c>
      <x:c r="B66" s="351" t="n">
        <x:v>2</x:v>
      </x:c>
      <x:c r="C66" s="351" t="str">
        <x:v>Núcleo computacional</x:v>
      </x:c>
      <x:c r="D66" s="351" t="str">
        <x:v>Diseño gráfico y comunicación visual</x:v>
      </x:c>
      <x:c r="E66" s="351" t="str">
        <x:v>Diseño, foto, cine y multimedia</x:v>
      </x:c>
      <x:c r="F66" s="351" t="str">
        <x:v>Diseño editorial</x:v>
      </x:c>
      <x:c r="G66" s="351" t="str">
        <x:v>Diseño editorial. Concepto, forma, técnica, crítica, accesibilidad y producción para medios impresos y digitales.</x:v>
      </x:c>
      <x:c r="H66" s="351" t="str">
        <x:v>MED-007</x:v>
      </x:c>
      <x:c r="I66" s="351" t="str">
        <x:v>Frontera/adyacente</x:v>
      </x:c>
      <x:c r="J66" s="351" t="n">
        <x:v>3</x:v>
      </x:c>
      <x:c r="K66" s="351" t="n">
        <x:v>18</x:v>
      </x:c>
      <x:c r="L66" s="351" t="n">
        <x:v>52</x:v>
      </x:c>
      <x:c r="M66" s="351" t="n">
        <x:v>26</x:v>
      </x:c>
      <x:c r="N66" s="352" t="n">
        <x:f>SUM(K66:M66)</x:f>
        <x:v>96</x:v>
      </x:c>
      <x:c r="O66" s="353" t="n">
        <x:f>N66/25</x:f>
        <x:v>3.84</x:v>
      </x:c>
      <x:c r="P66" s="351" t="str">
        <x:v>Pieza de portafolio: Diseño editorial.</x:v>
      </x:c>
      <x:c r="Q66" s="351" t="str">
        <x:v>S43; S46</x:v>
      </x:c>
      <x:c r="R66" s="351" t="str">
        <x:v>No iniciado</x:v>
      </x:c>
      <x:c r="S66" s="354" t="n">
        <x:v>0</x:v>
      </x:c>
      <x:c r="T66" s="355"/>
      <x:c r="U66" s="355"/>
      <x:c r="V66" s="351" t="str">
        <x:v>Integra artes visuales y narrativas con reproducción, captura, edición y distribución digital.</x:v>
      </x:c>
      <x:c r="W66" s="351" t="str">
        <x:v>Alta: práctica vigente</x:v>
      </x:c>
      <x:c r="X66" s="351" t="str">
        <x:v>Presente 2026 y corto (2027–2029)</x:v>
      </x:c>
      <x:c r="Y66" s="351" t="str">
        <x:v>Actual</x:v>
      </x:c>
      <x:c r="Z66" s="351" t="str">
        <x:v>12 meses</x:v>
      </x:c>
      <x:c r="AA66" s="351" t="str">
        <x:v>Medios generativos con procedencia, producción virtual, síntesis multimodal y autenticidad verificable.</x:v>
      </x:c>
    </x:row>
    <x:row r="67" ht="58" customHeight="1">
      <x:c r="A67" s="366" t="str">
        <x:v>MED-009</x:v>
      </x:c>
      <x:c r="B67" s="366" t="n">
        <x:v>2</x:v>
      </x:c>
      <x:c r="C67" s="366" t="str">
        <x:v>Núcleo computacional</x:v>
      </x:c>
      <x:c r="D67" s="366" t="str">
        <x:v>Diseño gráfico y comunicación visual</x:v>
      </x:c>
      <x:c r="E67" s="366" t="str">
        <x:v>Diseño, foto, cine y multimedia</x:v>
      </x:c>
      <x:c r="F67" s="366" t="str">
        <x:v>Diseño de información e infografía</x:v>
      </x:c>
      <x:c r="G67" s="366" t="str">
        <x:v>Diseño de información e infografía. Concepto, forma, técnica, crítica, accesibilidad y producción para medios impresos y digitales.</x:v>
      </x:c>
      <x:c r="H67" s="366" t="str">
        <x:v>MED-008</x:v>
      </x:c>
      <x:c r="I67" s="366" t="str">
        <x:v>Frontera/adyacente</x:v>
      </x:c>
      <x:c r="J67" s="366" t="n">
        <x:v>3</x:v>
      </x:c>
      <x:c r="K67" s="366" t="n">
        <x:v>18</x:v>
      </x:c>
      <x:c r="L67" s="366" t="n">
        <x:v>52</x:v>
      </x:c>
      <x:c r="M67" s="366" t="n">
        <x:v>26</x:v>
      </x:c>
      <x:c r="N67" s="367" t="n">
        <x:f>SUM(K67:M67)</x:f>
        <x:v>96</x:v>
      </x:c>
      <x:c r="O67" s="368" t="n">
        <x:f>N67/25</x:f>
        <x:v>3.84</x:v>
      </x:c>
      <x:c r="P67" s="366" t="str">
        <x:v>Pieza de portafolio: Diseño de información e infografía.</x:v>
      </x:c>
      <x:c r="Q67" s="366" t="str">
        <x:v>S43; S46</x:v>
      </x:c>
      <x:c r="R67" s="366" t="str">
        <x:v>No iniciado</x:v>
      </x:c>
      <x:c r="S67" s="369" t="n">
        <x:v>0</x:v>
      </x:c>
      <x:c r="T67" s="370"/>
      <x:c r="U67" s="370"/>
      <x:c r="V67" s="366" t="str">
        <x:v>Integra artes visuales y narrativas con reproducción, captura, edición y distribución digital.</x:v>
      </x:c>
      <x:c r="W67" s="366" t="str">
        <x:v>Alta: práctica vigente</x:v>
      </x:c>
      <x:c r="X67" s="366" t="str">
        <x:v>Presente 2026 y corto (2027–2029)</x:v>
      </x:c>
      <x:c r="Y67" s="366" t="str">
        <x:v>Actual</x:v>
      </x:c>
      <x:c r="Z67" s="366" t="str">
        <x:v>12 meses</x:v>
      </x:c>
      <x:c r="AA67" s="366" t="str">
        <x:v>Medios generativos con procedencia, producción virtual, síntesis multimodal y autenticidad verificable.</x:v>
      </x:c>
    </x:row>
    <x:row r="68" ht="58" customHeight="1">
      <x:c r="A68" s="351" t="str">
        <x:v>MED-010</x:v>
      </x:c>
      <x:c r="B68" s="351" t="n">
        <x:v>2</x:v>
      </x:c>
      <x:c r="C68" s="351" t="str">
        <x:v>Núcleo computacional</x:v>
      </x:c>
      <x:c r="D68" s="351" t="str">
        <x:v>Diseño gráfico y comunicación visual</x:v>
      </x:c>
      <x:c r="E68" s="351" t="str">
        <x:v>Diseño, foto, cine y multimedia</x:v>
      </x:c>
      <x:c r="F68" s="351" t="str">
        <x:v>Diseño publicitario</x:v>
      </x:c>
      <x:c r="G68" s="351" t="str">
        <x:v>Diseño publicitario. Concepto, forma, técnica, crítica, accesibilidad y producción para medios impresos y digitales.</x:v>
      </x:c>
      <x:c r="H68" s="351" t="str">
        <x:v>MED-009</x:v>
      </x:c>
      <x:c r="I68" s="351" t="str">
        <x:v>Frontera/adyacente</x:v>
      </x:c>
      <x:c r="J68" s="351" t="n">
        <x:v>3</x:v>
      </x:c>
      <x:c r="K68" s="351" t="n">
        <x:v>18</x:v>
      </x:c>
      <x:c r="L68" s="351" t="n">
        <x:v>52</x:v>
      </x:c>
      <x:c r="M68" s="351" t="n">
        <x:v>26</x:v>
      </x:c>
      <x:c r="N68" s="352" t="n">
        <x:f>SUM(K68:M68)</x:f>
        <x:v>96</x:v>
      </x:c>
      <x:c r="O68" s="353" t="n">
        <x:f>N68/25</x:f>
        <x:v>3.84</x:v>
      </x:c>
      <x:c r="P68" s="351" t="str">
        <x:v>Pieza de portafolio: Diseño publicitario.</x:v>
      </x:c>
      <x:c r="Q68" s="351" t="str">
        <x:v>S43; S46</x:v>
      </x:c>
      <x:c r="R68" s="351" t="str">
        <x:v>No iniciado</x:v>
      </x:c>
      <x:c r="S68" s="354" t="n">
        <x:v>0</x:v>
      </x:c>
      <x:c r="T68" s="355"/>
      <x:c r="U68" s="355"/>
      <x:c r="V68" s="351" t="str">
        <x:v>Integra artes visuales y narrativas con reproducción, captura, edición y distribución digital.</x:v>
      </x:c>
      <x:c r="W68" s="351" t="str">
        <x:v>Alta: práctica vigente</x:v>
      </x:c>
      <x:c r="X68" s="351" t="str">
        <x:v>Presente 2026 y corto (2027–2029)</x:v>
      </x:c>
      <x:c r="Y68" s="351" t="str">
        <x:v>Actual</x:v>
      </x:c>
      <x:c r="Z68" s="351" t="str">
        <x:v>12 meses</x:v>
      </x:c>
      <x:c r="AA68" s="351" t="str">
        <x:v>Medios generativos con procedencia, producción virtual, síntesis multimodal y autenticidad verificable.</x:v>
      </x:c>
    </x:row>
    <x:row r="69" ht="58" customHeight="1">
      <x:c r="A69" s="366" t="str">
        <x:v>MED-011</x:v>
      </x:c>
      <x:c r="B69" s="366" t="n">
        <x:v>2</x:v>
      </x:c>
      <x:c r="C69" s="366" t="str">
        <x:v>Núcleo computacional</x:v>
      </x:c>
      <x:c r="D69" s="366" t="str">
        <x:v>Diseño gráfico y comunicación visual</x:v>
      </x:c>
      <x:c r="E69" s="366" t="str">
        <x:v>Diseño, foto, cine y multimedia</x:v>
      </x:c>
      <x:c r="F69" s="366" t="str">
        <x:v>Diseño UI</x:v>
      </x:c>
      <x:c r="G69" s="366" t="str">
        <x:v>Diseño UI. Concepto, forma, técnica, crítica, accesibilidad y producción para medios impresos y digitales.</x:v>
      </x:c>
      <x:c r="H69" s="366" t="str">
        <x:v>MED-010</x:v>
      </x:c>
      <x:c r="I69" s="366" t="str">
        <x:v>Frontera/adyacente</x:v>
      </x:c>
      <x:c r="J69" s="366" t="n">
        <x:v>3</x:v>
      </x:c>
      <x:c r="K69" s="366" t="n">
        <x:v>18</x:v>
      </x:c>
      <x:c r="L69" s="366" t="n">
        <x:v>52</x:v>
      </x:c>
      <x:c r="M69" s="366" t="n">
        <x:v>26</x:v>
      </x:c>
      <x:c r="N69" s="367" t="n">
        <x:f>SUM(K69:M69)</x:f>
        <x:v>96</x:v>
      </x:c>
      <x:c r="O69" s="368" t="n">
        <x:f>N69/25</x:f>
        <x:v>3.84</x:v>
      </x:c>
      <x:c r="P69" s="366" t="str">
        <x:v>Pieza de portafolio: Diseño UI.</x:v>
      </x:c>
      <x:c r="Q69" s="366" t="str">
        <x:v>S43; S46</x:v>
      </x:c>
      <x:c r="R69" s="366" t="str">
        <x:v>No iniciado</x:v>
      </x:c>
      <x:c r="S69" s="369" t="n">
        <x:v>0</x:v>
      </x:c>
      <x:c r="T69" s="370"/>
      <x:c r="U69" s="370"/>
      <x:c r="V69" s="366" t="str">
        <x:v>Integra artes visuales y narrativas con reproducción, captura, edición y distribución digital.</x:v>
      </x:c>
      <x:c r="W69" s="366" t="str">
        <x:v>Alta: práctica vigente</x:v>
      </x:c>
      <x:c r="X69" s="366" t="str">
        <x:v>Presente 2026 y corto (2027–2029)</x:v>
      </x:c>
      <x:c r="Y69" s="366" t="str">
        <x:v>Actual</x:v>
      </x:c>
      <x:c r="Z69" s="366" t="str">
        <x:v>12 meses</x:v>
      </x:c>
      <x:c r="AA69" s="366" t="str">
        <x:v>Medios generativos con procedencia, producción virtual, síntesis multimodal y autenticidad verificable.</x:v>
      </x:c>
    </x:row>
    <x:row r="70" ht="58" customHeight="1">
      <x:c r="A70" s="351" t="str">
        <x:v>MED-012</x:v>
      </x:c>
      <x:c r="B70" s="351" t="n">
        <x:v>2</x:v>
      </x:c>
      <x:c r="C70" s="351" t="str">
        <x:v>Núcleo computacional</x:v>
      </x:c>
      <x:c r="D70" s="351" t="str">
        <x:v>Diseño gráfico y comunicación visual</x:v>
      </x:c>
      <x:c r="E70" s="351" t="str">
        <x:v>Diseño, foto, cine y multimedia</x:v>
      </x:c>
      <x:c r="F70" s="351" t="str">
        <x:v>Sistemas de diseño</x:v>
      </x:c>
      <x:c r="G70" s="351" t="str">
        <x:v>Sistemas de diseño. Concepto, forma, técnica, crítica, accesibilidad y producción para medios impresos y digitales.</x:v>
      </x:c>
      <x:c r="H70" s="351" t="str">
        <x:v>MED-011</x:v>
      </x:c>
      <x:c r="I70" s="351" t="str">
        <x:v>Frontera/adyacente</x:v>
      </x:c>
      <x:c r="J70" s="351" t="n">
        <x:v>3</x:v>
      </x:c>
      <x:c r="K70" s="351" t="n">
        <x:v>18</x:v>
      </x:c>
      <x:c r="L70" s="351" t="n">
        <x:v>52</x:v>
      </x:c>
      <x:c r="M70" s="351" t="n">
        <x:v>26</x:v>
      </x:c>
      <x:c r="N70" s="352" t="n">
        <x:f>SUM(K70:M70)</x:f>
        <x:v>96</x:v>
      </x:c>
      <x:c r="O70" s="353" t="n">
        <x:f>N70/25</x:f>
        <x:v>3.84</x:v>
      </x:c>
      <x:c r="P70" s="351" t="str">
        <x:v>Pieza de portafolio: Sistemas de diseño.</x:v>
      </x:c>
      <x:c r="Q70" s="351" t="str">
        <x:v>S43; S46</x:v>
      </x:c>
      <x:c r="R70" s="351" t="str">
        <x:v>No iniciado</x:v>
      </x:c>
      <x:c r="S70" s="354" t="n">
        <x:v>0</x:v>
      </x:c>
      <x:c r="T70" s="355"/>
      <x:c r="U70" s="355"/>
      <x:c r="V70" s="351" t="str">
        <x:v>Integra artes visuales y narrativas con reproducción, captura, edición y distribución digital.</x:v>
      </x:c>
      <x:c r="W70" s="351" t="str">
        <x:v>Alta: práctica vigente</x:v>
      </x:c>
      <x:c r="X70" s="351" t="str">
        <x:v>Presente 2026 y corto (2027–2029)</x:v>
      </x:c>
      <x:c r="Y70" s="351" t="str">
        <x:v>Actual</x:v>
      </x:c>
      <x:c r="Z70" s="351" t="str">
        <x:v>12 meses</x:v>
      </x:c>
      <x:c r="AA70" s="351" t="str">
        <x:v>Medios generativos con procedencia, producción virtual, síntesis multimodal y autenticidad verificable.</x:v>
      </x:c>
    </x:row>
    <x:row r="71" ht="58" customHeight="1">
      <x:c r="A71" s="366" t="str">
        <x:v>MED-019</x:v>
      </x:c>
      <x:c r="B71" s="366" t="n">
        <x:v>2</x:v>
      </x:c>
      <x:c r="C71" s="366" t="str">
        <x:v>Núcleo computacional</x:v>
      </x:c>
      <x:c r="D71" s="366" t="str">
        <x:v>Fotografía, cine, audio y posproducción</x:v>
      </x:c>
      <x:c r="E71" s="366" t="str">
        <x:v>Diseño, foto, cine y multimedia</x:v>
      </x:c>
      <x:c r="F71" s="366" t="str">
        <x:v>Fotografía I: exposición y composición</x:v>
      </x:c>
      <x:c r="G71" s="366" t="str">
        <x:v>Fotografía I: exposición y composición. Lenguaje, técnica, flujo de producción, narrativa, ética y publicación multiformato.</x:v>
      </x:c>
      <x:c r="H71" s="366" t="str">
        <x:v>MED-001</x:v>
      </x:c>
      <x:c r="I71" s="366" t="str">
        <x:v>Frontera/adyacente</x:v>
      </x:c>
      <x:c r="J71" s="366" t="n">
        <x:v>3</x:v>
      </x:c>
      <x:c r="K71" s="366" t="n">
        <x:v>18</x:v>
      </x:c>
      <x:c r="L71" s="366" t="n">
        <x:v>52</x:v>
      </x:c>
      <x:c r="M71" s="366" t="n">
        <x:v>26</x:v>
      </x:c>
      <x:c r="N71" s="367" t="n">
        <x:f>SUM(K71:M71)</x:f>
        <x:v>96</x:v>
      </x:c>
      <x:c r="O71" s="368" t="n">
        <x:f>N71/25</x:f>
        <x:v>3.84</x:v>
      </x:c>
      <x:c r="P71" s="366" t="str">
        <x:v>Producción audiovisual: Fotografía I: exposición y composición.</x:v>
      </x:c>
      <x:c r="Q71" s="366" t="str">
        <x:v>S44; S45</x:v>
      </x:c>
      <x:c r="R71" s="366" t="str">
        <x:v>No iniciado</x:v>
      </x:c>
      <x:c r="S71" s="369" t="n">
        <x:v>0</x:v>
      </x:c>
      <x:c r="T71" s="370"/>
      <x:c r="U71" s="370"/>
      <x:c r="V71" s="366" t="str">
        <x:v>Integra artes visuales y narrativas con reproducción, captura, edición y distribución digital.</x:v>
      </x:c>
      <x:c r="W71" s="366" t="str">
        <x:v>Alta: práctica vigente</x:v>
      </x:c>
      <x:c r="X71" s="366" t="str">
        <x:v>Presente 2026 y corto (2027–2029)</x:v>
      </x:c>
      <x:c r="Y71" s="366" t="str">
        <x:v>Actual</x:v>
      </x:c>
      <x:c r="Z71" s="366" t="str">
        <x:v>12 meses</x:v>
      </x:c>
      <x:c r="AA71" s="366" t="str">
        <x:v>Medios generativos con procedencia, producción virtual, síntesis multimodal y autenticidad verificable.</x:v>
      </x:c>
    </x:row>
    <x:row r="72" ht="58" customHeight="1">
      <x:c r="A72" s="351" t="str">
        <x:v>MED-020</x:v>
      </x:c>
      <x:c r="B72" s="351" t="n">
        <x:v>2</x:v>
      </x:c>
      <x:c r="C72" s="351" t="str">
        <x:v>Núcleo computacional</x:v>
      </x:c>
      <x:c r="D72" s="351" t="str">
        <x:v>Fotografía, cine, audio y posproducción</x:v>
      </x:c>
      <x:c r="E72" s="351" t="str">
        <x:v>Diseño, foto, cine y multimedia</x:v>
      </x:c>
      <x:c r="F72" s="351" t="str">
        <x:v>Fotografía II: iluminación y dirección</x:v>
      </x:c>
      <x:c r="G72" s="351" t="str">
        <x:v>Fotografía II: iluminación y dirección. Lenguaje, técnica, flujo de producción, narrativa, ética y publicación multiformato.</x:v>
      </x:c>
      <x:c r="H72" s="351" t="str">
        <x:v>MED-019</x:v>
      </x:c>
      <x:c r="I72" s="351" t="str">
        <x:v>Frontera/adyacente</x:v>
      </x:c>
      <x:c r="J72" s="351" t="n">
        <x:v>3</x:v>
      </x:c>
      <x:c r="K72" s="351" t="n">
        <x:v>18</x:v>
      </x:c>
      <x:c r="L72" s="351" t="n">
        <x:v>52</x:v>
      </x:c>
      <x:c r="M72" s="351" t="n">
        <x:v>26</x:v>
      </x:c>
      <x:c r="N72" s="352" t="n">
        <x:f>SUM(K72:M72)</x:f>
        <x:v>96</x:v>
      </x:c>
      <x:c r="O72" s="353" t="n">
        <x:f>N72/25</x:f>
        <x:v>3.84</x:v>
      </x:c>
      <x:c r="P72" s="351" t="str">
        <x:v>Producción audiovisual: Fotografía II: iluminación y dirección.</x:v>
      </x:c>
      <x:c r="Q72" s="351" t="str">
        <x:v>S44; S45</x:v>
      </x:c>
      <x:c r="R72" s="351" t="str">
        <x:v>No iniciado</x:v>
      </x:c>
      <x:c r="S72" s="354" t="n">
        <x:v>0</x:v>
      </x:c>
      <x:c r="T72" s="355"/>
      <x:c r="U72" s="355"/>
      <x:c r="V72" s="351" t="str">
        <x:v>Integra artes visuales y narrativas con reproducción, captura, edición y distribución digital.</x:v>
      </x:c>
      <x:c r="W72" s="351" t="str">
        <x:v>Alta: práctica vigente</x:v>
      </x:c>
      <x:c r="X72" s="351" t="str">
        <x:v>Presente 2026 y corto (2027–2029)</x:v>
      </x:c>
      <x:c r="Y72" s="351" t="str">
        <x:v>Actual</x:v>
      </x:c>
      <x:c r="Z72" s="351" t="str">
        <x:v>12 meses</x:v>
      </x:c>
      <x:c r="AA72" s="351" t="str">
        <x:v>Medios generativos con procedencia, producción virtual, síntesis multimodal y autenticidad verificable.</x:v>
      </x:c>
    </x:row>
    <x:row r="73" ht="58" customHeight="1">
      <x:c r="A73" s="366" t="str">
        <x:v>MED-021</x:v>
      </x:c>
      <x:c r="B73" s="366" t="n">
        <x:v>2</x:v>
      </x:c>
      <x:c r="C73" s="366" t="str">
        <x:v>Núcleo computacional</x:v>
      </x:c>
      <x:c r="D73" s="366" t="str">
        <x:v>Fotografía, cine, audio y posproducción</x:v>
      </x:c>
      <x:c r="E73" s="366" t="str">
        <x:v>Diseño, foto, cine y multimedia</x:v>
      </x:c>
      <x:c r="F73" s="366" t="str">
        <x:v>Fotografía documental y periodística</x:v>
      </x:c>
      <x:c r="G73" s="366" t="str">
        <x:v>Fotografía documental y periodística. Lenguaje, técnica, flujo de producción, narrativa, ética y publicación multiformato.</x:v>
      </x:c>
      <x:c r="H73" s="366" t="str">
        <x:v>MED-020</x:v>
      </x:c>
      <x:c r="I73" s="366" t="str">
        <x:v>Frontera/adyacente</x:v>
      </x:c>
      <x:c r="J73" s="366" t="n">
        <x:v>3</x:v>
      </x:c>
      <x:c r="K73" s="366" t="n">
        <x:v>18</x:v>
      </x:c>
      <x:c r="L73" s="366" t="n">
        <x:v>52</x:v>
      </x:c>
      <x:c r="M73" s="366" t="n">
        <x:v>26</x:v>
      </x:c>
      <x:c r="N73" s="367" t="n">
        <x:f>SUM(K73:M73)</x:f>
        <x:v>96</x:v>
      </x:c>
      <x:c r="O73" s="368" t="n">
        <x:f>N73/25</x:f>
        <x:v>3.84</x:v>
      </x:c>
      <x:c r="P73" s="366" t="str">
        <x:v>Producción audiovisual: Fotografía documental y periodística.</x:v>
      </x:c>
      <x:c r="Q73" s="366" t="str">
        <x:v>S44; S45</x:v>
      </x:c>
      <x:c r="R73" s="366" t="str">
        <x:v>No iniciado</x:v>
      </x:c>
      <x:c r="S73" s="369" t="n">
        <x:v>0</x:v>
      </x:c>
      <x:c r="T73" s="370"/>
      <x:c r="U73" s="370"/>
      <x:c r="V73" s="366" t="str">
        <x:v>Integra artes visuales y narrativas con reproducción, captura, edición y distribución digital.</x:v>
      </x:c>
      <x:c r="W73" s="366" t="str">
        <x:v>Alta: práctica vigente</x:v>
      </x:c>
      <x:c r="X73" s="366" t="str">
        <x:v>Presente 2026 y corto (2027–2029)</x:v>
      </x:c>
      <x:c r="Y73" s="366" t="str">
        <x:v>Actual</x:v>
      </x:c>
      <x:c r="Z73" s="366" t="str">
        <x:v>12 meses</x:v>
      </x:c>
      <x:c r="AA73" s="366" t="str">
        <x:v>Medios generativos con procedencia, producción virtual, síntesis multimodal y autenticidad verificable.</x:v>
      </x:c>
    </x:row>
    <x:row r="74" ht="58" customHeight="1">
      <x:c r="A74" s="351" t="str">
        <x:v>MED-022</x:v>
      </x:c>
      <x:c r="B74" s="351" t="n">
        <x:v>2</x:v>
      </x:c>
      <x:c r="C74" s="351" t="str">
        <x:v>Núcleo computacional</x:v>
      </x:c>
      <x:c r="D74" s="351" t="str">
        <x:v>Fotografía, cine, audio y posproducción</x:v>
      </x:c>
      <x:c r="E74" s="351" t="str">
        <x:v>Diseño, foto, cine y multimedia</x:v>
      </x:c>
      <x:c r="F74" s="351" t="str">
        <x:v>Fotografía publicitaria y de producto</x:v>
      </x:c>
      <x:c r="G74" s="351" t="str">
        <x:v>Fotografía publicitaria y de producto. Lenguaje, técnica, flujo de producción, narrativa, ética y publicación multiformato.</x:v>
      </x:c>
      <x:c r="H74" s="351" t="str">
        <x:v>MED-021</x:v>
      </x:c>
      <x:c r="I74" s="351" t="str">
        <x:v>Frontera/adyacente</x:v>
      </x:c>
      <x:c r="J74" s="351" t="n">
        <x:v>3</x:v>
      </x:c>
      <x:c r="K74" s="351" t="n">
        <x:v>18</x:v>
      </x:c>
      <x:c r="L74" s="351" t="n">
        <x:v>52</x:v>
      </x:c>
      <x:c r="M74" s="351" t="n">
        <x:v>26</x:v>
      </x:c>
      <x:c r="N74" s="352" t="n">
        <x:f>SUM(K74:M74)</x:f>
        <x:v>96</x:v>
      </x:c>
      <x:c r="O74" s="353" t="n">
        <x:f>N74/25</x:f>
        <x:v>3.84</x:v>
      </x:c>
      <x:c r="P74" s="351" t="str">
        <x:v>Producción audiovisual: Fotografía publicitaria y de producto.</x:v>
      </x:c>
      <x:c r="Q74" s="351" t="str">
        <x:v>S44; S45</x:v>
      </x:c>
      <x:c r="R74" s="351" t="str">
        <x:v>No iniciado</x:v>
      </x:c>
      <x:c r="S74" s="354" t="n">
        <x:v>0</x:v>
      </x:c>
      <x:c r="T74" s="355"/>
      <x:c r="U74" s="355"/>
      <x:c r="V74" s="351" t="str">
        <x:v>Integra artes visuales y narrativas con reproducción, captura, edición y distribución digital.</x:v>
      </x:c>
      <x:c r="W74" s="351" t="str">
        <x:v>Alta: práctica vigente</x:v>
      </x:c>
      <x:c r="X74" s="351" t="str">
        <x:v>Presente 2026 y corto (2027–2029)</x:v>
      </x:c>
      <x:c r="Y74" s="351" t="str">
        <x:v>Actual</x:v>
      </x:c>
      <x:c r="Z74" s="351" t="str">
        <x:v>12 meses</x:v>
      </x:c>
      <x:c r="AA74" s="351" t="str">
        <x:v>Medios generativos con procedencia, producción virtual, síntesis multimodal y autenticidad verificable.</x:v>
      </x:c>
    </x:row>
    <x:row r="75" ht="58" customHeight="1">
      <x:c r="A75" s="366" t="str">
        <x:v>MED-023</x:v>
      </x:c>
      <x:c r="B75" s="366" t="n">
        <x:v>2</x:v>
      </x:c>
      <x:c r="C75" s="366" t="str">
        <x:v>Núcleo computacional</x:v>
      </x:c>
      <x:c r="D75" s="366" t="str">
        <x:v>Fotografía, cine, audio y posproducción</x:v>
      </x:c>
      <x:c r="E75" s="366" t="str">
        <x:v>Diseño, foto, cine y multimedia</x:v>
      </x:c>
      <x:c r="F75" s="366" t="str">
        <x:v>Revelado digital y gestión de color</x:v>
      </x:c>
      <x:c r="G75" s="366" t="str">
        <x:v>Revelado digital y gestión de color. Lenguaje, técnica, flujo de producción, narrativa, ética y publicación multiformato.</x:v>
      </x:c>
      <x:c r="H75" s="366" t="str">
        <x:v>MED-022</x:v>
      </x:c>
      <x:c r="I75" s="366" t="str">
        <x:v>Frontera/adyacente</x:v>
      </x:c>
      <x:c r="J75" s="366" t="n">
        <x:v>3</x:v>
      </x:c>
      <x:c r="K75" s="366" t="n">
        <x:v>18</x:v>
      </x:c>
      <x:c r="L75" s="366" t="n">
        <x:v>52</x:v>
      </x:c>
      <x:c r="M75" s="366" t="n">
        <x:v>26</x:v>
      </x:c>
      <x:c r="N75" s="367" t="n">
        <x:f>SUM(K75:M75)</x:f>
        <x:v>96</x:v>
      </x:c>
      <x:c r="O75" s="368" t="n">
        <x:f>N75/25</x:f>
        <x:v>3.84</x:v>
      </x:c>
      <x:c r="P75" s="366" t="str">
        <x:v>Producción audiovisual: Revelado digital y gestión de color.</x:v>
      </x:c>
      <x:c r="Q75" s="366" t="str">
        <x:v>S44; S45</x:v>
      </x:c>
      <x:c r="R75" s="366" t="str">
        <x:v>No iniciado</x:v>
      </x:c>
      <x:c r="S75" s="369" t="n">
        <x:v>0</x:v>
      </x:c>
      <x:c r="T75" s="370"/>
      <x:c r="U75" s="370"/>
      <x:c r="V75" s="366" t="str">
        <x:v>Integra artes visuales y narrativas con reproducción, captura, edición y distribución digital.</x:v>
      </x:c>
      <x:c r="W75" s="366" t="str">
        <x:v>Alta: práctica vigente</x:v>
      </x:c>
      <x:c r="X75" s="366" t="str">
        <x:v>Presente 2026 y corto (2027–2029)</x:v>
      </x:c>
      <x:c r="Y75" s="366" t="str">
        <x:v>Actual</x:v>
      </x:c>
      <x:c r="Z75" s="366" t="str">
        <x:v>12 meses</x:v>
      </x:c>
      <x:c r="AA75" s="366" t="str">
        <x:v>Medios generativos con procedencia, producción virtual, síntesis multimodal y autenticidad verificable.</x:v>
      </x:c>
    </x:row>
    <x:row r="76" ht="58" customHeight="1">
      <x:c r="A76" s="351" t="str">
        <x:v>MED-024</x:v>
      </x:c>
      <x:c r="B76" s="351" t="n">
        <x:v>2</x:v>
      </x:c>
      <x:c r="C76" s="351" t="str">
        <x:v>Núcleo computacional</x:v>
      </x:c>
      <x:c r="D76" s="351" t="str">
        <x:v>Fotografía, cine, audio y posproducción</x:v>
      </x:c>
      <x:c r="E76" s="351" t="str">
        <x:v>Diseño, foto, cine y multimedia</x:v>
      </x:c>
      <x:c r="F76" s="351" t="str">
        <x:v>Historia y lenguaje del cine</x:v>
      </x:c>
      <x:c r="G76" s="351" t="str">
        <x:v>Historia y lenguaje del cine. Lenguaje, técnica, flujo de producción, narrativa, ética y publicación multiformato.</x:v>
      </x:c>
      <x:c r="H76" s="351" t="str">
        <x:v>MED-023</x:v>
      </x:c>
      <x:c r="I76" s="351" t="str">
        <x:v>Frontera/adyacente</x:v>
      </x:c>
      <x:c r="J76" s="351" t="n">
        <x:v>3</x:v>
      </x:c>
      <x:c r="K76" s="351" t="n">
        <x:v>18</x:v>
      </x:c>
      <x:c r="L76" s="351" t="n">
        <x:v>52</x:v>
      </x:c>
      <x:c r="M76" s="351" t="n">
        <x:v>26</x:v>
      </x:c>
      <x:c r="N76" s="352" t="n">
        <x:f>SUM(K76:M76)</x:f>
        <x:v>96</x:v>
      </x:c>
      <x:c r="O76" s="353" t="n">
        <x:f>N76/25</x:f>
        <x:v>3.84</x:v>
      </x:c>
      <x:c r="P76" s="351" t="str">
        <x:v>Producción audiovisual: Historia y lenguaje del cine.</x:v>
      </x:c>
      <x:c r="Q76" s="351" t="str">
        <x:v>S44; S45</x:v>
      </x:c>
      <x:c r="R76" s="351" t="str">
        <x:v>No iniciado</x:v>
      </x:c>
      <x:c r="S76" s="354" t="n">
        <x:v>0</x:v>
      </x:c>
      <x:c r="T76" s="355"/>
      <x:c r="U76" s="355"/>
      <x:c r="V76" s="351" t="str">
        <x:v>Integra artes visuales y narrativas con reproducción, captura, edición y distribución digital.</x:v>
      </x:c>
      <x:c r="W76" s="351" t="str">
        <x:v>Alta: práctica vigente</x:v>
      </x:c>
      <x:c r="X76" s="351" t="str">
        <x:v>Presente 2026 y corto (2027–2029)</x:v>
      </x:c>
      <x:c r="Y76" s="351" t="str">
        <x:v>Actual</x:v>
      </x:c>
      <x:c r="Z76" s="351" t="str">
        <x:v>12 meses</x:v>
      </x:c>
      <x:c r="AA76" s="351" t="str">
        <x:v>Medios generativos con procedencia, producción virtual, síntesis multimodal y autenticidad verificable.</x:v>
      </x:c>
    </x:row>
    <x:row r="77" ht="58" customHeight="1">
      <x:c r="A77" s="366" t="str">
        <x:v>MED-025</x:v>
      </x:c>
      <x:c r="B77" s="366" t="n">
        <x:v>2</x:v>
      </x:c>
      <x:c r="C77" s="366" t="str">
        <x:v>Núcleo computacional</x:v>
      </x:c>
      <x:c r="D77" s="366" t="str">
        <x:v>Fotografía, cine, audio y posproducción</x:v>
      </x:c>
      <x:c r="E77" s="366" t="str">
        <x:v>Diseño, foto, cine y multimedia</x:v>
      </x:c>
      <x:c r="F77" s="366" t="str">
        <x:v>Guion y narrativa audiovisual</x:v>
      </x:c>
      <x:c r="G77" s="366" t="str">
        <x:v>Guion y narrativa audiovisual. Lenguaje, técnica, flujo de producción, narrativa, ética y publicación multiformato.</x:v>
      </x:c>
      <x:c r="H77" s="366" t="str">
        <x:v>MED-024</x:v>
      </x:c>
      <x:c r="I77" s="366" t="str">
        <x:v>Frontera/adyacente</x:v>
      </x:c>
      <x:c r="J77" s="366" t="n">
        <x:v>3</x:v>
      </x:c>
      <x:c r="K77" s="366" t="n">
        <x:v>18</x:v>
      </x:c>
      <x:c r="L77" s="366" t="n">
        <x:v>52</x:v>
      </x:c>
      <x:c r="M77" s="366" t="n">
        <x:v>26</x:v>
      </x:c>
      <x:c r="N77" s="367" t="n">
        <x:f>SUM(K77:M77)</x:f>
        <x:v>96</x:v>
      </x:c>
      <x:c r="O77" s="368" t="n">
        <x:f>N77/25</x:f>
        <x:v>3.84</x:v>
      </x:c>
      <x:c r="P77" s="366" t="str">
        <x:v>Producción audiovisual: Guion y narrativa audiovisual.</x:v>
      </x:c>
      <x:c r="Q77" s="366" t="str">
        <x:v>S44; S45</x:v>
      </x:c>
      <x:c r="R77" s="366" t="str">
        <x:v>No iniciado</x:v>
      </x:c>
      <x:c r="S77" s="369" t="n">
        <x:v>0</x:v>
      </x:c>
      <x:c r="T77" s="370"/>
      <x:c r="U77" s="370"/>
      <x:c r="V77" s="366" t="str">
        <x:v>Integra artes visuales y narrativas con reproducción, captura, edición y distribución digital.</x:v>
      </x:c>
      <x:c r="W77" s="366" t="str">
        <x:v>Alta: práctica vigente</x:v>
      </x:c>
      <x:c r="X77" s="366" t="str">
        <x:v>Presente 2026 y corto (2027–2029)</x:v>
      </x:c>
      <x:c r="Y77" s="366" t="str">
        <x:v>Actual</x:v>
      </x:c>
      <x:c r="Z77" s="366" t="str">
        <x:v>12 meses</x:v>
      </x:c>
      <x:c r="AA77" s="366" t="str">
        <x:v>Medios generativos con procedencia, producción virtual, síntesis multimodal y autenticidad verificable.</x:v>
      </x:c>
    </x:row>
    <x:row r="78" ht="58" customHeight="1">
      <x:c r="A78" s="351" t="str">
        <x:v>EIO-001</x:v>
      </x:c>
      <x:c r="B78" s="351" t="n">
        <x:v>2</x:v>
      </x:c>
      <x:c r="C78" s="351" t="str">
        <x:v>Núcleo computacional</x:v>
      </x:c>
      <x:c r="D78" s="351" t="str">
        <x:v>Electrónica y hardware</x:v>
      </x:c>
      <x:c r="E78" s="351" t="str">
        <x:v>Electrónica, embebidos e IoT</x:v>
      </x:c>
      <x:c r="F78" s="351" t="str">
        <x:v>Electricidad y seguridad de laboratorio</x:v>
      </x:c>
      <x:c r="G78" s="351" t="str">
        <x:v>Electricidad y seguridad de laboratorio. Cálculo, simulación, medición con instrumentos, seguridad y montaje en laboratorio.</x:v>
      </x:c>
      <x:c r="H78" s="351" t="str">
        <x:v>MAT-022</x:v>
      </x:c>
      <x:c r="I78" s="351" t="str">
        <x:v>Núcleo esencial</x:v>
      </x:c>
      <x:c r="J78" s="351" t="n">
        <x:v>1</x:v>
      </x:c>
      <x:c r="K78" s="351" t="n">
        <x:v>36</x:v>
      </x:c>
      <x:c r="L78" s="351" t="n">
        <x:v>42</x:v>
      </x:c>
      <x:c r="M78" s="351" t="n">
        <x:v>22</x:v>
      </x:c>
      <x:c r="N78" s="352" t="n">
        <x:f>SUM(K78:M78)</x:f>
        <x:v>100</x:v>
      </x:c>
      <x:c r="O78" s="353" t="n">
        <x:f>N78/25</x:f>
        <x:v>4</x:v>
      </x:c>
      <x:c r="P78" s="351" t="str">
        <x:v>Circuito medido y documentado: Electricidad y seguridad de laboratorio.</x:v>
      </x:c>
      <x:c r="Q78" s="351" t="str">
        <x:v>S04; S10; S13; S21; S26; S48</x:v>
      </x:c>
      <x:c r="R78" s="351" t="str">
        <x:v>No iniciado</x:v>
      </x:c>
      <x:c r="S78" s="354" t="n">
        <x:v>0</x:v>
      </x:c>
      <x:c r="T78" s="355"/>
      <x:c r="U78" s="355"/>
      <x:c r="V78" s="351" t="str">
        <x:v>Desciende de electricidad, radio, semiconductores, microcontroladores y control digital.</x:v>
      </x:c>
      <x:c r="W78" s="351" t="str">
        <x:v>Muy alta: fundamento durable</x:v>
      </x:c>
      <x:c r="X78" s="351" t="str">
        <x:v>Transversal permanente</x:v>
      </x:c>
      <x:c r="Y78" s="351" t="str">
        <x:v>Consolidada</x:v>
      </x:c>
      <x:c r="Z78" s="351" t="str">
        <x:v>24 meses</x:v>
      </x:c>
      <x:c r="AA78" s="351" t="str">
        <x:v>TinyML, gemelos digitales, sensores distribuidos, diseño abierto y electrónica flexible o integrada.</x:v>
      </x:c>
    </x:row>
    <x:row r="79" ht="58" customHeight="1">
      <x:c r="A79" s="366" t="str">
        <x:v>EIO-002</x:v>
      </x:c>
      <x:c r="B79" s="366" t="n">
        <x:v>2</x:v>
      </x:c>
      <x:c r="C79" s="366" t="str">
        <x:v>Núcleo computacional</x:v>
      </x:c>
      <x:c r="D79" s="366" t="str">
        <x:v>Electrónica y hardware</x:v>
      </x:c>
      <x:c r="E79" s="366" t="str">
        <x:v>Electrónica, embebidos e IoT</x:v>
      </x:c>
      <x:c r="F79" s="366" t="str">
        <x:v>Circuitos eléctricos I</x:v>
      </x:c>
      <x:c r="G79" s="366" t="str">
        <x:v>Circuitos eléctricos I. Cálculo, simulación, medición con instrumentos, seguridad y montaje en laboratorio.</x:v>
      </x:c>
      <x:c r="H79" s="366" t="str">
        <x:v>EIO-001</x:v>
      </x:c>
      <x:c r="I79" s="366" t="str">
        <x:v>Núcleo esencial</x:v>
      </x:c>
      <x:c r="J79" s="366" t="n">
        <x:v>1</x:v>
      </x:c>
      <x:c r="K79" s="366" t="n">
        <x:v>36</x:v>
      </x:c>
      <x:c r="L79" s="366" t="n">
        <x:v>42</x:v>
      </x:c>
      <x:c r="M79" s="366" t="n">
        <x:v>22</x:v>
      </x:c>
      <x:c r="N79" s="367" t="n">
        <x:f>SUM(K79:M79)</x:f>
        <x:v>100</x:v>
      </x:c>
      <x:c r="O79" s="368" t="n">
        <x:f>N79/25</x:f>
        <x:v>4</x:v>
      </x:c>
      <x:c r="P79" s="366" t="str">
        <x:v>Circuito medido y documentado: Circuitos eléctricos I.</x:v>
      </x:c>
      <x:c r="Q79" s="366" t="str">
        <x:v>S04; S10; S13; S21; S26; S48</x:v>
      </x:c>
      <x:c r="R79" s="366" t="str">
        <x:v>No iniciado</x:v>
      </x:c>
      <x:c r="S79" s="369" t="n">
        <x:v>0</x:v>
      </x:c>
      <x:c r="T79" s="370"/>
      <x:c r="U79" s="370"/>
      <x:c r="V79" s="366" t="str">
        <x:v>Desciende de electricidad, radio, semiconductores, microcontroladores y control digital.</x:v>
      </x:c>
      <x:c r="W79" s="366" t="str">
        <x:v>Muy alta: fundamento durable</x:v>
      </x:c>
      <x:c r="X79" s="366" t="str">
        <x:v>Transversal permanente</x:v>
      </x:c>
      <x:c r="Y79" s="366" t="str">
        <x:v>Consolidada</x:v>
      </x:c>
      <x:c r="Z79" s="366" t="str">
        <x:v>24 meses</x:v>
      </x:c>
      <x:c r="AA79" s="366" t="str">
        <x:v>TinyML, gemelos digitales, sensores distribuidos, diseño abierto y electrónica flexible o integrada.</x:v>
      </x:c>
    </x:row>
    <x:row r="80" ht="58" customHeight="1">
      <x:c r="A80" s="351" t="str">
        <x:v>EIO-003</x:v>
      </x:c>
      <x:c r="B80" s="351" t="n">
        <x:v>2</x:v>
      </x:c>
      <x:c r="C80" s="351" t="str">
        <x:v>Núcleo computacional</x:v>
      </x:c>
      <x:c r="D80" s="351" t="str">
        <x:v>Electrónica y hardware</x:v>
      </x:c>
      <x:c r="E80" s="351" t="str">
        <x:v>Electrónica, embebidos e IoT</x:v>
      </x:c>
      <x:c r="F80" s="351" t="str">
        <x:v>Circuitos eléctricos II</x:v>
      </x:c>
      <x:c r="G80" s="351" t="str">
        <x:v>Circuitos eléctricos II. Cálculo, simulación, medición con instrumentos, seguridad y montaje en laboratorio.</x:v>
      </x:c>
      <x:c r="H80" s="351" t="str">
        <x:v>EIO-002</x:v>
      </x:c>
      <x:c r="I80" s="351" t="str">
        <x:v>Núcleo esencial</x:v>
      </x:c>
      <x:c r="J80" s="351" t="n">
        <x:v>1</x:v>
      </x:c>
      <x:c r="K80" s="351" t="n">
        <x:v>36</x:v>
      </x:c>
      <x:c r="L80" s="351" t="n">
        <x:v>42</x:v>
      </x:c>
      <x:c r="M80" s="351" t="n">
        <x:v>22</x:v>
      </x:c>
      <x:c r="N80" s="352" t="n">
        <x:f>SUM(K80:M80)</x:f>
        <x:v>100</x:v>
      </x:c>
      <x:c r="O80" s="353" t="n">
        <x:f>N80/25</x:f>
        <x:v>4</x:v>
      </x:c>
      <x:c r="P80" s="351" t="str">
        <x:v>Circuito medido y documentado: Circuitos eléctricos II.</x:v>
      </x:c>
      <x:c r="Q80" s="351" t="str">
        <x:v>S04; S10; S13; S21; S26; S48</x:v>
      </x:c>
      <x:c r="R80" s="351" t="str">
        <x:v>No iniciado</x:v>
      </x:c>
      <x:c r="S80" s="354" t="n">
        <x:v>0</x:v>
      </x:c>
      <x:c r="T80" s="355"/>
      <x:c r="U80" s="355"/>
      <x:c r="V80" s="351" t="str">
        <x:v>Desciende de electricidad, radio, semiconductores, microcontroladores y control digital.</x:v>
      </x:c>
      <x:c r="W80" s="351" t="str">
        <x:v>Muy alta: fundamento durable</x:v>
      </x:c>
      <x:c r="X80" s="351" t="str">
        <x:v>Transversal permanente</x:v>
      </x:c>
      <x:c r="Y80" s="351" t="str">
        <x:v>Consolidada</x:v>
      </x:c>
      <x:c r="Z80" s="351" t="str">
        <x:v>24 meses</x:v>
      </x:c>
      <x:c r="AA80" s="351" t="str">
        <x:v>TinyML, gemelos digitales, sensores distribuidos, diseño abierto y electrónica flexible o integrada.</x:v>
      </x:c>
    </x:row>
    <x:row r="81" ht="58" customHeight="1">
      <x:c r="A81" s="366" t="str">
        <x:v>EIO-004</x:v>
      </x:c>
      <x:c r="B81" s="366" t="n">
        <x:v>2</x:v>
      </x:c>
      <x:c r="C81" s="366" t="str">
        <x:v>Núcleo computacional</x:v>
      </x:c>
      <x:c r="D81" s="366" t="str">
        <x:v>Electrónica y hardware</x:v>
      </x:c>
      <x:c r="E81" s="366" t="str">
        <x:v>Electrónica, embebidos e IoT</x:v>
      </x:c>
      <x:c r="F81" s="366" t="str">
        <x:v>Electrónica analógica I</x:v>
      </x:c>
      <x:c r="G81" s="366" t="str">
        <x:v>Electrónica analógica I. Cálculo, simulación, medición con instrumentos, seguridad y montaje en laboratorio.</x:v>
      </x:c>
      <x:c r="H81" s="366" t="str">
        <x:v>EIO-003</x:v>
      </x:c>
      <x:c r="I81" s="366" t="str">
        <x:v>Núcleo esencial</x:v>
      </x:c>
      <x:c r="J81" s="366" t="n">
        <x:v>1</x:v>
      </x:c>
      <x:c r="K81" s="366" t="n">
        <x:v>36</x:v>
      </x:c>
      <x:c r="L81" s="366" t="n">
        <x:v>42</x:v>
      </x:c>
      <x:c r="M81" s="366" t="n">
        <x:v>22</x:v>
      </x:c>
      <x:c r="N81" s="367" t="n">
        <x:f>SUM(K81:M81)</x:f>
        <x:v>100</x:v>
      </x:c>
      <x:c r="O81" s="368" t="n">
        <x:f>N81/25</x:f>
        <x:v>4</x:v>
      </x:c>
      <x:c r="P81" s="366" t="str">
        <x:v>Circuito medido y documentado: Electrónica analógica I.</x:v>
      </x:c>
      <x:c r="Q81" s="366" t="str">
        <x:v>S04; S10; S13; S21; S26; S48</x:v>
      </x:c>
      <x:c r="R81" s="366" t="str">
        <x:v>No iniciado</x:v>
      </x:c>
      <x:c r="S81" s="369" t="n">
        <x:v>0</x:v>
      </x:c>
      <x:c r="T81" s="370"/>
      <x:c r="U81" s="370"/>
      <x:c r="V81" s="366" t="str">
        <x:v>Desciende de electricidad, radio, semiconductores, microcontroladores y control digital.</x:v>
      </x:c>
      <x:c r="W81" s="366" t="str">
        <x:v>Muy alta: fundamento durable</x:v>
      </x:c>
      <x:c r="X81" s="366" t="str">
        <x:v>Transversal permanente</x:v>
      </x:c>
      <x:c r="Y81" s="366" t="str">
        <x:v>Consolidada</x:v>
      </x:c>
      <x:c r="Z81" s="366" t="str">
        <x:v>24 meses</x:v>
      </x:c>
      <x:c r="AA81" s="366" t="str">
        <x:v>TinyML, gemelos digitales, sensores distribuidos, diseño abierto y electrónica flexible o integrada.</x:v>
      </x:c>
    </x:row>
    <x:row r="82" ht="58" customHeight="1">
      <x:c r="A82" s="351" t="str">
        <x:v>EIO-005</x:v>
      </x:c>
      <x:c r="B82" s="351" t="n">
        <x:v>2</x:v>
      </x:c>
      <x:c r="C82" s="351" t="str">
        <x:v>Núcleo computacional</x:v>
      </x:c>
      <x:c r="D82" s="351" t="str">
        <x:v>Electrónica y hardware</x:v>
      </x:c>
      <x:c r="E82" s="351" t="str">
        <x:v>Electrónica, embebidos e IoT</x:v>
      </x:c>
      <x:c r="F82" s="351" t="str">
        <x:v>Electrónica analógica II</x:v>
      </x:c>
      <x:c r="G82" s="351" t="str">
        <x:v>Electrónica analógica II. Cálculo, simulación, medición con instrumentos, seguridad y montaje en laboratorio.</x:v>
      </x:c>
      <x:c r="H82" s="351" t="str">
        <x:v>EIO-004</x:v>
      </x:c>
      <x:c r="I82" s="351" t="str">
        <x:v>Núcleo esencial</x:v>
      </x:c>
      <x:c r="J82" s="351" t="n">
        <x:v>1</x:v>
      </x:c>
      <x:c r="K82" s="351" t="n">
        <x:v>36</x:v>
      </x:c>
      <x:c r="L82" s="351" t="n">
        <x:v>42</x:v>
      </x:c>
      <x:c r="M82" s="351" t="n">
        <x:v>22</x:v>
      </x:c>
      <x:c r="N82" s="352" t="n">
        <x:f>SUM(K82:M82)</x:f>
        <x:v>100</x:v>
      </x:c>
      <x:c r="O82" s="353" t="n">
        <x:f>N82/25</x:f>
        <x:v>4</x:v>
      </x:c>
      <x:c r="P82" s="351" t="str">
        <x:v>Circuito medido y documentado: Electrónica analógica II.</x:v>
      </x:c>
      <x:c r="Q82" s="351" t="str">
        <x:v>S04; S10; S13; S21; S26; S48</x:v>
      </x:c>
      <x:c r="R82" s="351" t="str">
        <x:v>No iniciado</x:v>
      </x:c>
      <x:c r="S82" s="354" t="n">
        <x:v>0</x:v>
      </x:c>
      <x:c r="T82" s="355"/>
      <x:c r="U82" s="355"/>
      <x:c r="V82" s="351" t="str">
        <x:v>Desciende de electricidad, radio, semiconductores, microcontroladores y control digital.</x:v>
      </x:c>
      <x:c r="W82" s="351" t="str">
        <x:v>Muy alta: fundamento durable</x:v>
      </x:c>
      <x:c r="X82" s="351" t="str">
        <x:v>Transversal permanente</x:v>
      </x:c>
      <x:c r="Y82" s="351" t="str">
        <x:v>Consolidada</x:v>
      </x:c>
      <x:c r="Z82" s="351" t="str">
        <x:v>24 meses</x:v>
      </x:c>
      <x:c r="AA82" s="351" t="str">
        <x:v>TinyML, gemelos digitales, sensores distribuidos, diseño abierto y electrónica flexible o integrada.</x:v>
      </x:c>
    </x:row>
    <x:row r="83" ht="58" customHeight="1">
      <x:c r="A83" s="366" t="str">
        <x:v>EIO-006</x:v>
      </x:c>
      <x:c r="B83" s="366" t="n">
        <x:v>2</x:v>
      </x:c>
      <x:c r="C83" s="366" t="str">
        <x:v>Núcleo computacional</x:v>
      </x:c>
      <x:c r="D83" s="366" t="str">
        <x:v>Electrónica y hardware</x:v>
      </x:c>
      <x:c r="E83" s="366" t="str">
        <x:v>Electrónica, embebidos e IoT</x:v>
      </x:c>
      <x:c r="F83" s="366" t="str">
        <x:v>Electrónica digital</x:v>
      </x:c>
      <x:c r="G83" s="366" t="str">
        <x:v>Electrónica digital. Cálculo, simulación, medición con instrumentos, seguridad y montaje en laboratorio.</x:v>
      </x:c>
      <x:c r="H83" s="366" t="str">
        <x:v>EIO-005</x:v>
      </x:c>
      <x:c r="I83" s="366" t="str">
        <x:v>Núcleo esencial</x:v>
      </x:c>
      <x:c r="J83" s="366" t="n">
        <x:v>1</x:v>
      </x:c>
      <x:c r="K83" s="366" t="n">
        <x:v>36</x:v>
      </x:c>
      <x:c r="L83" s="366" t="n">
        <x:v>42</x:v>
      </x:c>
      <x:c r="M83" s="366" t="n">
        <x:v>22</x:v>
      </x:c>
      <x:c r="N83" s="367" t="n">
        <x:f>SUM(K83:M83)</x:f>
        <x:v>100</x:v>
      </x:c>
      <x:c r="O83" s="368" t="n">
        <x:f>N83/25</x:f>
        <x:v>4</x:v>
      </x:c>
      <x:c r="P83" s="366" t="str">
        <x:v>Circuito medido y documentado: Electrónica digital.</x:v>
      </x:c>
      <x:c r="Q83" s="366" t="str">
        <x:v>S04; S10; S13; S21; S26; S48</x:v>
      </x:c>
      <x:c r="R83" s="366" t="str">
        <x:v>No iniciado</x:v>
      </x:c>
      <x:c r="S83" s="369" t="n">
        <x:v>0</x:v>
      </x:c>
      <x:c r="T83" s="370"/>
      <x:c r="U83" s="370"/>
      <x:c r="V83" s="366" t="str">
        <x:v>Desciende de electricidad, radio, semiconductores, microcontroladores y control digital.</x:v>
      </x:c>
      <x:c r="W83" s="366" t="str">
        <x:v>Muy alta: fundamento durable</x:v>
      </x:c>
      <x:c r="X83" s="366" t="str">
        <x:v>Transversal permanente</x:v>
      </x:c>
      <x:c r="Y83" s="366" t="str">
        <x:v>Consolidada</x:v>
      </x:c>
      <x:c r="Z83" s="366" t="str">
        <x:v>24 meses</x:v>
      </x:c>
      <x:c r="AA83" s="366" t="str">
        <x:v>TinyML, gemelos digitales, sensores distribuidos, diseño abierto y electrónica flexible o integrada.</x:v>
      </x:c>
    </x:row>
    <x:row r="84" ht="58" customHeight="1">
      <x:c r="A84" s="351" t="str">
        <x:v>SWE-001</x:v>
      </x:c>
      <x:c r="B84" s="351" t="n">
        <x:v>2</x:v>
      </x:c>
      <x:c r="C84" s="351" t="str">
        <x:v>Núcleo computacional</x:v>
      </x:c>
      <x:c r="D84" s="351" t="str">
        <x:v>Ingeniería y construcción de software</x:v>
      </x:c>
      <x:c r="E84" s="351" t="str">
        <x:v>Ingeniería de software</x:v>
      </x:c>
      <x:c r="F84" s="351" t="str">
        <x:v>Fundamentos de ingeniería de software</x:v>
      </x:c>
      <x:c r="G84" s="351" t="str">
        <x:v>Fundamentos de ingeniería de software. Proceso completo, calidad, arquitectura, colaboración y entrega de productos mantenibles.</x:v>
      </x:c>
      <x:c r="H84" s="351" t="str">
        <x:v>CST-004</x:v>
      </x:c>
      <x:c r="I84" s="351" t="str">
        <x:v>Núcleo esencial</x:v>
      </x:c>
      <x:c r="J84" s="351" t="n">
        <x:v>1</x:v>
      </x:c>
      <x:c r="K84" s="351" t="n">
        <x:v>36</x:v>
      </x:c>
      <x:c r="L84" s="351" t="n">
        <x:v>42</x:v>
      </x:c>
      <x:c r="M84" s="351" t="n">
        <x:v>22</x:v>
      </x:c>
      <x:c r="N84" s="352" t="n">
        <x:f>SUM(K84:M84)</x:f>
        <x:v>100</x:v>
      </x:c>
      <x:c r="O84" s="353" t="n">
        <x:f>N84/25</x:f>
        <x:v>4</x:v>
      </x:c>
      <x:c r="P84" s="351" t="str">
        <x:v>Producto de software: Fundamentos de ingeniería de software.</x:v>
      </x:c>
      <x:c r="Q84" s="351" t="str">
        <x:v>S02; S03; S05; S11; S18; S22; S23</x:v>
      </x:c>
      <x:c r="R84" s="351" t="str">
        <x:v>No iniciado</x:v>
      </x:c>
      <x:c r="S84" s="354" t="n">
        <x:v>0</x:v>
      </x:c>
      <x:c r="T84" s="355"/>
      <x:c r="U84" s="355"/>
      <x:c r="V84" s="351" t="str">
        <x:v>Surge al escalar la programación desde programas individuales hacia productos complejos y mantenibles.</x:v>
      </x:c>
      <x:c r="W84" s="351" t="str">
        <x:v>Muy alta: fundamento durable</x:v>
      </x:c>
      <x:c r="X84" s="351" t="str">
        <x:v>Transversal permanente</x:v>
      </x:c>
      <x:c r="Y84" s="351" t="str">
        <x:v>Consolidada</x:v>
      </x:c>
      <x:c r="Z84" s="351" t="str">
        <x:v>24 meses</x:v>
      </x:c>
      <x:c r="AA84" s="351" t="str">
        <x:v>Ingeniería asistida por IA, agentes de desarrollo, plataformas internas, evidencia de calidad y cadena de suministro.</x:v>
      </x:c>
    </x:row>
    <x:row r="85" ht="58" customHeight="1">
      <x:c r="A85" s="366" t="str">
        <x:v>SWE-002</x:v>
      </x:c>
      <x:c r="B85" s="366" t="n">
        <x:v>2</x:v>
      </x:c>
      <x:c r="C85" s="366" t="str">
        <x:v>Núcleo computacional</x:v>
      </x:c>
      <x:c r="D85" s="366" t="str">
        <x:v>Ingeniería y construcción de software</x:v>
      </x:c>
      <x:c r="E85" s="366" t="str">
        <x:v>Ingeniería de software</x:v>
      </x:c>
      <x:c r="F85" s="366" t="str">
        <x:v>Requisitos y especificación</x:v>
      </x:c>
      <x:c r="G85" s="366" t="str">
        <x:v>Requisitos y especificación. Proceso completo, calidad, arquitectura, colaboración y entrega de productos mantenibles.</x:v>
      </x:c>
      <x:c r="H85" s="366" t="str">
        <x:v>SWE-001</x:v>
      </x:c>
      <x:c r="I85" s="366" t="str">
        <x:v>Núcleo esencial</x:v>
      </x:c>
      <x:c r="J85" s="366" t="n">
        <x:v>1</x:v>
      </x:c>
      <x:c r="K85" s="366" t="n">
        <x:v>36</x:v>
      </x:c>
      <x:c r="L85" s="366" t="n">
        <x:v>42</x:v>
      </x:c>
      <x:c r="M85" s="366" t="n">
        <x:v>22</x:v>
      </x:c>
      <x:c r="N85" s="367" t="n">
        <x:f>SUM(K85:M85)</x:f>
        <x:v>100</x:v>
      </x:c>
      <x:c r="O85" s="368" t="n">
        <x:f>N85/25</x:f>
        <x:v>4</x:v>
      </x:c>
      <x:c r="P85" s="366" t="str">
        <x:v>Producto de software: Requisitos y especificación.</x:v>
      </x:c>
      <x:c r="Q85" s="366" t="str">
        <x:v>S02; S03; S05; S11; S18; S22; S23</x:v>
      </x:c>
      <x:c r="R85" s="366" t="str">
        <x:v>No iniciado</x:v>
      </x:c>
      <x:c r="S85" s="369" t="n">
        <x:v>0</x:v>
      </x:c>
      <x:c r="T85" s="370"/>
      <x:c r="U85" s="370"/>
      <x:c r="V85" s="366" t="str">
        <x:v>Surge al escalar la programación desde programas individuales hacia productos complejos y mantenibles.</x:v>
      </x:c>
      <x:c r="W85" s="366" t="str">
        <x:v>Muy alta: fundamento durable</x:v>
      </x:c>
      <x:c r="X85" s="366" t="str">
        <x:v>Transversal permanente</x:v>
      </x:c>
      <x:c r="Y85" s="366" t="str">
        <x:v>Consolidada</x:v>
      </x:c>
      <x:c r="Z85" s="366" t="str">
        <x:v>24 meses</x:v>
      </x:c>
      <x:c r="AA85" s="366" t="str">
        <x:v>Ingeniería asistida por IA, agentes de desarrollo, plataformas internas, evidencia de calidad y cadena de suministro.</x:v>
      </x:c>
    </x:row>
    <x:row r="86" ht="58" customHeight="1">
      <x:c r="A86" s="351" t="str">
        <x:v>SWE-003</x:v>
      </x:c>
      <x:c r="B86" s="351" t="n">
        <x:v>2</x:v>
      </x:c>
      <x:c r="C86" s="351" t="str">
        <x:v>Núcleo computacional</x:v>
      </x:c>
      <x:c r="D86" s="351" t="str">
        <x:v>Ingeniería y construcción de software</x:v>
      </x:c>
      <x:c r="E86" s="351" t="str">
        <x:v>Ingeniería de software</x:v>
      </x:c>
      <x:c r="F86" s="351" t="str">
        <x:v>Análisis y diseño orientado a objetos con UML</x:v>
      </x:c>
      <x:c r="G86" s="351" t="str">
        <x:v>Análisis y diseño orientado a objetos con UML. Proceso completo, calidad, arquitectura, colaboración y entrega de productos mantenibles.</x:v>
      </x:c>
      <x:c r="H86" s="351" t="str">
        <x:v>SWE-002</x:v>
      </x:c>
      <x:c r="I86" s="351" t="str">
        <x:v>Núcleo esencial</x:v>
      </x:c>
      <x:c r="J86" s="351" t="n">
        <x:v>1</x:v>
      </x:c>
      <x:c r="K86" s="351" t="n">
        <x:v>36</x:v>
      </x:c>
      <x:c r="L86" s="351" t="n">
        <x:v>42</x:v>
      </x:c>
      <x:c r="M86" s="351" t="n">
        <x:v>22</x:v>
      </x:c>
      <x:c r="N86" s="352" t="n">
        <x:f>SUM(K86:M86)</x:f>
        <x:v>100</x:v>
      </x:c>
      <x:c r="O86" s="353" t="n">
        <x:f>N86/25</x:f>
        <x:v>4</x:v>
      </x:c>
      <x:c r="P86" s="351" t="str">
        <x:v>Producto de software: Análisis y diseño orientado a objetos con UML.</x:v>
      </x:c>
      <x:c r="Q86" s="351" t="str">
        <x:v>S02; S03; S05; S11; S18; S22; S23</x:v>
      </x:c>
      <x:c r="R86" s="351" t="str">
        <x:v>No iniciado</x:v>
      </x:c>
      <x:c r="S86" s="354" t="n">
        <x:v>0</x:v>
      </x:c>
      <x:c r="T86" s="355"/>
      <x:c r="U86" s="355"/>
      <x:c r="V86" s="351" t="str">
        <x:v>Surge al escalar la programación desde programas individuales hacia productos complejos y mantenibles.</x:v>
      </x:c>
      <x:c r="W86" s="351" t="str">
        <x:v>Muy alta: fundamento durable</x:v>
      </x:c>
      <x:c r="X86" s="351" t="str">
        <x:v>Transversal permanente</x:v>
      </x:c>
      <x:c r="Y86" s="351" t="str">
        <x:v>Consolidada</x:v>
      </x:c>
      <x:c r="Z86" s="351" t="str">
        <x:v>24 meses</x:v>
      </x:c>
      <x:c r="AA86" s="351" t="str">
        <x:v>Ingeniería asistida por IA, agentes de desarrollo, plataformas internas, evidencia de calidad y cadena de suministro.</x:v>
      </x:c>
    </x:row>
    <x:row r="87" ht="58" customHeight="1">
      <x:c r="A87" s="366" t="str">
        <x:v>SWE-004</x:v>
      </x:c>
      <x:c r="B87" s="366" t="n">
        <x:v>2</x:v>
      </x:c>
      <x:c r="C87" s="366" t="str">
        <x:v>Núcleo computacional</x:v>
      </x:c>
      <x:c r="D87" s="366" t="str">
        <x:v>Ingeniería y construcción de software</x:v>
      </x:c>
      <x:c r="E87" s="366" t="str">
        <x:v>Ingeniería de software</x:v>
      </x:c>
      <x:c r="F87" s="366" t="str">
        <x:v>Patrones de diseño</x:v>
      </x:c>
      <x:c r="G87" s="366" t="str">
        <x:v>Patrones de diseño. Proceso completo, calidad, arquitectura, colaboración y entrega de productos mantenibles.</x:v>
      </x:c>
      <x:c r="H87" s="366" t="str">
        <x:v>SWE-003</x:v>
      </x:c>
      <x:c r="I87" s="366" t="str">
        <x:v>Núcleo esencial</x:v>
      </x:c>
      <x:c r="J87" s="366" t="n">
        <x:v>1</x:v>
      </x:c>
      <x:c r="K87" s="366" t="n">
        <x:v>36</x:v>
      </x:c>
      <x:c r="L87" s="366" t="n">
        <x:v>42</x:v>
      </x:c>
      <x:c r="M87" s="366" t="n">
        <x:v>22</x:v>
      </x:c>
      <x:c r="N87" s="367" t="n">
        <x:f>SUM(K87:M87)</x:f>
        <x:v>100</x:v>
      </x:c>
      <x:c r="O87" s="368" t="n">
        <x:f>N87/25</x:f>
        <x:v>4</x:v>
      </x:c>
      <x:c r="P87" s="366" t="str">
        <x:v>Producto de software: Patrones de diseño.</x:v>
      </x:c>
      <x:c r="Q87" s="366" t="str">
        <x:v>S02; S03; S05; S11; S18; S22; S23</x:v>
      </x:c>
      <x:c r="R87" s="366" t="str">
        <x:v>No iniciado</x:v>
      </x:c>
      <x:c r="S87" s="369" t="n">
        <x:v>0</x:v>
      </x:c>
      <x:c r="T87" s="370"/>
      <x:c r="U87" s="370"/>
      <x:c r="V87" s="366" t="str">
        <x:v>Surge al escalar la programación desde programas individuales hacia productos complejos y mantenibles.</x:v>
      </x:c>
      <x:c r="W87" s="366" t="str">
        <x:v>Muy alta: fundamento durable</x:v>
      </x:c>
      <x:c r="X87" s="366" t="str">
        <x:v>Transversal permanente</x:v>
      </x:c>
      <x:c r="Y87" s="366" t="str">
        <x:v>Consolidada</x:v>
      </x:c>
      <x:c r="Z87" s="366" t="str">
        <x:v>24 meses</x:v>
      </x:c>
      <x:c r="AA87" s="366" t="str">
        <x:v>Ingeniería asistida por IA, agentes de desarrollo, plataformas internas, evidencia de calidad y cadena de suministro.</x:v>
      </x:c>
    </x:row>
    <x:row r="88" ht="58" customHeight="1">
      <x:c r="A88" s="351" t="str">
        <x:v>SWE-005</x:v>
      </x:c>
      <x:c r="B88" s="351" t="n">
        <x:v>2</x:v>
      </x:c>
      <x:c r="C88" s="351" t="str">
        <x:v>Núcleo computacional</x:v>
      </x:c>
      <x:c r="D88" s="351" t="str">
        <x:v>Ingeniería y construcción de software</x:v>
      </x:c>
      <x:c r="E88" s="351" t="str">
        <x:v>Ingeniería de software</x:v>
      </x:c>
      <x:c r="F88" s="351" t="str">
        <x:v>Arquitectura de software</x:v>
      </x:c>
      <x:c r="G88" s="351" t="str">
        <x:v>Arquitectura de software. Proceso completo, calidad, arquitectura, colaboración y entrega de productos mantenibles.</x:v>
      </x:c>
      <x:c r="H88" s="351" t="str">
        <x:v>SWE-004</x:v>
      </x:c>
      <x:c r="I88" s="351" t="str">
        <x:v>Núcleo esencial</x:v>
      </x:c>
      <x:c r="J88" s="351" t="n">
        <x:v>1</x:v>
      </x:c>
      <x:c r="K88" s="351" t="n">
        <x:v>36</x:v>
      </x:c>
      <x:c r="L88" s="351" t="n">
        <x:v>42</x:v>
      </x:c>
      <x:c r="M88" s="351" t="n">
        <x:v>22</x:v>
      </x:c>
      <x:c r="N88" s="352" t="n">
        <x:f>SUM(K88:M88)</x:f>
        <x:v>100</x:v>
      </x:c>
      <x:c r="O88" s="353" t="n">
        <x:f>N88/25</x:f>
        <x:v>4</x:v>
      </x:c>
      <x:c r="P88" s="351" t="str">
        <x:v>Producto de software: Arquitectura de software.</x:v>
      </x:c>
      <x:c r="Q88" s="351" t="str">
        <x:v>S02; S03; S05; S11; S18; S22; S23</x:v>
      </x:c>
      <x:c r="R88" s="351" t="str">
        <x:v>No iniciado</x:v>
      </x:c>
      <x:c r="S88" s="354" t="n">
        <x:v>0</x:v>
      </x:c>
      <x:c r="T88" s="355"/>
      <x:c r="U88" s="355"/>
      <x:c r="V88" s="351" t="str">
        <x:v>Surge al escalar la programación desde programas individuales hacia productos complejos y mantenibles.</x:v>
      </x:c>
      <x:c r="W88" s="351" t="str">
        <x:v>Muy alta: fundamento durable</x:v>
      </x:c>
      <x:c r="X88" s="351" t="str">
        <x:v>Transversal permanente</x:v>
      </x:c>
      <x:c r="Y88" s="351" t="str">
        <x:v>Consolidada</x:v>
      </x:c>
      <x:c r="Z88" s="351" t="str">
        <x:v>24 meses</x:v>
      </x:c>
      <x:c r="AA88" s="351" t="str">
        <x:v>Ingeniería asistida por IA, agentes de desarrollo, plataformas internas, evidencia de calidad y cadena de suministro.</x:v>
      </x:c>
    </x:row>
    <x:row r="89" ht="58" customHeight="1">
      <x:c r="A89" s="366" t="str">
        <x:v>SWE-006</x:v>
      </x:c>
      <x:c r="B89" s="366" t="n">
        <x:v>2</x:v>
      </x:c>
      <x:c r="C89" s="366" t="str">
        <x:v>Núcleo computacional</x:v>
      </x:c>
      <x:c r="D89" s="366" t="str">
        <x:v>Ingeniería y construcción de software</x:v>
      </x:c>
      <x:c r="E89" s="366" t="str">
        <x:v>Ingeniería de software</x:v>
      </x:c>
      <x:c r="F89" s="366" t="str">
        <x:v>Calidad de software</x:v>
      </x:c>
      <x:c r="G89" s="366" t="str">
        <x:v>Calidad de software. Proceso completo, calidad, arquitectura, colaboración y entrega de productos mantenibles.</x:v>
      </x:c>
      <x:c r="H89" s="366" t="str">
        <x:v>SWE-005</x:v>
      </x:c>
      <x:c r="I89" s="366" t="str">
        <x:v>Núcleo esencial</x:v>
      </x:c>
      <x:c r="J89" s="366" t="n">
        <x:v>1</x:v>
      </x:c>
      <x:c r="K89" s="366" t="n">
        <x:v>36</x:v>
      </x:c>
      <x:c r="L89" s="366" t="n">
        <x:v>42</x:v>
      </x:c>
      <x:c r="M89" s="366" t="n">
        <x:v>22</x:v>
      </x:c>
      <x:c r="N89" s="367" t="n">
        <x:f>SUM(K89:M89)</x:f>
        <x:v>100</x:v>
      </x:c>
      <x:c r="O89" s="368" t="n">
        <x:f>N89/25</x:f>
        <x:v>4</x:v>
      </x:c>
      <x:c r="P89" s="366" t="str">
        <x:v>Producto de software: Calidad de software.</x:v>
      </x:c>
      <x:c r="Q89" s="366" t="str">
        <x:v>S02; S03; S05; S11; S18; S22; S23</x:v>
      </x:c>
      <x:c r="R89" s="366" t="str">
        <x:v>No iniciado</x:v>
      </x:c>
      <x:c r="S89" s="369" t="n">
        <x:v>0</x:v>
      </x:c>
      <x:c r="T89" s="370"/>
      <x:c r="U89" s="370"/>
      <x:c r="V89" s="366" t="str">
        <x:v>Surge al escalar la programación desde programas individuales hacia productos complejos y mantenibles.</x:v>
      </x:c>
      <x:c r="W89" s="366" t="str">
        <x:v>Muy alta: fundamento durable</x:v>
      </x:c>
      <x:c r="X89" s="366" t="str">
        <x:v>Transversal permanente</x:v>
      </x:c>
      <x:c r="Y89" s="366" t="str">
        <x:v>Consolidada</x:v>
      </x:c>
      <x:c r="Z89" s="366" t="str">
        <x:v>24 meses</x:v>
      </x:c>
      <x:c r="AA89" s="366" t="str">
        <x:v>Ingeniería asistida por IA, agentes de desarrollo, plataformas internas, evidencia de calidad y cadena de suministro.</x:v>
      </x:c>
    </x:row>
    <x:row r="90" ht="58" customHeight="1">
      <x:c r="A90" s="351" t="str">
        <x:v>SWE-007</x:v>
      </x:c>
      <x:c r="B90" s="351" t="n">
        <x:v>2</x:v>
      </x:c>
      <x:c r="C90" s="351" t="str">
        <x:v>Núcleo computacional</x:v>
      </x:c>
      <x:c r="D90" s="351" t="str">
        <x:v>Ingeniería y construcción de software</x:v>
      </x:c>
      <x:c r="E90" s="351" t="str">
        <x:v>Ingeniería de software</x:v>
      </x:c>
      <x:c r="F90" s="351" t="str">
        <x:v>Pruebas de software I</x:v>
      </x:c>
      <x:c r="G90" s="351" t="str">
        <x:v>Pruebas de software I. Proceso completo, calidad, arquitectura, colaboración y entrega de productos mantenibles.</x:v>
      </x:c>
      <x:c r="H90" s="351" t="str">
        <x:v>SWE-006</x:v>
      </x:c>
      <x:c r="I90" s="351" t="str">
        <x:v>Núcleo esencial</x:v>
      </x:c>
      <x:c r="J90" s="351" t="n">
        <x:v>1</x:v>
      </x:c>
      <x:c r="K90" s="351" t="n">
        <x:v>36</x:v>
      </x:c>
      <x:c r="L90" s="351" t="n">
        <x:v>42</x:v>
      </x:c>
      <x:c r="M90" s="351" t="n">
        <x:v>22</x:v>
      </x:c>
      <x:c r="N90" s="352" t="n">
        <x:f>SUM(K90:M90)</x:f>
        <x:v>100</x:v>
      </x:c>
      <x:c r="O90" s="353" t="n">
        <x:f>N90/25</x:f>
        <x:v>4</x:v>
      </x:c>
      <x:c r="P90" s="351" t="str">
        <x:v>Producto de software: Pruebas de software I.</x:v>
      </x:c>
      <x:c r="Q90" s="351" t="str">
        <x:v>S02; S03; S05; S11; S18; S22; S23</x:v>
      </x:c>
      <x:c r="R90" s="351" t="str">
        <x:v>No iniciado</x:v>
      </x:c>
      <x:c r="S90" s="354" t="n">
        <x:v>0</x:v>
      </x:c>
      <x:c r="T90" s="355"/>
      <x:c r="U90" s="355"/>
      <x:c r="V90" s="351" t="str">
        <x:v>Surge al escalar la programación desde programas individuales hacia productos complejos y mantenibles.</x:v>
      </x:c>
      <x:c r="W90" s="351" t="str">
        <x:v>Muy alta: fundamento durable</x:v>
      </x:c>
      <x:c r="X90" s="351" t="str">
        <x:v>Transversal permanente</x:v>
      </x:c>
      <x:c r="Y90" s="351" t="str">
        <x:v>Consolidada</x:v>
      </x:c>
      <x:c r="Z90" s="351" t="str">
        <x:v>24 meses</x:v>
      </x:c>
      <x:c r="AA90" s="351" t="str">
        <x:v>Ingeniería asistida por IA, agentes de desarrollo, plataformas internas, evidencia de calidad y cadena de suministro.</x:v>
      </x:c>
    </x:row>
    <x:row r="91" ht="58" customHeight="1">
      <x:c r="A91" s="366" t="str">
        <x:v>CAP-006</x:v>
      </x:c>
      <x:c r="B91" s="366" t="n">
        <x:v>2</x:v>
      </x:c>
      <x:c r="C91" s="366" t="str">
        <x:v>Núcleo computacional</x:v>
      </x:c>
      <x:c r="D91" s="366" t="str">
        <x:v>Investigación y profesión</x:v>
      </x:c>
      <x:c r="E91" s="366" t="str">
        <x:v>Investigación, profesión y capstones</x:v>
      </x:c>
      <x:c r="F91" s="366" t="str">
        <x:v>Contribución a proyectos open source</x:v>
      </x:c>
      <x:c r="G91" s="366" t="str">
        <x:v>Contribución a proyectos open source. Método científico, comunicación, colaboración, ética, impacto y evidencia pública.</x:v>
      </x:c>
      <x:c r="H91" s="366" t="str">
        <x:v>CAP-005</x:v>
      </x:c>
      <x:c r="I91" s="366" t="str">
        <x:v>Núcleo esencial</x:v>
      </x:c>
      <x:c r="J91" s="366" t="n">
        <x:v>1</x:v>
      </x:c>
      <x:c r="K91" s="366" t="n">
        <x:v>20</x:v>
      </x:c>
      <x:c r="L91" s="366" t="n">
        <x:v>24</x:v>
      </x:c>
      <x:c r="M91" s="366" t="n">
        <x:v>56</x:v>
      </x:c>
      <x:c r="N91" s="367" t="n">
        <x:f>SUM(K91:M91)</x:f>
        <x:v>100</x:v>
      </x:c>
      <x:c r="O91" s="368" t="n">
        <x:f>N91/25</x:f>
        <x:v>4</x:v>
      </x:c>
      <x:c r="P91" s="366" t="str">
        <x:v>Informe y defensa: Contribución a proyectos open source.</x:v>
      </x:c>
      <x:c r="Q91" s="366" t="str">
        <x:v>S01; S03; S04; S07; S08</x:v>
      </x:c>
      <x:c r="R91" s="366" t="str">
        <x:v>No iniciado</x:v>
      </x:c>
      <x:c r="S91" s="369" t="n">
        <x:v>0</x:v>
      </x:c>
      <x:c r="T91" s="370"/>
      <x:c r="U91" s="370"/>
      <x:c r="V91" s="366" t="str">
        <x:v>Hereda método científico, ingeniería, revisión por pares, ética profesional e innovación.</x:v>
      </x:c>
      <x:c r="W91" s="366" t="str">
        <x:v>Muy alta: fundamento durable</x:v>
      </x:c>
      <x:c r="X91" s="366" t="str">
        <x:v>Transversal permanente</x:v>
      </x:c>
      <x:c r="Y91" s="366" t="str">
        <x:v>Consolidada</x:v>
      </x:c>
      <x:c r="Z91" s="366" t="str">
        <x:v>24 meses</x:v>
      </x:c>
      <x:c r="AA91" s="366" t="str">
        <x:v>Ciencia asistida por IA, inteligencia de patentes/estándares y actualización curricular basada en señales.</x:v>
      </x:c>
    </x:row>
    <x:row r="92" ht="58" customHeight="1">
      <x:c r="A92" s="351" t="str">
        <x:v>CAP-007</x:v>
      </x:c>
      <x:c r="B92" s="351" t="n">
        <x:v>2</x:v>
      </x:c>
      <x:c r="C92" s="351" t="str">
        <x:v>Núcleo computacional</x:v>
      </x:c>
      <x:c r="D92" s="351" t="str">
        <x:v>Investigación y profesión</x:v>
      </x:c>
      <x:c r="E92" s="351" t="str">
        <x:v>Investigación, profesión y capstones</x:v>
      </x:c>
      <x:c r="F92" s="351" t="str">
        <x:v>Prácticas profesionales I</x:v>
      </x:c>
      <x:c r="G92" s="351" t="str">
        <x:v>Prácticas profesionales I. Método científico, comunicación, colaboración, ética, impacto y evidencia pública.</x:v>
      </x:c>
      <x:c r="H92" s="351" t="str">
        <x:v>CAP-006</x:v>
      </x:c>
      <x:c r="I92" s="351" t="str">
        <x:v>Núcleo esencial</x:v>
      </x:c>
      <x:c r="J92" s="351" t="n">
        <x:v>1</x:v>
      </x:c>
      <x:c r="K92" s="351" t="n">
        <x:v>20</x:v>
      </x:c>
      <x:c r="L92" s="351" t="n">
        <x:v>24</x:v>
      </x:c>
      <x:c r="M92" s="351" t="n">
        <x:v>56</x:v>
      </x:c>
      <x:c r="N92" s="352" t="n">
        <x:f>SUM(K92:M92)</x:f>
        <x:v>100</x:v>
      </x:c>
      <x:c r="O92" s="353" t="n">
        <x:f>N92/25</x:f>
        <x:v>4</x:v>
      </x:c>
      <x:c r="P92" s="351" t="str">
        <x:v>Informe y defensa: Prácticas profesionales I.</x:v>
      </x:c>
      <x:c r="Q92" s="351" t="str">
        <x:v>S01; S03; S04; S07; S08</x:v>
      </x:c>
      <x:c r="R92" s="351" t="str">
        <x:v>No iniciado</x:v>
      </x:c>
      <x:c r="S92" s="354" t="n">
        <x:v>0</x:v>
      </x:c>
      <x:c r="T92" s="355"/>
      <x:c r="U92" s="355"/>
      <x:c r="V92" s="351" t="str">
        <x:v>Hereda método científico, ingeniería, revisión por pares, ética profesional e innovación.</x:v>
      </x:c>
      <x:c r="W92" s="351" t="str">
        <x:v>Muy alta: fundamento durable</x:v>
      </x:c>
      <x:c r="X92" s="351" t="str">
        <x:v>Transversal permanente</x:v>
      </x:c>
      <x:c r="Y92" s="351" t="str">
        <x:v>Consolidada</x:v>
      </x:c>
      <x:c r="Z92" s="351" t="str">
        <x:v>24 meses</x:v>
      </x:c>
      <x:c r="AA92" s="351" t="str">
        <x:v>Ciencia asistida por IA, inteligencia de patentes/estándares y actualización curricular basada en señales.</x:v>
      </x:c>
    </x:row>
    <x:row r="93" ht="58" customHeight="1">
      <x:c r="A93" s="366" t="str">
        <x:v>CAP-008</x:v>
      </x:c>
      <x:c r="B93" s="366" t="n">
        <x:v>2</x:v>
      </x:c>
      <x:c r="C93" s="366" t="str">
        <x:v>Núcleo computacional</x:v>
      </x:c>
      <x:c r="D93" s="366" t="str">
        <x:v>Investigación y profesión</x:v>
      </x:c>
      <x:c r="E93" s="366" t="str">
        <x:v>Investigación, profesión y capstones</x:v>
      </x:c>
      <x:c r="F93" s="366" t="str">
        <x:v>Prácticas profesionales II</x:v>
      </x:c>
      <x:c r="G93" s="366" t="str">
        <x:v>Prácticas profesionales II. Método científico, comunicación, colaboración, ética, impacto y evidencia pública.</x:v>
      </x:c>
      <x:c r="H93" s="366" t="str">
        <x:v>CAP-007</x:v>
      </x:c>
      <x:c r="I93" s="366" t="str">
        <x:v>Núcleo esencial</x:v>
      </x:c>
      <x:c r="J93" s="366" t="n">
        <x:v>1</x:v>
      </x:c>
      <x:c r="K93" s="366" t="n">
        <x:v>20</x:v>
      </x:c>
      <x:c r="L93" s="366" t="n">
        <x:v>24</x:v>
      </x:c>
      <x:c r="M93" s="366" t="n">
        <x:v>56</x:v>
      </x:c>
      <x:c r="N93" s="367" t="n">
        <x:f>SUM(K93:M93)</x:f>
        <x:v>100</x:v>
      </x:c>
      <x:c r="O93" s="368" t="n">
        <x:f>N93/25</x:f>
        <x:v>4</x:v>
      </x:c>
      <x:c r="P93" s="366" t="str">
        <x:v>Informe y defensa: Prácticas profesionales II.</x:v>
      </x:c>
      <x:c r="Q93" s="366" t="str">
        <x:v>S01; S03; S04; S07; S08</x:v>
      </x:c>
      <x:c r="R93" s="366" t="str">
        <x:v>No iniciado</x:v>
      </x:c>
      <x:c r="S93" s="369" t="n">
        <x:v>0</x:v>
      </x:c>
      <x:c r="T93" s="370"/>
      <x:c r="U93" s="370"/>
      <x:c r="V93" s="366" t="str">
        <x:v>Hereda método científico, ingeniería, revisión por pares, ética profesional e innovación.</x:v>
      </x:c>
      <x:c r="W93" s="366" t="str">
        <x:v>Muy alta: fundamento durable</x:v>
      </x:c>
      <x:c r="X93" s="366" t="str">
        <x:v>Transversal permanente</x:v>
      </x:c>
      <x:c r="Y93" s="366" t="str">
        <x:v>Consolidada</x:v>
      </x:c>
      <x:c r="Z93" s="366" t="str">
        <x:v>24 meses</x:v>
      </x:c>
      <x:c r="AA93" s="366" t="str">
        <x:v>Ciencia asistida por IA, inteligencia de patentes/estándares y actualización curricular basada en señales.</x:v>
      </x:c>
    </x:row>
    <x:row r="94" ht="58" customHeight="1">
      <x:c r="A94" s="351" t="str">
        <x:v>CAP-009</x:v>
      </x:c>
      <x:c r="B94" s="351" t="n">
        <x:v>2</x:v>
      </x:c>
      <x:c r="C94" s="351" t="str">
        <x:v>Núcleo computacional</x:v>
      </x:c>
      <x:c r="D94" s="351" t="str">
        <x:v>Investigación y profesión</x:v>
      </x:c>
      <x:c r="E94" s="351" t="str">
        <x:v>Investigación, profesión y capstones</x:v>
      </x:c>
      <x:c r="F94" s="351" t="str">
        <x:v>Docencia, mentoría y divulgación tecnológica</x:v>
      </x:c>
      <x:c r="G94" s="351" t="str">
        <x:v>Docencia, mentoría y divulgación tecnológica. Método científico, comunicación, colaboración, ética, impacto y evidencia pública.</x:v>
      </x:c>
      <x:c r="H94" s="351" t="str">
        <x:v>CAP-008</x:v>
      </x:c>
      <x:c r="I94" s="351" t="str">
        <x:v>Núcleo esencial</x:v>
      </x:c>
      <x:c r="J94" s="351" t="n">
        <x:v>1</x:v>
      </x:c>
      <x:c r="K94" s="351" t="n">
        <x:v>20</x:v>
      </x:c>
      <x:c r="L94" s="351" t="n">
        <x:v>24</x:v>
      </x:c>
      <x:c r="M94" s="351" t="n">
        <x:v>56</x:v>
      </x:c>
      <x:c r="N94" s="352" t="n">
        <x:f>SUM(K94:M94)</x:f>
        <x:v>100</x:v>
      </x:c>
      <x:c r="O94" s="353" t="n">
        <x:f>N94/25</x:f>
        <x:v>4</x:v>
      </x:c>
      <x:c r="P94" s="351" t="str">
        <x:v>Informe y defensa: Docencia, mentoría y divulgación tecnológica.</x:v>
      </x:c>
      <x:c r="Q94" s="351" t="str">
        <x:v>S01; S03; S04; S07; S08</x:v>
      </x:c>
      <x:c r="R94" s="351" t="str">
        <x:v>No iniciado</x:v>
      </x:c>
      <x:c r="S94" s="354" t="n">
        <x:v>0</x:v>
      </x:c>
      <x:c r="T94" s="355"/>
      <x:c r="U94" s="355"/>
      <x:c r="V94" s="351" t="str">
        <x:v>Hereda método científico, ingeniería, revisión por pares, ética profesional e innovación.</x:v>
      </x:c>
      <x:c r="W94" s="351" t="str">
        <x:v>Muy alta: fundamento durable</x:v>
      </x:c>
      <x:c r="X94" s="351" t="str">
        <x:v>Transversal permanente</x:v>
      </x:c>
      <x:c r="Y94" s="351" t="str">
        <x:v>Consolidada</x:v>
      </x:c>
      <x:c r="Z94" s="351" t="str">
        <x:v>24 meses</x:v>
      </x:c>
      <x:c r="AA94" s="351" t="str">
        <x:v>Ciencia asistida por IA, inteligencia de patentes/estándares y actualización curricular basada en señales.</x:v>
      </x:c>
    </x:row>
    <x:row r="95" ht="58" customHeight="1">
      <x:c r="A95" s="366" t="str">
        <x:v>CAP-010</x:v>
      </x:c>
      <x:c r="B95" s="366" t="n">
        <x:v>2</x:v>
      </x:c>
      <x:c r="C95" s="366" t="str">
        <x:v>Núcleo computacional</x:v>
      </x:c>
      <x:c r="D95" s="366" t="str">
        <x:v>Investigación y profesión</x:v>
      </x:c>
      <x:c r="E95" s="366" t="str">
        <x:v>Investigación, profesión y capstones</x:v>
      </x:c>
      <x:c r="F95" s="366" t="str">
        <x:v>Gestión de carrera y marca profesional</x:v>
      </x:c>
      <x:c r="G95" s="366" t="str">
        <x:v>Gestión de carrera y marca profesional. Método científico, comunicación, colaboración, ética, impacto y evidencia pública.</x:v>
      </x:c>
      <x:c r="H95" s="366" t="str">
        <x:v>CAP-009</x:v>
      </x:c>
      <x:c r="I95" s="366" t="str">
        <x:v>Núcleo esencial</x:v>
      </x:c>
      <x:c r="J95" s="366" t="n">
        <x:v>1</x:v>
      </x:c>
      <x:c r="K95" s="366" t="n">
        <x:v>20</x:v>
      </x:c>
      <x:c r="L95" s="366" t="n">
        <x:v>24</x:v>
      </x:c>
      <x:c r="M95" s="366" t="n">
        <x:v>56</x:v>
      </x:c>
      <x:c r="N95" s="367" t="n">
        <x:f>SUM(K95:M95)</x:f>
        <x:v>100</x:v>
      </x:c>
      <x:c r="O95" s="368" t="n">
        <x:f>N95/25</x:f>
        <x:v>4</x:v>
      </x:c>
      <x:c r="P95" s="366" t="str">
        <x:v>Informe y defensa: Gestión de carrera y marca profesional.</x:v>
      </x:c>
      <x:c r="Q95" s="366" t="str">
        <x:v>S01; S03; S04; S07; S08</x:v>
      </x:c>
      <x:c r="R95" s="366" t="str">
        <x:v>No iniciado</x:v>
      </x:c>
      <x:c r="S95" s="369" t="n">
        <x:v>0</x:v>
      </x:c>
      <x:c r="T95" s="370"/>
      <x:c r="U95" s="370"/>
      <x:c r="V95" s="366" t="str">
        <x:v>Hereda método científico, ingeniería, revisión por pares, ética profesional e innovación.</x:v>
      </x:c>
      <x:c r="W95" s="366" t="str">
        <x:v>Muy alta: fundamento durable</x:v>
      </x:c>
      <x:c r="X95" s="366" t="str">
        <x:v>Transversal permanente</x:v>
      </x:c>
      <x:c r="Y95" s="366" t="str">
        <x:v>Consolidada</x:v>
      </x:c>
      <x:c r="Z95" s="366" t="str">
        <x:v>24 meses</x:v>
      </x:c>
      <x:c r="AA95" s="366" t="str">
        <x:v>Ciencia asistida por IA, inteligencia de patentes/estándares y actualización curricular basada en señales.</x:v>
      </x:c>
    </x:row>
    <x:row r="96" ht="58" customHeight="1">
      <x:c r="A96" s="351" t="str">
        <x:v>MAT-008</x:v>
      </x:c>
      <x:c r="B96" s="351" t="n">
        <x:v>2</x:v>
      </x:c>
      <x:c r="C96" s="351" t="str">
        <x:v>Núcleo computacional</x:v>
      </x:c>
      <x:c r="D96" s="351" t="str">
        <x:v>Matemática fundamental</x:v>
      </x:c>
      <x:c r="E96" s="351" t="str">
        <x:v>Matemática y ciencias</x:v>
      </x:c>
      <x:c r="F96" s="351" t="str">
        <x:v>Matemática discreta I</x:v>
      </x:c>
      <x:c r="G96" s="351" t="str">
        <x:v>Matemática discreta I. Definiciones, demostraciones, cálculo manual, modelado y uso computacional.</x:v>
      </x:c>
      <x:c r="H96" s="351" t="str">
        <x:v>MAT-007</x:v>
      </x:c>
      <x:c r="I96" s="351" t="str">
        <x:v>Núcleo esencial</x:v>
      </x:c>
      <x:c r="J96" s="351" t="n">
        <x:v>1</x:v>
      </x:c>
      <x:c r="K96" s="351" t="n">
        <x:v>36</x:v>
      </x:c>
      <x:c r="L96" s="351" t="n">
        <x:v>42</x:v>
      </x:c>
      <x:c r="M96" s="351" t="n">
        <x:v>22</x:v>
      </x:c>
      <x:c r="N96" s="352" t="n">
        <x:f>SUM(K96:M96)</x:f>
        <x:v>100</x:v>
      </x:c>
      <x:c r="O96" s="353" t="n">
        <x:f>N96/25</x:f>
        <x:v>4</x:v>
      </x:c>
      <x:c r="P96" s="351" t="str">
        <x:v>Cuaderno de problemas y notebook reproducible: Matemática discreta I.</x:v>
      </x:c>
      <x:c r="Q96" s="351" t="str">
        <x:v>S01; S03; S04; S09; S11; S16</x:v>
      </x:c>
      <x:c r="R96" s="351" t="str">
        <x:v>No iniciado</x:v>
      </x:c>
      <x:c r="S96" s="354" t="n">
        <x:v>0</x:v>
      </x:c>
      <x:c r="T96" s="355"/>
      <x:c r="U96" s="355"/>
      <x:c r="V96" s="351" t="str">
        <x:v>Precede a la computación y aporta lógica, prueba, modelado, medición y límites físicos.</x:v>
      </x:c>
      <x:c r="W96" s="351" t="str">
        <x:v>Muy alta: fundamento durable</x:v>
      </x:c>
      <x:c r="X96" s="351" t="str">
        <x:v>Transversal permanente</x:v>
      </x:c>
      <x:c r="Y96" s="351" t="str">
        <x:v>Consolidada</x:v>
      </x:c>
      <x:c r="Z96" s="351" t="str">
        <x:v>24 meses</x:v>
      </x:c>
      <x:c r="AA96" s="351" t="str">
        <x:v>Prueba asistida, matemática formalizada, modelado multiescala y cálculo científico acelerado.</x:v>
      </x:c>
    </x:row>
    <x:row r="97" ht="58" customHeight="1">
      <x:c r="A97" s="366" t="str">
        <x:v>MAT-009</x:v>
      </x:c>
      <x:c r="B97" s="366" t="n">
        <x:v>2</x:v>
      </x:c>
      <x:c r="C97" s="366" t="str">
        <x:v>Núcleo computacional</x:v>
      </x:c>
      <x:c r="D97" s="366" t="str">
        <x:v>Matemática fundamental</x:v>
      </x:c>
      <x:c r="E97" s="366" t="str">
        <x:v>Matemática y ciencias</x:v>
      </x:c>
      <x:c r="F97" s="366" t="str">
        <x:v>Matemática discreta II</x:v>
      </x:c>
      <x:c r="G97" s="366" t="str">
        <x:v>Matemática discreta II. Definiciones, demostraciones, cálculo manual, modelado y uso computacional.</x:v>
      </x:c>
      <x:c r="H97" s="366" t="str">
        <x:v>MAT-008</x:v>
      </x:c>
      <x:c r="I97" s="366" t="str">
        <x:v>Núcleo esencial</x:v>
      </x:c>
      <x:c r="J97" s="366" t="n">
        <x:v>1</x:v>
      </x:c>
      <x:c r="K97" s="366" t="n">
        <x:v>36</x:v>
      </x:c>
      <x:c r="L97" s="366" t="n">
        <x:v>42</x:v>
      </x:c>
      <x:c r="M97" s="366" t="n">
        <x:v>22</x:v>
      </x:c>
      <x:c r="N97" s="367" t="n">
        <x:f>SUM(K97:M97)</x:f>
        <x:v>100</x:v>
      </x:c>
      <x:c r="O97" s="368" t="n">
        <x:f>N97/25</x:f>
        <x:v>4</x:v>
      </x:c>
      <x:c r="P97" s="366" t="str">
        <x:v>Cuaderno de problemas y notebook reproducible: Matemática discreta II.</x:v>
      </x:c>
      <x:c r="Q97" s="366" t="str">
        <x:v>S01; S03; S04; S09; S11; S16</x:v>
      </x:c>
      <x:c r="R97" s="366" t="str">
        <x:v>No iniciado</x:v>
      </x:c>
      <x:c r="S97" s="369" t="n">
        <x:v>0</x:v>
      </x:c>
      <x:c r="T97" s="370"/>
      <x:c r="U97" s="370"/>
      <x:c r="V97" s="366" t="str">
        <x:v>Precede a la computación y aporta lógica, prueba, modelado, medición y límites físicos.</x:v>
      </x:c>
      <x:c r="W97" s="366" t="str">
        <x:v>Muy alta: fundamento durable</x:v>
      </x:c>
      <x:c r="X97" s="366" t="str">
        <x:v>Transversal permanente</x:v>
      </x:c>
      <x:c r="Y97" s="366" t="str">
        <x:v>Consolidada</x:v>
      </x:c>
      <x:c r="Z97" s="366" t="str">
        <x:v>24 meses</x:v>
      </x:c>
      <x:c r="AA97" s="366" t="str">
        <x:v>Prueba asistida, matemática formalizada, modelado multiescala y cálculo científico acelerado.</x:v>
      </x:c>
    </x:row>
    <x:row r="98" ht="58" customHeight="1">
      <x:c r="A98" s="351" t="str">
        <x:v>MAT-010</x:v>
      </x:c>
      <x:c r="B98" s="351" t="n">
        <x:v>2</x:v>
      </x:c>
      <x:c r="C98" s="351" t="str">
        <x:v>Núcleo computacional</x:v>
      </x:c>
      <x:c r="D98" s="351" t="str">
        <x:v>Matemática fundamental</x:v>
      </x:c>
      <x:c r="E98" s="351" t="str">
        <x:v>Matemática y ciencias</x:v>
      </x:c>
      <x:c r="F98" s="351" t="str">
        <x:v>Lógica matemática y técnicas de demostración</x:v>
      </x:c>
      <x:c r="G98" s="351" t="str">
        <x:v>Lógica matemática y técnicas de demostración. Definiciones, demostraciones, cálculo manual, modelado y uso computacional.</x:v>
      </x:c>
      <x:c r="H98" s="351" t="str">
        <x:v>MAT-009</x:v>
      </x:c>
      <x:c r="I98" s="351" t="str">
        <x:v>Núcleo esencial</x:v>
      </x:c>
      <x:c r="J98" s="351" t="n">
        <x:v>1</x:v>
      </x:c>
      <x:c r="K98" s="351" t="n">
        <x:v>36</x:v>
      </x:c>
      <x:c r="L98" s="351" t="n">
        <x:v>42</x:v>
      </x:c>
      <x:c r="M98" s="351" t="n">
        <x:v>22</x:v>
      </x:c>
      <x:c r="N98" s="352" t="n">
        <x:f>SUM(K98:M98)</x:f>
        <x:v>100</x:v>
      </x:c>
      <x:c r="O98" s="353" t="n">
        <x:f>N98/25</x:f>
        <x:v>4</x:v>
      </x:c>
      <x:c r="P98" s="351" t="str">
        <x:v>Cuaderno de problemas y notebook reproducible: Lógica matemática y técnicas de demostración.</x:v>
      </x:c>
      <x:c r="Q98" s="351" t="str">
        <x:v>S01; S03; S04; S09; S11; S16</x:v>
      </x:c>
      <x:c r="R98" s="351" t="str">
        <x:v>No iniciado</x:v>
      </x:c>
      <x:c r="S98" s="354" t="n">
        <x:v>0</x:v>
      </x:c>
      <x:c r="T98" s="355"/>
      <x:c r="U98" s="355"/>
      <x:c r="V98" s="351" t="str">
        <x:v>Precede a la computación y aporta lógica, prueba, modelado, medición y límites físicos.</x:v>
      </x:c>
      <x:c r="W98" s="351" t="str">
        <x:v>Muy alta: fundamento durable</x:v>
      </x:c>
      <x:c r="X98" s="351" t="str">
        <x:v>Transversal permanente</x:v>
      </x:c>
      <x:c r="Y98" s="351" t="str">
        <x:v>Consolidada</x:v>
      </x:c>
      <x:c r="Z98" s="351" t="str">
        <x:v>24 meses</x:v>
      </x:c>
      <x:c r="AA98" s="351" t="str">
        <x:v>Prueba asistida, matemática formalizada, modelado multiescala y cálculo científico acelerado.</x:v>
      </x:c>
    </x:row>
    <x:row r="99" ht="58" customHeight="1">
      <x:c r="A99" s="366" t="str">
        <x:v>MAT-011</x:v>
      </x:c>
      <x:c r="B99" s="366" t="n">
        <x:v>2</x:v>
      </x:c>
      <x:c r="C99" s="366" t="str">
        <x:v>Núcleo computacional</x:v>
      </x:c>
      <x:c r="D99" s="366" t="str">
        <x:v>Matemática fundamental</x:v>
      </x:c>
      <x:c r="E99" s="366" t="str">
        <x:v>Matemática y ciencias</x:v>
      </x:c>
      <x:c r="F99" s="366" t="str">
        <x:v>Probabilidad</x:v>
      </x:c>
      <x:c r="G99" s="366" t="str">
        <x:v>Probabilidad. Definiciones, demostraciones, cálculo manual, modelado y uso computacional.</x:v>
      </x:c>
      <x:c r="H99" s="366" t="str">
        <x:v>MAT-010</x:v>
      </x:c>
      <x:c r="I99" s="366" t="str">
        <x:v>Núcleo esencial</x:v>
      </x:c>
      <x:c r="J99" s="366" t="n">
        <x:v>1</x:v>
      </x:c>
      <x:c r="K99" s="366" t="n">
        <x:v>36</x:v>
      </x:c>
      <x:c r="L99" s="366" t="n">
        <x:v>42</x:v>
      </x:c>
      <x:c r="M99" s="366" t="n">
        <x:v>22</x:v>
      </x:c>
      <x:c r="N99" s="367" t="n">
        <x:f>SUM(K99:M99)</x:f>
        <x:v>100</x:v>
      </x:c>
      <x:c r="O99" s="368" t="n">
        <x:f>N99/25</x:f>
        <x:v>4</x:v>
      </x:c>
      <x:c r="P99" s="366" t="str">
        <x:v>Cuaderno de problemas y notebook reproducible: Probabilidad.</x:v>
      </x:c>
      <x:c r="Q99" s="366" t="str">
        <x:v>S01; S03; S04; S09; S11; S16</x:v>
      </x:c>
      <x:c r="R99" s="366" t="str">
        <x:v>No iniciado</x:v>
      </x:c>
      <x:c r="S99" s="369" t="n">
        <x:v>0</x:v>
      </x:c>
      <x:c r="T99" s="370"/>
      <x:c r="U99" s="370"/>
      <x:c r="V99" s="366" t="str">
        <x:v>Precede a la computación y aporta lógica, prueba, modelado, medición y límites físicos.</x:v>
      </x:c>
      <x:c r="W99" s="366" t="str">
        <x:v>Muy alta: fundamento durable</x:v>
      </x:c>
      <x:c r="X99" s="366" t="str">
        <x:v>Transversal permanente</x:v>
      </x:c>
      <x:c r="Y99" s="366" t="str">
        <x:v>Consolidada</x:v>
      </x:c>
      <x:c r="Z99" s="366" t="str">
        <x:v>24 meses</x:v>
      </x:c>
      <x:c r="AA99" s="366" t="str">
        <x:v>Prueba asistida, matemática formalizada, modelado multiescala y cálculo científico acelerado.</x:v>
      </x:c>
    </x:row>
    <x:row r="100" ht="58" customHeight="1">
      <x:c r="A100" s="351" t="str">
        <x:v>MAT-012</x:v>
      </x:c>
      <x:c r="B100" s="351" t="n">
        <x:v>2</x:v>
      </x:c>
      <x:c r="C100" s="351" t="str">
        <x:v>Núcleo computacional</x:v>
      </x:c>
      <x:c r="D100" s="351" t="str">
        <x:v>Matemática fundamental</x:v>
      </x:c>
      <x:c r="E100" s="351" t="str">
        <x:v>Matemática y ciencias</x:v>
      </x:c>
      <x:c r="F100" s="351" t="str">
        <x:v>Estadística descriptiva e inferencial</x:v>
      </x:c>
      <x:c r="G100" s="351" t="str">
        <x:v>Estadística descriptiva e inferencial. Definiciones, demostraciones, cálculo manual, modelado y uso computacional.</x:v>
      </x:c>
      <x:c r="H100" s="351" t="str">
        <x:v>MAT-011</x:v>
      </x:c>
      <x:c r="I100" s="351" t="str">
        <x:v>Núcleo esencial</x:v>
      </x:c>
      <x:c r="J100" s="351" t="n">
        <x:v>1</x:v>
      </x:c>
      <x:c r="K100" s="351" t="n">
        <x:v>36</x:v>
      </x:c>
      <x:c r="L100" s="351" t="n">
        <x:v>42</x:v>
      </x:c>
      <x:c r="M100" s="351" t="n">
        <x:v>22</x:v>
      </x:c>
      <x:c r="N100" s="352" t="n">
        <x:f>SUM(K100:M100)</x:f>
        <x:v>100</x:v>
      </x:c>
      <x:c r="O100" s="353" t="n">
        <x:f>N100/25</x:f>
        <x:v>4</x:v>
      </x:c>
      <x:c r="P100" s="351" t="str">
        <x:v>Cuaderno de problemas y notebook reproducible: Estadística descriptiva e inferencial.</x:v>
      </x:c>
      <x:c r="Q100" s="351" t="str">
        <x:v>S01; S03; S04; S09; S11; S16</x:v>
      </x:c>
      <x:c r="R100" s="351" t="str">
        <x:v>No iniciado</x:v>
      </x:c>
      <x:c r="S100" s="354" t="n">
        <x:v>0</x:v>
      </x:c>
      <x:c r="T100" s="355"/>
      <x:c r="U100" s="355"/>
      <x:c r="V100" s="351" t="str">
        <x:v>Precede a la computación y aporta lógica, prueba, modelado, medición y límites físicos.</x:v>
      </x:c>
      <x:c r="W100" s="351" t="str">
        <x:v>Muy alta: fundamento durable</x:v>
      </x:c>
      <x:c r="X100" s="351" t="str">
        <x:v>Transversal permanente</x:v>
      </x:c>
      <x:c r="Y100" s="351" t="str">
        <x:v>Consolidada</x:v>
      </x:c>
      <x:c r="Z100" s="351" t="str">
        <x:v>24 meses</x:v>
      </x:c>
      <x:c r="AA100" s="351" t="str">
        <x:v>Prueba asistida, matemática formalizada, modelado multiescala y cálculo científico acelerado.</x:v>
      </x:c>
    </x:row>
    <x:row r="101" ht="58" customHeight="1">
      <x:c r="A101" s="366" t="str">
        <x:v>MAT-013</x:v>
      </x:c>
      <x:c r="B101" s="366" t="n">
        <x:v>2</x:v>
      </x:c>
      <x:c r="C101" s="366" t="str">
        <x:v>Núcleo computacional</x:v>
      </x:c>
      <x:c r="D101" s="366" t="str">
        <x:v>Matemática fundamental</x:v>
      </x:c>
      <x:c r="E101" s="366" t="str">
        <x:v>Matemática y ciencias</x:v>
      </x:c>
      <x:c r="F101" s="366" t="str">
        <x:v>Estadística multivariante</x:v>
      </x:c>
      <x:c r="G101" s="366" t="str">
        <x:v>Estadística multivariante. Definiciones, demostraciones, cálculo manual, modelado y uso computacional.</x:v>
      </x:c>
      <x:c r="H101" s="366" t="str">
        <x:v>MAT-012</x:v>
      </x:c>
      <x:c r="I101" s="366" t="str">
        <x:v>Núcleo esencial</x:v>
      </x:c>
      <x:c r="J101" s="366" t="n">
        <x:v>1</x:v>
      </x:c>
      <x:c r="K101" s="366" t="n">
        <x:v>36</x:v>
      </x:c>
      <x:c r="L101" s="366" t="n">
        <x:v>42</x:v>
      </x:c>
      <x:c r="M101" s="366" t="n">
        <x:v>22</x:v>
      </x:c>
      <x:c r="N101" s="367" t="n">
        <x:f>SUM(K101:M101)</x:f>
        <x:v>100</x:v>
      </x:c>
      <x:c r="O101" s="368" t="n">
        <x:f>N101/25</x:f>
        <x:v>4</x:v>
      </x:c>
      <x:c r="P101" s="366" t="str">
        <x:v>Cuaderno de problemas y notebook reproducible: Estadística multivariante.</x:v>
      </x:c>
      <x:c r="Q101" s="366" t="str">
        <x:v>S01; S03; S04; S09; S11; S16</x:v>
      </x:c>
      <x:c r="R101" s="366" t="str">
        <x:v>No iniciado</x:v>
      </x:c>
      <x:c r="S101" s="369" t="n">
        <x:v>0</x:v>
      </x:c>
      <x:c r="T101" s="370"/>
      <x:c r="U101" s="370"/>
      <x:c r="V101" s="366" t="str">
        <x:v>Precede a la computación y aporta lógica, prueba, modelado, medición y límites físicos.</x:v>
      </x:c>
      <x:c r="W101" s="366" t="str">
        <x:v>Muy alta: fundamento durable</x:v>
      </x:c>
      <x:c r="X101" s="366" t="str">
        <x:v>Transversal permanente</x:v>
      </x:c>
      <x:c r="Y101" s="366" t="str">
        <x:v>Consolidada</x:v>
      </x:c>
      <x:c r="Z101" s="366" t="str">
        <x:v>24 meses</x:v>
      </x:c>
      <x:c r="AA101" s="366" t="str">
        <x:v>Prueba asistida, matemática formalizada, modelado multiescala y cálculo científico acelerado.</x:v>
      </x:c>
    </x:row>
    <x:row r="102" ht="58" customHeight="1">
      <x:c r="A102" s="351" t="str">
        <x:v>MAT-014</x:v>
      </x:c>
      <x:c r="B102" s="351" t="n">
        <x:v>2</x:v>
      </x:c>
      <x:c r="C102" s="351" t="str">
        <x:v>Núcleo computacional</x:v>
      </x:c>
      <x:c r="D102" s="351" t="str">
        <x:v>Matemática fundamental</x:v>
      </x:c>
      <x:c r="E102" s="351" t="str">
        <x:v>Matemática y ciencias</x:v>
      </x:c>
      <x:c r="F102" s="351" t="str">
        <x:v>Ecuaciones diferenciales</x:v>
      </x:c>
      <x:c r="G102" s="351" t="str">
        <x:v>Ecuaciones diferenciales. Definiciones, demostraciones, cálculo manual, modelado y uso computacional.</x:v>
      </x:c>
      <x:c r="H102" s="351" t="str">
        <x:v>MAT-013</x:v>
      </x:c>
      <x:c r="I102" s="351" t="str">
        <x:v>Núcleo esencial</x:v>
      </x:c>
      <x:c r="J102" s="351" t="n">
        <x:v>1</x:v>
      </x:c>
      <x:c r="K102" s="351" t="n">
        <x:v>36</x:v>
      </x:c>
      <x:c r="L102" s="351" t="n">
        <x:v>42</x:v>
      </x:c>
      <x:c r="M102" s="351" t="n">
        <x:v>22</x:v>
      </x:c>
      <x:c r="N102" s="352" t="n">
        <x:f>SUM(K102:M102)</x:f>
        <x:v>100</x:v>
      </x:c>
      <x:c r="O102" s="353" t="n">
        <x:f>N102/25</x:f>
        <x:v>4</x:v>
      </x:c>
      <x:c r="P102" s="351" t="str">
        <x:v>Cuaderno de problemas y notebook reproducible: Ecuaciones diferenciales.</x:v>
      </x:c>
      <x:c r="Q102" s="351" t="str">
        <x:v>S01; S03; S04; S09; S11; S16</x:v>
      </x:c>
      <x:c r="R102" s="351" t="str">
        <x:v>No iniciado</x:v>
      </x:c>
      <x:c r="S102" s="354" t="n">
        <x:v>0</x:v>
      </x:c>
      <x:c r="T102" s="355"/>
      <x:c r="U102" s="355"/>
      <x:c r="V102" s="351" t="str">
        <x:v>Precede a la computación y aporta lógica, prueba, modelado, medición y límites físicos.</x:v>
      </x:c>
      <x:c r="W102" s="351" t="str">
        <x:v>Muy alta: fundamento durable</x:v>
      </x:c>
      <x:c r="X102" s="351" t="str">
        <x:v>Transversal permanente</x:v>
      </x:c>
      <x:c r="Y102" s="351" t="str">
        <x:v>Consolidada</x:v>
      </x:c>
      <x:c r="Z102" s="351" t="str">
        <x:v>24 meses</x:v>
      </x:c>
      <x:c r="AA102" s="351" t="str">
        <x:v>Prueba asistida, matemática formalizada, modelado multiescala y cálculo científico acelerado.</x:v>
      </x:c>
    </x:row>
    <x:row r="103" ht="58" customHeight="1">
      <x:c r="A103" s="366" t="str">
        <x:v>MAT-026</x:v>
      </x:c>
      <x:c r="B103" s="366" t="n">
        <x:v>2</x:v>
      </x:c>
      <x:c r="C103" s="366" t="str">
        <x:v>Núcleo computacional</x:v>
      </x:c>
      <x:c r="D103" s="366" t="str">
        <x:v>Ciencias e ingeniería</x:v>
      </x:c>
      <x:c r="E103" s="366" t="str">
        <x:v>Matemática y ciencias</x:v>
      </x:c>
      <x:c r="F103" s="366" t="str">
        <x:v>Análisis de Fourier y transformadas</x:v>
      </x:c>
      <x:c r="G103" s="366" t="str">
        <x:v>Análisis de Fourier y transformadas. Experimentos, medición, incertidumbre y relación con hardware, señales y robótica.</x:v>
      </x:c>
      <x:c r="H103" s="366" t="str">
        <x:v>MAT-025</x:v>
      </x:c>
      <x:c r="I103" s="366" t="str">
        <x:v>Núcleo esencial</x:v>
      </x:c>
      <x:c r="J103" s="366" t="n">
        <x:v>1</x:v>
      </x:c>
      <x:c r="K103" s="366" t="n">
        <x:v>36</x:v>
      </x:c>
      <x:c r="L103" s="366" t="n">
        <x:v>42</x:v>
      </x:c>
      <x:c r="M103" s="366" t="n">
        <x:v>22</x:v>
      </x:c>
      <x:c r="N103" s="367" t="n">
        <x:f>SUM(K103:M103)</x:f>
        <x:v>100</x:v>
      </x:c>
      <x:c r="O103" s="368" t="n">
        <x:f>N103/25</x:f>
        <x:v>4</x:v>
      </x:c>
      <x:c r="P103" s="366" t="str">
        <x:v>Informe de laboratorio: Análisis de Fourier y transformadas.</x:v>
      </x:c>
      <x:c r="Q103" s="366" t="str">
        <x:v>S04; S10; S13; S24; S26</x:v>
      </x:c>
      <x:c r="R103" s="366" t="str">
        <x:v>No iniciado</x:v>
      </x:c>
      <x:c r="S103" s="369" t="n">
        <x:v>0</x:v>
      </x:c>
      <x:c r="T103" s="370"/>
      <x:c r="U103" s="370"/>
      <x:c r="V103" s="366" t="str">
        <x:v>Precede a la computación y aporta lógica, prueba, modelado, medición y límites físicos.</x:v>
      </x:c>
      <x:c r="W103" s="366" t="str">
        <x:v>Muy alta: fundamento durable</x:v>
      </x:c>
      <x:c r="X103" s="366" t="str">
        <x:v>Transversal permanente</x:v>
      </x:c>
      <x:c r="Y103" s="366" t="str">
        <x:v>Consolidada</x:v>
      </x:c>
      <x:c r="Z103" s="366" t="str">
        <x:v>24 meses</x:v>
      </x:c>
      <x:c r="AA103" s="366" t="str">
        <x:v>Prueba asistida, matemática formalizada, modelado multiescala y cálculo científico acelerado.</x:v>
      </x:c>
    </x:row>
    <x:row r="104" ht="58" customHeight="1">
      <x:c r="A104" s="351" t="str">
        <x:v>MAT-027</x:v>
      </x:c>
      <x:c r="B104" s="351" t="n">
        <x:v>2</x:v>
      </x:c>
      <x:c r="C104" s="351" t="str">
        <x:v>Núcleo computacional</x:v>
      </x:c>
      <x:c r="D104" s="351" t="str">
        <x:v>Ciencias e ingeniería</x:v>
      </x:c>
      <x:c r="E104" s="351" t="str">
        <x:v>Matemática y ciencias</x:v>
      </x:c>
      <x:c r="F104" s="351" t="str">
        <x:v>Economía para ingeniería</x:v>
      </x:c>
      <x:c r="G104" s="351" t="str">
        <x:v>Economía para ingeniería. Experimentos, medición, incertidumbre y relación con hardware, señales y robótica.</x:v>
      </x:c>
      <x:c r="H104" s="351" t="str">
        <x:v>MAT-026</x:v>
      </x:c>
      <x:c r="I104" s="351" t="str">
        <x:v>Núcleo esencial</x:v>
      </x:c>
      <x:c r="J104" s="351" t="n">
        <x:v>1</x:v>
      </x:c>
      <x:c r="K104" s="351" t="n">
        <x:v>36</x:v>
      </x:c>
      <x:c r="L104" s="351" t="n">
        <x:v>42</x:v>
      </x:c>
      <x:c r="M104" s="351" t="n">
        <x:v>22</x:v>
      </x:c>
      <x:c r="N104" s="352" t="n">
        <x:f>SUM(K104:M104)</x:f>
        <x:v>100</x:v>
      </x:c>
      <x:c r="O104" s="353" t="n">
        <x:f>N104/25</x:f>
        <x:v>4</x:v>
      </x:c>
      <x:c r="P104" s="351" t="str">
        <x:v>Informe de laboratorio: Economía para ingeniería.</x:v>
      </x:c>
      <x:c r="Q104" s="351" t="str">
        <x:v>S04; S10; S13; S24; S26</x:v>
      </x:c>
      <x:c r="R104" s="351" t="str">
        <x:v>No iniciado</x:v>
      </x:c>
      <x:c r="S104" s="354" t="n">
        <x:v>0</x:v>
      </x:c>
      <x:c r="T104" s="355"/>
      <x:c r="U104" s="355"/>
      <x:c r="V104" s="351" t="str">
        <x:v>Precede a la computación y aporta lógica, prueba, modelado, medición y límites físicos.</x:v>
      </x:c>
      <x:c r="W104" s="351" t="str">
        <x:v>Muy alta: fundamento durable</x:v>
      </x:c>
      <x:c r="X104" s="351" t="str">
        <x:v>Transversal permanente</x:v>
      </x:c>
      <x:c r="Y104" s="351" t="str">
        <x:v>Consolidada</x:v>
      </x:c>
      <x:c r="Z104" s="351" t="str">
        <x:v>24 meses</x:v>
      </x:c>
      <x:c r="AA104" s="351" t="str">
        <x:v>Prueba asistida, matemática formalizada, modelado multiescala y cálculo científico acelerado.</x:v>
      </x:c>
    </x:row>
    <x:row r="105" ht="58" customHeight="1">
      <x:c r="A105" s="366" t="str">
        <x:v>MAT-028</x:v>
      </x:c>
      <x:c r="B105" s="366" t="n">
        <x:v>2</x:v>
      </x:c>
      <x:c r="C105" s="366" t="str">
        <x:v>Núcleo computacional</x:v>
      </x:c>
      <x:c r="D105" s="366" t="str">
        <x:v>Ciencias e ingeniería</x:v>
      </x:c>
      <x:c r="E105" s="366" t="str">
        <x:v>Matemática y ciencias</x:v>
      </x:c>
      <x:c r="F105" s="366" t="str">
        <x:v>Sostenibilidad y computación verde</x:v>
      </x:c>
      <x:c r="G105" s="366" t="str">
        <x:v>Sostenibilidad y computación verde. Experimentos, medición, incertidumbre y relación con hardware, señales y robótica.</x:v>
      </x:c>
      <x:c r="H105" s="366" t="str">
        <x:v>MAT-027</x:v>
      </x:c>
      <x:c r="I105" s="366" t="str">
        <x:v>Núcleo esencial</x:v>
      </x:c>
      <x:c r="J105" s="366" t="n">
        <x:v>1</x:v>
      </x:c>
      <x:c r="K105" s="366" t="n">
        <x:v>36</x:v>
      </x:c>
      <x:c r="L105" s="366" t="n">
        <x:v>42</x:v>
      </x:c>
      <x:c r="M105" s="366" t="n">
        <x:v>22</x:v>
      </x:c>
      <x:c r="N105" s="367" t="n">
        <x:f>SUM(K105:M105)</x:f>
        <x:v>100</x:v>
      </x:c>
      <x:c r="O105" s="368" t="n">
        <x:f>N105/25</x:f>
        <x:v>4</x:v>
      </x:c>
      <x:c r="P105" s="366" t="str">
        <x:v>Informe de laboratorio: Sostenibilidad y computación verde.</x:v>
      </x:c>
      <x:c r="Q105" s="366" t="str">
        <x:v>S04; S10; S13; S24; S26</x:v>
      </x:c>
      <x:c r="R105" s="366" t="str">
        <x:v>No iniciado</x:v>
      </x:c>
      <x:c r="S105" s="369" t="n">
        <x:v>0</x:v>
      </x:c>
      <x:c r="T105" s="370"/>
      <x:c r="U105" s="370"/>
      <x:c r="V105" s="366" t="str">
        <x:v>Precede a la computación y aporta lógica, prueba, modelado, medición y límites físicos.</x:v>
      </x:c>
      <x:c r="W105" s="366" t="str">
        <x:v>Muy alta: fundamento durable</x:v>
      </x:c>
      <x:c r="X105" s="366" t="str">
        <x:v>Transversal permanente</x:v>
      </x:c>
      <x:c r="Y105" s="366" t="str">
        <x:v>Consolidada</x:v>
      </x:c>
      <x:c r="Z105" s="366" t="str">
        <x:v>24 meses</x:v>
      </x:c>
      <x:c r="AA105" s="366" t="str">
        <x:v>Prueba asistida, matemática formalizada, modelado multiescala y cálculo científico acelerado.</x:v>
      </x:c>
    </x:row>
    <x:row r="106" ht="58" customHeight="1">
      <x:c r="A106" s="351" t="str">
        <x:v>CST-007</x:v>
      </x:c>
      <x:c r="B106" s="351" t="n">
        <x:v>2</x:v>
      </x:c>
      <x:c r="C106" s="351" t="str">
        <x:v>Núcleo computacional</x:v>
      </x:c>
      <x:c r="D106" s="351" t="str">
        <x:v>Programación</x:v>
      </x:c>
      <x:c r="E106" s="351" t="str">
        <x:v>Programación y teoría CS</x:v>
      </x:c>
      <x:c r="F106" s="351" t="str">
        <x:v>Algoritmos II</x:v>
      </x:c>
      <x:c r="G106" s="351" t="str">
        <x:v>Algoritmos II. Diseño de algoritmos, depuración, pruebas, estilo, complejidad y pequeños proyectos.</x:v>
      </x:c>
      <x:c r="H106" s="351" t="str">
        <x:v>CST-006</x:v>
      </x:c>
      <x:c r="I106" s="351" t="str">
        <x:v>Núcleo esencial</x:v>
      </x:c>
      <x:c r="J106" s="351" t="n">
        <x:v>1</x:v>
      </x:c>
      <x:c r="K106" s="351" t="n">
        <x:v>36</x:v>
      </x:c>
      <x:c r="L106" s="351" t="n">
        <x:v>42</x:v>
      </x:c>
      <x:c r="M106" s="351" t="n">
        <x:v>22</x:v>
      </x:c>
      <x:c r="N106" s="352" t="n">
        <x:f>SUM(K106:M106)</x:f>
        <x:v>100</x:v>
      </x:c>
      <x:c r="O106" s="353" t="n">
        <x:f>N106/25</x:f>
        <x:v>4</x:v>
      </x:c>
      <x:c r="P106" s="351" t="str">
        <x:v>Repositorio con pruebas: Algoritmos II.</x:v>
      </x:c>
      <x:c r="Q106" s="351" t="str">
        <x:v>S01; S09; S11; S14; S16; S18</x:v>
      </x:c>
      <x:c r="R106" s="351" t="str">
        <x:v>No iniciado</x:v>
      </x:c>
      <x:c r="S106" s="354" t="n">
        <x:v>0</x:v>
      </x:c>
      <x:c r="T106" s="355"/>
      <x:c r="U106" s="355"/>
      <x:c r="V106" s="351" t="str">
        <x:v>Conecta lógica matemática, máquinas computables, lenguajes, algoritmos y abstracción.</x:v>
      </x:c>
      <x:c r="W106" s="351" t="str">
        <x:v>Muy alta: fundamento durable</x:v>
      </x:c>
      <x:c r="X106" s="351" t="str">
        <x:v>Transversal permanente</x:v>
      </x:c>
      <x:c r="Y106" s="351" t="str">
        <x:v>Consolidada</x:v>
      </x:c>
      <x:c r="Z106" s="351" t="str">
        <x:v>24 meses</x:v>
      </x:c>
      <x:c r="AA106" s="351" t="str">
        <x:v>Lenguajes seguros, verificación, WebAssembly, cómputo heterogéneo y nuevas abstracciones para agentes.</x:v>
      </x:c>
    </x:row>
    <x:row r="107" ht="58" customHeight="1">
      <x:c r="A107" s="366" t="str">
        <x:v>CST-008</x:v>
      </x:c>
      <x:c r="B107" s="366" t="n">
        <x:v>2</x:v>
      </x:c>
      <x:c r="C107" s="366" t="str">
        <x:v>Núcleo computacional</x:v>
      </x:c>
      <x:c r="D107" s="366" t="str">
        <x:v>Programación</x:v>
      </x:c>
      <x:c r="E107" s="366" t="str">
        <x:v>Programación y teoría CS</x:v>
      </x:c>
      <x:c r="F107" s="366" t="str">
        <x:v>Análisis avanzado de algoritmos</x:v>
      </x:c>
      <x:c r="G107" s="366" t="str">
        <x:v>Análisis avanzado de algoritmos. Diseño de algoritmos, depuración, pruebas, estilo, complejidad y pequeños proyectos.</x:v>
      </x:c>
      <x:c r="H107" s="366" t="str">
        <x:v>CST-007</x:v>
      </x:c>
      <x:c r="I107" s="366" t="str">
        <x:v>Núcleo esencial</x:v>
      </x:c>
      <x:c r="J107" s="366" t="n">
        <x:v>1</x:v>
      </x:c>
      <x:c r="K107" s="366" t="n">
        <x:v>36</x:v>
      </x:c>
      <x:c r="L107" s="366" t="n">
        <x:v>42</x:v>
      </x:c>
      <x:c r="M107" s="366" t="n">
        <x:v>22</x:v>
      </x:c>
      <x:c r="N107" s="367" t="n">
        <x:f>SUM(K107:M107)</x:f>
        <x:v>100</x:v>
      </x:c>
      <x:c r="O107" s="368" t="n">
        <x:f>N107/25</x:f>
        <x:v>4</x:v>
      </x:c>
      <x:c r="P107" s="366" t="str">
        <x:v>Repositorio con pruebas: Análisis avanzado de algoritmos.</x:v>
      </x:c>
      <x:c r="Q107" s="366" t="str">
        <x:v>S01; S09; S11; S14; S16; S18</x:v>
      </x:c>
      <x:c r="R107" s="366" t="str">
        <x:v>No iniciado</x:v>
      </x:c>
      <x:c r="S107" s="369" t="n">
        <x:v>0</x:v>
      </x:c>
      <x:c r="T107" s="370"/>
      <x:c r="U107" s="370"/>
      <x:c r="V107" s="366" t="str">
        <x:v>Conecta lógica matemática, máquinas computables, lenguajes, algoritmos y abstracción.</x:v>
      </x:c>
      <x:c r="W107" s="366" t="str">
        <x:v>Muy alta: fundamento durable</x:v>
      </x:c>
      <x:c r="X107" s="366" t="str">
        <x:v>Transversal permanente</x:v>
      </x:c>
      <x:c r="Y107" s="366" t="str">
        <x:v>Consolidada</x:v>
      </x:c>
      <x:c r="Z107" s="366" t="str">
        <x:v>24 meses</x:v>
      </x:c>
      <x:c r="AA107" s="366" t="str">
        <x:v>Lenguajes seguros, verificación, WebAssembly, cómputo heterogéneo y nuevas abstracciones para agentes.</x:v>
      </x:c>
    </x:row>
    <x:row r="108" ht="58" customHeight="1">
      <x:c r="A108" s="351" t="str">
        <x:v>CST-009</x:v>
      </x:c>
      <x:c r="B108" s="351" t="n">
        <x:v>2</x:v>
      </x:c>
      <x:c r="C108" s="351" t="str">
        <x:v>Núcleo computacional</x:v>
      </x:c>
      <x:c r="D108" s="351" t="str">
        <x:v>Programación</x:v>
      </x:c>
      <x:c r="E108" s="351" t="str">
        <x:v>Programación y teoría CS</x:v>
      </x:c>
      <x:c r="F108" s="351" t="str">
        <x:v>Programación funcional</x:v>
      </x:c>
      <x:c r="G108" s="351" t="str">
        <x:v>Programación funcional. Diseño de algoritmos, depuración, pruebas, estilo, complejidad y pequeños proyectos.</x:v>
      </x:c>
      <x:c r="H108" s="351" t="str">
        <x:v>CST-008</x:v>
      </x:c>
      <x:c r="I108" s="351" t="str">
        <x:v>Núcleo esencial</x:v>
      </x:c>
      <x:c r="J108" s="351" t="n">
        <x:v>1</x:v>
      </x:c>
      <x:c r="K108" s="351" t="n">
        <x:v>36</x:v>
      </x:c>
      <x:c r="L108" s="351" t="n">
        <x:v>42</x:v>
      </x:c>
      <x:c r="M108" s="351" t="n">
        <x:v>22</x:v>
      </x:c>
      <x:c r="N108" s="352" t="n">
        <x:f>SUM(K108:M108)</x:f>
        <x:v>100</x:v>
      </x:c>
      <x:c r="O108" s="353" t="n">
        <x:f>N108/25</x:f>
        <x:v>4</x:v>
      </x:c>
      <x:c r="P108" s="351" t="str">
        <x:v>Repositorio con pruebas: Programación funcional.</x:v>
      </x:c>
      <x:c r="Q108" s="351" t="str">
        <x:v>S01; S09; S11; S14; S16; S18</x:v>
      </x:c>
      <x:c r="R108" s="351" t="str">
        <x:v>No iniciado</x:v>
      </x:c>
      <x:c r="S108" s="354" t="n">
        <x:v>0</x:v>
      </x:c>
      <x:c r="T108" s="355"/>
      <x:c r="U108" s="355"/>
      <x:c r="V108" s="351" t="str">
        <x:v>Conecta lógica matemática, máquinas computables, lenguajes, algoritmos y abstracción.</x:v>
      </x:c>
      <x:c r="W108" s="351" t="str">
        <x:v>Muy alta: fundamento durable</x:v>
      </x:c>
      <x:c r="X108" s="351" t="str">
        <x:v>Transversal permanente</x:v>
      </x:c>
      <x:c r="Y108" s="351" t="str">
        <x:v>Consolidada</x:v>
      </x:c>
      <x:c r="Z108" s="351" t="str">
        <x:v>24 meses</x:v>
      </x:c>
      <x:c r="AA108" s="351" t="str">
        <x:v>Lenguajes seguros, verificación, WebAssembly, cómputo heterogéneo y nuevas abstracciones para agentes.</x:v>
      </x:c>
    </x:row>
    <x:row r="109" ht="58" customHeight="1">
      <x:c r="A109" s="366" t="str">
        <x:v>CST-010</x:v>
      </x:c>
      <x:c r="B109" s="366" t="n">
        <x:v>2</x:v>
      </x:c>
      <x:c r="C109" s="366" t="str">
        <x:v>Núcleo computacional</x:v>
      </x:c>
      <x:c r="D109" s="366" t="str">
        <x:v>Programación</x:v>
      </x:c>
      <x:c r="E109" s="366" t="str">
        <x:v>Programación y teoría CS</x:v>
      </x:c>
      <x:c r="F109" s="366" t="str">
        <x:v>Programación lógica</x:v>
      </x:c>
      <x:c r="G109" s="366" t="str">
        <x:v>Programación lógica. Diseño de algoritmos, depuración, pruebas, estilo, complejidad y pequeños proyectos.</x:v>
      </x:c>
      <x:c r="H109" s="366" t="str">
        <x:v>CST-009</x:v>
      </x:c>
      <x:c r="I109" s="366" t="str">
        <x:v>Núcleo esencial</x:v>
      </x:c>
      <x:c r="J109" s="366" t="n">
        <x:v>1</x:v>
      </x:c>
      <x:c r="K109" s="366" t="n">
        <x:v>36</x:v>
      </x:c>
      <x:c r="L109" s="366" t="n">
        <x:v>42</x:v>
      </x:c>
      <x:c r="M109" s="366" t="n">
        <x:v>22</x:v>
      </x:c>
      <x:c r="N109" s="367" t="n">
        <x:f>SUM(K109:M109)</x:f>
        <x:v>100</x:v>
      </x:c>
      <x:c r="O109" s="368" t="n">
        <x:f>N109/25</x:f>
        <x:v>4</x:v>
      </x:c>
      <x:c r="P109" s="366" t="str">
        <x:v>Repositorio con pruebas: Programación lógica.</x:v>
      </x:c>
      <x:c r="Q109" s="366" t="str">
        <x:v>S01; S09; S11; S14; S16; S18</x:v>
      </x:c>
      <x:c r="R109" s="366" t="str">
        <x:v>No iniciado</x:v>
      </x:c>
      <x:c r="S109" s="369" t="n">
        <x:v>0</x:v>
      </x:c>
      <x:c r="T109" s="370"/>
      <x:c r="U109" s="370"/>
      <x:c r="V109" s="366" t="str">
        <x:v>Conecta lógica matemática, máquinas computables, lenguajes, algoritmos y abstracción.</x:v>
      </x:c>
      <x:c r="W109" s="366" t="str">
        <x:v>Muy alta: fundamento durable</x:v>
      </x:c>
      <x:c r="X109" s="366" t="str">
        <x:v>Transversal permanente</x:v>
      </x:c>
      <x:c r="Y109" s="366" t="str">
        <x:v>Consolidada</x:v>
      </x:c>
      <x:c r="Z109" s="366" t="str">
        <x:v>24 meses</x:v>
      </x:c>
      <x:c r="AA109" s="366" t="str">
        <x:v>Lenguajes seguros, verificación, WebAssembly, cómputo heterogéneo y nuevas abstracciones para agentes.</x:v>
      </x:c>
    </x:row>
    <x:row r="110" ht="58" customHeight="1">
      <x:c r="A110" s="351" t="str">
        <x:v>CST-011</x:v>
      </x:c>
      <x:c r="B110" s="351" t="n">
        <x:v>2</x:v>
      </x:c>
      <x:c r="C110" s="351" t="str">
        <x:v>Núcleo computacional</x:v>
      </x:c>
      <x:c r="D110" s="351" t="str">
        <x:v>Programación</x:v>
      </x:c>
      <x:c r="E110" s="351" t="str">
        <x:v>Programación y teoría CS</x:v>
      </x:c>
      <x:c r="F110" s="351" t="str">
        <x:v>Programación concurrente</x:v>
      </x:c>
      <x:c r="G110" s="351" t="str">
        <x:v>Programación concurrente. Diseño de algoritmos, depuración, pruebas, estilo, complejidad y pequeños proyectos.</x:v>
      </x:c>
      <x:c r="H110" s="351" t="str">
        <x:v>CST-010</x:v>
      </x:c>
      <x:c r="I110" s="351" t="str">
        <x:v>Núcleo esencial</x:v>
      </x:c>
      <x:c r="J110" s="351" t="n">
        <x:v>1</x:v>
      </x:c>
      <x:c r="K110" s="351" t="n">
        <x:v>36</x:v>
      </x:c>
      <x:c r="L110" s="351" t="n">
        <x:v>42</x:v>
      </x:c>
      <x:c r="M110" s="351" t="n">
        <x:v>22</x:v>
      </x:c>
      <x:c r="N110" s="352" t="n">
        <x:f>SUM(K110:M110)</x:f>
        <x:v>100</x:v>
      </x:c>
      <x:c r="O110" s="353" t="n">
        <x:f>N110/25</x:f>
        <x:v>4</x:v>
      </x:c>
      <x:c r="P110" s="351" t="str">
        <x:v>Repositorio con pruebas: Programación concurrente.</x:v>
      </x:c>
      <x:c r="Q110" s="351" t="str">
        <x:v>S01; S09; S11; S14; S16; S18</x:v>
      </x:c>
      <x:c r="R110" s="351" t="str">
        <x:v>No iniciado</x:v>
      </x:c>
      <x:c r="S110" s="354" t="n">
        <x:v>0</x:v>
      </x:c>
      <x:c r="T110" s="355"/>
      <x:c r="U110" s="355"/>
      <x:c r="V110" s="351" t="str">
        <x:v>Conecta lógica matemática, máquinas computables, lenguajes, algoritmos y abstracción.</x:v>
      </x:c>
      <x:c r="W110" s="351" t="str">
        <x:v>Muy alta: fundamento durable</x:v>
      </x:c>
      <x:c r="X110" s="351" t="str">
        <x:v>Transversal permanente</x:v>
      </x:c>
      <x:c r="Y110" s="351" t="str">
        <x:v>Consolidada</x:v>
      </x:c>
      <x:c r="Z110" s="351" t="str">
        <x:v>24 meses</x:v>
      </x:c>
      <x:c r="AA110" s="351" t="str">
        <x:v>Lenguajes seguros, verificación, WebAssembly, cómputo heterogéneo y nuevas abstracciones para agentes.</x:v>
      </x:c>
    </x:row>
    <x:row r="111" ht="58" customHeight="1">
      <x:c r="A111" s="366" t="str">
        <x:v>CST-012</x:v>
      </x:c>
      <x:c r="B111" s="366" t="n">
        <x:v>2</x:v>
      </x:c>
      <x:c r="C111" s="366" t="str">
        <x:v>Núcleo computacional</x:v>
      </x:c>
      <x:c r="D111" s="366" t="str">
        <x:v>Programación</x:v>
      </x:c>
      <x:c r="E111" s="366" t="str">
        <x:v>Programación y teoría CS</x:v>
      </x:c>
      <x:c r="F111" s="366" t="str">
        <x:v>Programación paralela</x:v>
      </x:c>
      <x:c r="G111" s="366" t="str">
        <x:v>Programación paralela. Diseño de algoritmos, depuración, pruebas, estilo, complejidad y pequeños proyectos.</x:v>
      </x:c>
      <x:c r="H111" s="366" t="str">
        <x:v>CST-011</x:v>
      </x:c>
      <x:c r="I111" s="366" t="str">
        <x:v>Núcleo esencial</x:v>
      </x:c>
      <x:c r="J111" s="366" t="n">
        <x:v>1</x:v>
      </x:c>
      <x:c r="K111" s="366" t="n">
        <x:v>36</x:v>
      </x:c>
      <x:c r="L111" s="366" t="n">
        <x:v>42</x:v>
      </x:c>
      <x:c r="M111" s="366" t="n">
        <x:v>22</x:v>
      </x:c>
      <x:c r="N111" s="367" t="n">
        <x:f>SUM(K111:M111)</x:f>
        <x:v>100</x:v>
      </x:c>
      <x:c r="O111" s="368" t="n">
        <x:f>N111/25</x:f>
        <x:v>4</x:v>
      </x:c>
      <x:c r="P111" s="366" t="str">
        <x:v>Repositorio con pruebas: Programación paralela.</x:v>
      </x:c>
      <x:c r="Q111" s="366" t="str">
        <x:v>S01; S09; S11; S14; S16; S18</x:v>
      </x:c>
      <x:c r="R111" s="366" t="str">
        <x:v>No iniciado</x:v>
      </x:c>
      <x:c r="S111" s="369" t="n">
        <x:v>0</x:v>
      </x:c>
      <x:c r="T111" s="370"/>
      <x:c r="U111" s="370"/>
      <x:c r="V111" s="366" t="str">
        <x:v>Conecta lógica matemática, máquinas computables, lenguajes, algoritmos y abstracción.</x:v>
      </x:c>
      <x:c r="W111" s="366" t="str">
        <x:v>Muy alta: fundamento durable</x:v>
      </x:c>
      <x:c r="X111" s="366" t="str">
        <x:v>Transversal permanente</x:v>
      </x:c>
      <x:c r="Y111" s="366" t="str">
        <x:v>Consolidada</x:v>
      </x:c>
      <x:c r="Z111" s="366" t="str">
        <x:v>24 meses</x:v>
      </x:c>
      <x:c r="AA111" s="366" t="str">
        <x:v>Lenguajes seguros, verificación, WebAssembly, cómputo heterogéneo y nuevas abstracciones para agentes.</x:v>
      </x:c>
    </x:row>
    <x:row r="112" ht="58" customHeight="1">
      <x:c r="A112" s="351" t="str">
        <x:v>CST-023</x:v>
      </x:c>
      <x:c r="B112" s="351" t="n">
        <x:v>2</x:v>
      </x:c>
      <x:c r="C112" s="351" t="str">
        <x:v>Núcleo computacional</x:v>
      </x:c>
      <x:c r="D112" s="351" t="str">
        <x:v>Teoría de la computación</x:v>
      </x:c>
      <x:c r="E112" s="351" t="str">
        <x:v>Programación y teoría CS</x:v>
      </x:c>
      <x:c r="F112" s="351" t="str">
        <x:v>Lenguajes formales y autómatas</x:v>
      </x:c>
      <x:c r="G112" s="351" t="str">
        <x:v>Lenguajes formales y autómatas. Modelos formales, límites de cómputo, semántica, construcción y verificación.</x:v>
      </x:c>
      <x:c r="H112" s="351" t="str">
        <x:v>CST-006</x:v>
      </x:c>
      <x:c r="I112" s="351" t="str">
        <x:v>Núcleo esencial</x:v>
      </x:c>
      <x:c r="J112" s="351" t="n">
        <x:v>1</x:v>
      </x:c>
      <x:c r="K112" s="351" t="n">
        <x:v>36</x:v>
      </x:c>
      <x:c r="L112" s="351" t="n">
        <x:v>42</x:v>
      </x:c>
      <x:c r="M112" s="351" t="n">
        <x:v>22</x:v>
      </x:c>
      <x:c r="N112" s="352" t="n">
        <x:f>SUM(K112:M112)</x:f>
        <x:v>100</x:v>
      </x:c>
      <x:c r="O112" s="353" t="n">
        <x:f>N112/25</x:f>
        <x:v>4</x:v>
      </x:c>
      <x:c r="P112" s="351" t="str">
        <x:v>Demostraciones y prototipo: Lenguajes formales y autómatas.</x:v>
      </x:c>
      <x:c r="Q112" s="351" t="str">
        <x:v>S01; S09; S14; S16; S20</x:v>
      </x:c>
      <x:c r="R112" s="351" t="str">
        <x:v>No iniciado</x:v>
      </x:c>
      <x:c r="S112" s="354" t="n">
        <x:v>0</x:v>
      </x:c>
      <x:c r="T112" s="355"/>
      <x:c r="U112" s="355"/>
      <x:c r="V112" s="351" t="str">
        <x:v>Conecta lógica matemática, máquinas computables, lenguajes, algoritmos y abstracción.</x:v>
      </x:c>
      <x:c r="W112" s="351" t="str">
        <x:v>Muy alta: fundamento durable</x:v>
      </x:c>
      <x:c r="X112" s="351" t="str">
        <x:v>Transversal permanente</x:v>
      </x:c>
      <x:c r="Y112" s="351" t="str">
        <x:v>Consolidada</x:v>
      </x:c>
      <x:c r="Z112" s="351" t="str">
        <x:v>24 meses</x:v>
      </x:c>
      <x:c r="AA112" s="351" t="str">
        <x:v>Lenguajes seguros, verificación, WebAssembly, cómputo heterogéneo y nuevas abstracciones para agentes.</x:v>
      </x:c>
    </x:row>
    <x:row r="113" ht="58" customHeight="1">
      <x:c r="A113" s="366" t="str">
        <x:v>CST-024</x:v>
      </x:c>
      <x:c r="B113" s="366" t="n">
        <x:v>2</x:v>
      </x:c>
      <x:c r="C113" s="366" t="str">
        <x:v>Núcleo computacional</x:v>
      </x:c>
      <x:c r="D113" s="366" t="str">
        <x:v>Teoría de la computación</x:v>
      </x:c>
      <x:c r="E113" s="366" t="str">
        <x:v>Programación y teoría CS</x:v>
      </x:c>
      <x:c r="F113" s="366" t="str">
        <x:v>Computabilidad</x:v>
      </x:c>
      <x:c r="G113" s="366" t="str">
        <x:v>Computabilidad. Modelos formales, límites de cómputo, semántica, construcción y verificación.</x:v>
      </x:c>
      <x:c r="H113" s="366" t="str">
        <x:v>CST-023</x:v>
      </x:c>
      <x:c r="I113" s="366" t="str">
        <x:v>Núcleo esencial</x:v>
      </x:c>
      <x:c r="J113" s="366" t="n">
        <x:v>1</x:v>
      </x:c>
      <x:c r="K113" s="366" t="n">
        <x:v>36</x:v>
      </x:c>
      <x:c r="L113" s="366" t="n">
        <x:v>42</x:v>
      </x:c>
      <x:c r="M113" s="366" t="n">
        <x:v>22</x:v>
      </x:c>
      <x:c r="N113" s="367" t="n">
        <x:f>SUM(K113:M113)</x:f>
        <x:v>100</x:v>
      </x:c>
      <x:c r="O113" s="368" t="n">
        <x:f>N113/25</x:f>
        <x:v>4</x:v>
      </x:c>
      <x:c r="P113" s="366" t="str">
        <x:v>Demostraciones y prototipo: Computabilidad.</x:v>
      </x:c>
      <x:c r="Q113" s="366" t="str">
        <x:v>S01; S09; S14; S16; S20</x:v>
      </x:c>
      <x:c r="R113" s="366" t="str">
        <x:v>No iniciado</x:v>
      </x:c>
      <x:c r="S113" s="369" t="n">
        <x:v>0</x:v>
      </x:c>
      <x:c r="T113" s="370"/>
      <x:c r="U113" s="370"/>
      <x:c r="V113" s="366" t="str">
        <x:v>Conecta lógica matemática, máquinas computables, lenguajes, algoritmos y abstracción.</x:v>
      </x:c>
      <x:c r="W113" s="366" t="str">
        <x:v>Muy alta: fundamento durable</x:v>
      </x:c>
      <x:c r="X113" s="366" t="str">
        <x:v>Transversal permanente</x:v>
      </x:c>
      <x:c r="Y113" s="366" t="str">
        <x:v>Consolidada</x:v>
      </x:c>
      <x:c r="Z113" s="366" t="str">
        <x:v>24 meses</x:v>
      </x:c>
      <x:c r="AA113" s="366" t="str">
        <x:v>Lenguajes seguros, verificación, WebAssembly, cómputo heterogéneo y nuevas abstracciones para agentes.</x:v>
      </x:c>
    </x:row>
    <x:row r="114" ht="58" customHeight="1">
      <x:c r="A114" s="351" t="str">
        <x:v>CST-025</x:v>
      </x:c>
      <x:c r="B114" s="351" t="n">
        <x:v>2</x:v>
      </x:c>
      <x:c r="C114" s="351" t="str">
        <x:v>Núcleo computacional</x:v>
      </x:c>
      <x:c r="D114" s="351" t="str">
        <x:v>Teoría de la computación</x:v>
      </x:c>
      <x:c r="E114" s="351" t="str">
        <x:v>Programación y teoría CS</x:v>
      </x:c>
      <x:c r="F114" s="351" t="str">
        <x:v>Complejidad computacional</x:v>
      </x:c>
      <x:c r="G114" s="351" t="str">
        <x:v>Complejidad computacional. Modelos formales, límites de cómputo, semántica, construcción y verificación.</x:v>
      </x:c>
      <x:c r="H114" s="351" t="str">
        <x:v>CST-024</x:v>
      </x:c>
      <x:c r="I114" s="351" t="str">
        <x:v>Núcleo esencial</x:v>
      </x:c>
      <x:c r="J114" s="351" t="n">
        <x:v>1</x:v>
      </x:c>
      <x:c r="K114" s="351" t="n">
        <x:v>36</x:v>
      </x:c>
      <x:c r="L114" s="351" t="n">
        <x:v>42</x:v>
      </x:c>
      <x:c r="M114" s="351" t="n">
        <x:v>22</x:v>
      </x:c>
      <x:c r="N114" s="352" t="n">
        <x:f>SUM(K114:M114)</x:f>
        <x:v>100</x:v>
      </x:c>
      <x:c r="O114" s="353" t="n">
        <x:f>N114/25</x:f>
        <x:v>4</x:v>
      </x:c>
      <x:c r="P114" s="351" t="str">
        <x:v>Demostraciones y prototipo: Complejidad computacional.</x:v>
      </x:c>
      <x:c r="Q114" s="351" t="str">
        <x:v>S01; S09; S14; S16; S20</x:v>
      </x:c>
      <x:c r="R114" s="351" t="str">
        <x:v>No iniciado</x:v>
      </x:c>
      <x:c r="S114" s="354" t="n">
        <x:v>0</x:v>
      </x:c>
      <x:c r="T114" s="355"/>
      <x:c r="U114" s="355"/>
      <x:c r="V114" s="351" t="str">
        <x:v>Conecta lógica matemática, máquinas computables, lenguajes, algoritmos y abstracción.</x:v>
      </x:c>
      <x:c r="W114" s="351" t="str">
        <x:v>Muy alta: fundamento durable</x:v>
      </x:c>
      <x:c r="X114" s="351" t="str">
        <x:v>Transversal permanente</x:v>
      </x:c>
      <x:c r="Y114" s="351" t="str">
        <x:v>Consolidada</x:v>
      </x:c>
      <x:c r="Z114" s="351" t="str">
        <x:v>24 meses</x:v>
      </x:c>
      <x:c r="AA114" s="351" t="str">
        <x:v>Lenguajes seguros, verificación, WebAssembly, cómputo heterogéneo y nuevas abstracciones para agentes.</x:v>
      </x:c>
    </x:row>
    <x:row r="115" ht="58" customHeight="1">
      <x:c r="A115" s="366" t="str">
        <x:v>CST-026</x:v>
      </x:c>
      <x:c r="B115" s="366" t="n">
        <x:v>2</x:v>
      </x:c>
      <x:c r="C115" s="366" t="str">
        <x:v>Núcleo computacional</x:v>
      </x:c>
      <x:c r="D115" s="366" t="str">
        <x:v>Teoría de la computación</x:v>
      </x:c>
      <x:c r="E115" s="366" t="str">
        <x:v>Programación y teoría CS</x:v>
      </x:c>
      <x:c r="F115" s="366" t="str">
        <x:v>Paradigmas y semántica de lenguajes</x:v>
      </x:c>
      <x:c r="G115" s="366" t="str">
        <x:v>Paradigmas y semántica de lenguajes. Modelos formales, límites de cómputo, semántica, construcción y verificación.</x:v>
      </x:c>
      <x:c r="H115" s="366" t="str">
        <x:v>CST-025</x:v>
      </x:c>
      <x:c r="I115" s="366" t="str">
        <x:v>Núcleo esencial</x:v>
      </x:c>
      <x:c r="J115" s="366" t="n">
        <x:v>1</x:v>
      </x:c>
      <x:c r="K115" s="366" t="n">
        <x:v>36</x:v>
      </x:c>
      <x:c r="L115" s="366" t="n">
        <x:v>42</x:v>
      </x:c>
      <x:c r="M115" s="366" t="n">
        <x:v>22</x:v>
      </x:c>
      <x:c r="N115" s="367" t="n">
        <x:f>SUM(K115:M115)</x:f>
        <x:v>100</x:v>
      </x:c>
      <x:c r="O115" s="368" t="n">
        <x:f>N115/25</x:f>
        <x:v>4</x:v>
      </x:c>
      <x:c r="P115" s="366" t="str">
        <x:v>Demostraciones y prototipo: Paradigmas y semántica de lenguajes.</x:v>
      </x:c>
      <x:c r="Q115" s="366" t="str">
        <x:v>S01; S09; S14; S16; S20</x:v>
      </x:c>
      <x:c r="R115" s="366" t="str">
        <x:v>No iniciado</x:v>
      </x:c>
      <x:c r="S115" s="369" t="n">
        <x:v>0</x:v>
      </x:c>
      <x:c r="T115" s="370"/>
      <x:c r="U115" s="370"/>
      <x:c r="V115" s="366" t="str">
        <x:v>Conecta lógica matemática, máquinas computables, lenguajes, algoritmos y abstracción.</x:v>
      </x:c>
      <x:c r="W115" s="366" t="str">
        <x:v>Muy alta: fundamento durable</x:v>
      </x:c>
      <x:c r="X115" s="366" t="str">
        <x:v>Transversal permanente</x:v>
      </x:c>
      <x:c r="Y115" s="366" t="str">
        <x:v>Consolidada</x:v>
      </x:c>
      <x:c r="Z115" s="366" t="str">
        <x:v>24 meses</x:v>
      </x:c>
      <x:c r="AA115" s="366" t="str">
        <x:v>Lenguajes seguros, verificación, WebAssembly, cómputo heterogéneo y nuevas abstracciones para agentes.</x:v>
      </x:c>
    </x:row>
    <x:row r="116" ht="58" customHeight="1">
      <x:c r="A116" s="351" t="str">
        <x:v>CST-027</x:v>
      </x:c>
      <x:c r="B116" s="351" t="n">
        <x:v>2</x:v>
      </x:c>
      <x:c r="C116" s="351" t="str">
        <x:v>Núcleo computacional</x:v>
      </x:c>
      <x:c r="D116" s="351" t="str">
        <x:v>Teoría de la computación</x:v>
      </x:c>
      <x:c r="E116" s="351" t="str">
        <x:v>Programación y teoría CS</x:v>
      </x:c>
      <x:c r="F116" s="351" t="str">
        <x:v>Diseño e implementación de lenguajes</x:v>
      </x:c>
      <x:c r="G116" s="351" t="str">
        <x:v>Diseño e implementación de lenguajes. Modelos formales, límites de cómputo, semántica, construcción y verificación.</x:v>
      </x:c>
      <x:c r="H116" s="351" t="str">
        <x:v>CST-026</x:v>
      </x:c>
      <x:c r="I116" s="351" t="str">
        <x:v>Núcleo esencial</x:v>
      </x:c>
      <x:c r="J116" s="351" t="n">
        <x:v>1</x:v>
      </x:c>
      <x:c r="K116" s="351" t="n">
        <x:v>36</x:v>
      </x:c>
      <x:c r="L116" s="351" t="n">
        <x:v>42</x:v>
      </x:c>
      <x:c r="M116" s="351" t="n">
        <x:v>22</x:v>
      </x:c>
      <x:c r="N116" s="352" t="n">
        <x:f>SUM(K116:M116)</x:f>
        <x:v>100</x:v>
      </x:c>
      <x:c r="O116" s="353" t="n">
        <x:f>N116/25</x:f>
        <x:v>4</x:v>
      </x:c>
      <x:c r="P116" s="351" t="str">
        <x:v>Demostraciones y prototipo: Diseño e implementación de lenguajes.</x:v>
      </x:c>
      <x:c r="Q116" s="351" t="str">
        <x:v>S01; S09; S14; S16; S20</x:v>
      </x:c>
      <x:c r="R116" s="351" t="str">
        <x:v>No iniciado</x:v>
      </x:c>
      <x:c r="S116" s="354" t="n">
        <x:v>0</x:v>
      </x:c>
      <x:c r="T116" s="355"/>
      <x:c r="U116" s="355"/>
      <x:c r="V116" s="351" t="str">
        <x:v>Conecta lógica matemática, máquinas computables, lenguajes, algoritmos y abstracción.</x:v>
      </x:c>
      <x:c r="W116" s="351" t="str">
        <x:v>Muy alta: fundamento durable</x:v>
      </x:c>
      <x:c r="X116" s="351" t="str">
        <x:v>Transversal permanente</x:v>
      </x:c>
      <x:c r="Y116" s="351" t="str">
        <x:v>Consolidada</x:v>
      </x:c>
      <x:c r="Z116" s="351" t="str">
        <x:v>24 meses</x:v>
      </x:c>
      <x:c r="AA116" s="351" t="str">
        <x:v>Lenguajes seguros, verificación, WebAssembly, cómputo heterogéneo y nuevas abstracciones para agentes.</x:v>
      </x:c>
    </x:row>
    <x:row r="117" ht="58" customHeight="1">
      <x:c r="A117" s="366" t="str">
        <x:v>NET-001</x:v>
      </x:c>
      <x:c r="B117" s="366" t="n">
        <x:v>2</x:v>
      </x:c>
      <x:c r="C117" s="366" t="str">
        <x:v>Núcleo computacional</x:v>
      </x:c>
      <x:c r="D117" s="366" t="str">
        <x:v>Redes y telecomunicaciones</x:v>
      </x:c>
      <x:c r="E117" s="366" t="str">
        <x:v>Redes, telecom y cloud</x:v>
      </x:c>
      <x:c r="F117" s="366" t="str">
        <x:v>Fundamentos de redes</x:v>
      </x:c>
      <x:c r="G117" s="366" t="str">
        <x:v>Fundamentos de redes. Diseño, configuración, medición, automatización, disponibilidad y seguridad.</x:v>
      </x:c>
      <x:c r="H117" s="366" t="str">
        <x:v>MAT-025</x:v>
      </x:c>
      <x:c r="I117" s="366" t="str">
        <x:v>Núcleo esencial</x:v>
      </x:c>
      <x:c r="J117" s="366" t="n">
        <x:v>1</x:v>
      </x:c>
      <x:c r="K117" s="366" t="n">
        <x:v>36</x:v>
      </x:c>
      <x:c r="L117" s="366" t="n">
        <x:v>42</x:v>
      </x:c>
      <x:c r="M117" s="366" t="n">
        <x:v>22</x:v>
      </x:c>
      <x:c r="N117" s="367" t="n">
        <x:f>SUM(K117:M117)</x:f>
        <x:v>100</x:v>
      </x:c>
      <x:c r="O117" s="368" t="n">
        <x:f>N117/25</x:f>
        <x:v>4</x:v>
      </x:c>
      <x:c r="P117" s="366" t="str">
        <x:v>Topología documentada y probada: Fundamentos de redes.</x:v>
      </x:c>
      <x:c r="Q117" s="366" t="str">
        <x:v>S03; S04; S17; S18; S27</x:v>
      </x:c>
      <x:c r="R117" s="366" t="str">
        <x:v>No iniciado</x:v>
      </x:c>
      <x:c r="S117" s="369" t="n">
        <x:v>0</x:v>
      </x:c>
      <x:c r="T117" s="370"/>
      <x:c r="U117" s="370"/>
      <x:c r="V117" s="366" t="str">
        <x:v>Integra telegrafía, telefonía, conmutación de paquetes, Internet, virtualización y nube.</x:v>
      </x:c>
      <x:c r="W117" s="366" t="str">
        <x:v>Muy alta: fundamento durable</x:v>
      </x:c>
      <x:c r="X117" s="366" t="str">
        <x:v>Transversal permanente</x:v>
      </x:c>
      <x:c r="Y117" s="366" t="str">
        <x:v>Consolidada</x:v>
      </x:c>
      <x:c r="Z117" s="366" t="str">
        <x:v>24 meses</x:v>
      </x:c>
      <x:c r="AA117" s="366" t="str">
        <x:v>5G-Advanced, IMT-2030/6G, edge, redes no terrestres, nube soberana y operación autónoma.</x:v>
      </x:c>
    </x:row>
    <x:row r="118" ht="58" customHeight="1">
      <x:c r="A118" s="351" t="str">
        <x:v>NET-002</x:v>
      </x:c>
      <x:c r="B118" s="351" t="n">
        <x:v>2</x:v>
      </x:c>
      <x:c r="C118" s="351" t="str">
        <x:v>Núcleo computacional</x:v>
      </x:c>
      <x:c r="D118" s="351" t="str">
        <x:v>Redes y telecomunicaciones</x:v>
      </x:c>
      <x:c r="E118" s="351" t="str">
        <x:v>Redes, telecom y cloud</x:v>
      </x:c>
      <x:c r="F118" s="351" t="str">
        <x:v>TCP/IP y subnetting</x:v>
      </x:c>
      <x:c r="G118" s="351" t="str">
        <x:v>TCP/IP y subnetting. Diseño, configuración, medición, automatización, disponibilidad y seguridad.</x:v>
      </x:c>
      <x:c r="H118" s="351" t="str">
        <x:v>NET-001</x:v>
      </x:c>
      <x:c r="I118" s="351" t="str">
        <x:v>Núcleo esencial</x:v>
      </x:c>
      <x:c r="J118" s="351" t="n">
        <x:v>1</x:v>
      </x:c>
      <x:c r="K118" s="351" t="n">
        <x:v>36</x:v>
      </x:c>
      <x:c r="L118" s="351" t="n">
        <x:v>42</x:v>
      </x:c>
      <x:c r="M118" s="351" t="n">
        <x:v>22</x:v>
      </x:c>
      <x:c r="N118" s="352" t="n">
        <x:f>SUM(K118:M118)</x:f>
        <x:v>100</x:v>
      </x:c>
      <x:c r="O118" s="353" t="n">
        <x:f>N118/25</x:f>
        <x:v>4</x:v>
      </x:c>
      <x:c r="P118" s="351" t="str">
        <x:v>Topología documentada y probada: TCP/IP y subnetting.</x:v>
      </x:c>
      <x:c r="Q118" s="351" t="str">
        <x:v>S03; S04; S17; S18; S27</x:v>
      </x:c>
      <x:c r="R118" s="351" t="str">
        <x:v>No iniciado</x:v>
      </x:c>
      <x:c r="S118" s="354" t="n">
        <x:v>0</x:v>
      </x:c>
      <x:c r="T118" s="355"/>
      <x:c r="U118" s="355"/>
      <x:c r="V118" s="351" t="str">
        <x:v>Integra telegrafía, telefonía, conmutación de paquetes, Internet, virtualización y nube.</x:v>
      </x:c>
      <x:c r="W118" s="351" t="str">
        <x:v>Muy alta: fundamento durable</x:v>
      </x:c>
      <x:c r="X118" s="351" t="str">
        <x:v>Transversal permanente</x:v>
      </x:c>
      <x:c r="Y118" s="351" t="str">
        <x:v>Consolidada</x:v>
      </x:c>
      <x:c r="Z118" s="351" t="str">
        <x:v>24 meses</x:v>
      </x:c>
      <x:c r="AA118" s="351" t="str">
        <x:v>5G-Advanced, IMT-2030/6G, edge, redes no terrestres, nube soberana y operación autónoma.</x:v>
      </x:c>
    </x:row>
    <x:row r="119" ht="58" customHeight="1">
      <x:c r="A119" s="366" t="str">
        <x:v>NET-003</x:v>
      </x:c>
      <x:c r="B119" s="366" t="n">
        <x:v>2</x:v>
      </x:c>
      <x:c r="C119" s="366" t="str">
        <x:v>Núcleo computacional</x:v>
      </x:c>
      <x:c r="D119" s="366" t="str">
        <x:v>Redes y telecomunicaciones</x:v>
      </x:c>
      <x:c r="E119" s="366" t="str">
        <x:v>Redes, telecom y cloud</x:v>
      </x:c>
      <x:c r="F119" s="366" t="str">
        <x:v>Conmutación LAN y VLAN</x:v>
      </x:c>
      <x:c r="G119" s="366" t="str">
        <x:v>Conmutación LAN y VLAN. Diseño, configuración, medición, automatización, disponibilidad y seguridad.</x:v>
      </x:c>
      <x:c r="H119" s="366" t="str">
        <x:v>NET-002</x:v>
      </x:c>
      <x:c r="I119" s="366" t="str">
        <x:v>Núcleo esencial</x:v>
      </x:c>
      <x:c r="J119" s="366" t="n">
        <x:v>1</x:v>
      </x:c>
      <x:c r="K119" s="366" t="n">
        <x:v>36</x:v>
      </x:c>
      <x:c r="L119" s="366" t="n">
        <x:v>42</x:v>
      </x:c>
      <x:c r="M119" s="366" t="n">
        <x:v>22</x:v>
      </x:c>
      <x:c r="N119" s="367" t="n">
        <x:f>SUM(K119:M119)</x:f>
        <x:v>100</x:v>
      </x:c>
      <x:c r="O119" s="368" t="n">
        <x:f>N119/25</x:f>
        <x:v>4</x:v>
      </x:c>
      <x:c r="P119" s="366" t="str">
        <x:v>Topología documentada y probada: Conmutación LAN y VLAN.</x:v>
      </x:c>
      <x:c r="Q119" s="366" t="str">
        <x:v>S03; S04; S17; S18; S27</x:v>
      </x:c>
      <x:c r="R119" s="366" t="str">
        <x:v>No iniciado</x:v>
      </x:c>
      <x:c r="S119" s="369" t="n">
        <x:v>0</x:v>
      </x:c>
      <x:c r="T119" s="370"/>
      <x:c r="U119" s="370"/>
      <x:c r="V119" s="366" t="str">
        <x:v>Integra telegrafía, telefonía, conmutación de paquetes, Internet, virtualización y nube.</x:v>
      </x:c>
      <x:c r="W119" s="366" t="str">
        <x:v>Muy alta: fundamento durable</x:v>
      </x:c>
      <x:c r="X119" s="366" t="str">
        <x:v>Transversal permanente</x:v>
      </x:c>
      <x:c r="Y119" s="366" t="str">
        <x:v>Consolidada</x:v>
      </x:c>
      <x:c r="Z119" s="366" t="str">
        <x:v>24 meses</x:v>
      </x:c>
      <x:c r="AA119" s="366" t="str">
        <x:v>5G-Advanced, IMT-2030/6G, edge, redes no terrestres, nube soberana y operación autónoma.</x:v>
      </x:c>
    </x:row>
    <x:row r="120" ht="58" customHeight="1">
      <x:c r="A120" s="351" t="str">
        <x:v>NET-004</x:v>
      </x:c>
      <x:c r="B120" s="351" t="n">
        <x:v>2</x:v>
      </x:c>
      <x:c r="C120" s="351" t="str">
        <x:v>Núcleo computacional</x:v>
      </x:c>
      <x:c r="D120" s="351" t="str">
        <x:v>Redes y telecomunicaciones</x:v>
      </x:c>
      <x:c r="E120" s="351" t="str">
        <x:v>Redes, telecom y cloud</x:v>
      </x:c>
      <x:c r="F120" s="351" t="str">
        <x:v>Enrutamiento IP</x:v>
      </x:c>
      <x:c r="G120" s="351" t="str">
        <x:v>Enrutamiento IP. Diseño, configuración, medición, automatización, disponibilidad y seguridad.</x:v>
      </x:c>
      <x:c r="H120" s="351" t="str">
        <x:v>NET-003</x:v>
      </x:c>
      <x:c r="I120" s="351" t="str">
        <x:v>Núcleo esencial</x:v>
      </x:c>
      <x:c r="J120" s="351" t="n">
        <x:v>1</x:v>
      </x:c>
      <x:c r="K120" s="351" t="n">
        <x:v>36</x:v>
      </x:c>
      <x:c r="L120" s="351" t="n">
        <x:v>42</x:v>
      </x:c>
      <x:c r="M120" s="351" t="n">
        <x:v>22</x:v>
      </x:c>
      <x:c r="N120" s="352" t="n">
        <x:f>SUM(K120:M120)</x:f>
        <x:v>100</x:v>
      </x:c>
      <x:c r="O120" s="353" t="n">
        <x:f>N120/25</x:f>
        <x:v>4</x:v>
      </x:c>
      <x:c r="P120" s="351" t="str">
        <x:v>Topología documentada y probada: Enrutamiento IP.</x:v>
      </x:c>
      <x:c r="Q120" s="351" t="str">
        <x:v>S03; S04; S17; S18; S27</x:v>
      </x:c>
      <x:c r="R120" s="351" t="str">
        <x:v>No iniciado</x:v>
      </x:c>
      <x:c r="S120" s="354" t="n">
        <x:v>0</x:v>
      </x:c>
      <x:c r="T120" s="355"/>
      <x:c r="U120" s="355"/>
      <x:c r="V120" s="351" t="str">
        <x:v>Integra telegrafía, telefonía, conmutación de paquetes, Internet, virtualización y nube.</x:v>
      </x:c>
      <x:c r="W120" s="351" t="str">
        <x:v>Muy alta: fundamento durable</x:v>
      </x:c>
      <x:c r="X120" s="351" t="str">
        <x:v>Transversal permanente</x:v>
      </x:c>
      <x:c r="Y120" s="351" t="str">
        <x:v>Consolidada</x:v>
      </x:c>
      <x:c r="Z120" s="351" t="str">
        <x:v>24 meses</x:v>
      </x:c>
      <x:c r="AA120" s="351" t="str">
        <x:v>5G-Advanced, IMT-2030/6G, edge, redes no terrestres, nube soberana y operación autónoma.</x:v>
      </x:c>
    </x:row>
    <x:row r="121" ht="58" customHeight="1">
      <x:c r="A121" s="366" t="str">
        <x:v>NET-005</x:v>
      </x:c>
      <x:c r="B121" s="366" t="n">
        <x:v>2</x:v>
      </x:c>
      <x:c r="C121" s="366" t="str">
        <x:v>Núcleo computacional</x:v>
      </x:c>
      <x:c r="D121" s="366" t="str">
        <x:v>Redes y telecomunicaciones</x:v>
      </x:c>
      <x:c r="E121" s="366" t="str">
        <x:v>Redes, telecom y cloud</x:v>
      </x:c>
      <x:c r="F121" s="366" t="str">
        <x:v>Servicios de red</x:v>
      </x:c>
      <x:c r="G121" s="366" t="str">
        <x:v>Servicios de red. Diseño, configuración, medición, automatización, disponibilidad y seguridad.</x:v>
      </x:c>
      <x:c r="H121" s="366" t="str">
        <x:v>NET-004</x:v>
      </x:c>
      <x:c r="I121" s="366" t="str">
        <x:v>Núcleo esencial</x:v>
      </x:c>
      <x:c r="J121" s="366" t="n">
        <x:v>1</x:v>
      </x:c>
      <x:c r="K121" s="366" t="n">
        <x:v>36</x:v>
      </x:c>
      <x:c r="L121" s="366" t="n">
        <x:v>42</x:v>
      </x:c>
      <x:c r="M121" s="366" t="n">
        <x:v>22</x:v>
      </x:c>
      <x:c r="N121" s="367" t="n">
        <x:f>SUM(K121:M121)</x:f>
        <x:v>100</x:v>
      </x:c>
      <x:c r="O121" s="368" t="n">
        <x:f>N121/25</x:f>
        <x:v>4</x:v>
      </x:c>
      <x:c r="P121" s="366" t="str">
        <x:v>Topología documentada y probada: Servicios de red.</x:v>
      </x:c>
      <x:c r="Q121" s="366" t="str">
        <x:v>S03; S04; S17; S18; S27</x:v>
      </x:c>
      <x:c r="R121" s="366" t="str">
        <x:v>No iniciado</x:v>
      </x:c>
      <x:c r="S121" s="369" t="n">
        <x:v>0</x:v>
      </x:c>
      <x:c r="T121" s="370"/>
      <x:c r="U121" s="370"/>
      <x:c r="V121" s="366" t="str">
        <x:v>Integra telegrafía, telefonía, conmutación de paquetes, Internet, virtualización y nube.</x:v>
      </x:c>
      <x:c r="W121" s="366" t="str">
        <x:v>Muy alta: fundamento durable</x:v>
      </x:c>
      <x:c r="X121" s="366" t="str">
        <x:v>Transversal permanente</x:v>
      </x:c>
      <x:c r="Y121" s="366" t="str">
        <x:v>Consolidada</x:v>
      </x:c>
      <x:c r="Z121" s="366" t="str">
        <x:v>24 meses</x:v>
      </x:c>
      <x:c r="AA121" s="366" t="str">
        <x:v>5G-Advanced, IMT-2030/6G, edge, redes no terrestres, nube soberana y operación autónoma.</x:v>
      </x:c>
    </x:row>
    <x:row r="122" ht="58" customHeight="1">
      <x:c r="A122" s="351" t="str">
        <x:v>NET-006</x:v>
      </x:c>
      <x:c r="B122" s="351" t="n">
        <x:v>2</x:v>
      </x:c>
      <x:c r="C122" s="351" t="str">
        <x:v>Núcleo computacional</x:v>
      </x:c>
      <x:c r="D122" s="351" t="str">
        <x:v>Redes y telecomunicaciones</x:v>
      </x:c>
      <x:c r="E122" s="351" t="str">
        <x:v>Redes, telecom y cloud</x:v>
      </x:c>
      <x:c r="F122" s="351" t="str">
        <x:v>Redes inalámbricas</x:v>
      </x:c>
      <x:c r="G122" s="351" t="str">
        <x:v>Redes inalámbricas. Diseño, configuración, medición, automatización, disponibilidad y seguridad.</x:v>
      </x:c>
      <x:c r="H122" s="351" t="str">
        <x:v>NET-005</x:v>
      </x:c>
      <x:c r="I122" s="351" t="str">
        <x:v>Núcleo esencial</x:v>
      </x:c>
      <x:c r="J122" s="351" t="n">
        <x:v>1</x:v>
      </x:c>
      <x:c r="K122" s="351" t="n">
        <x:v>36</x:v>
      </x:c>
      <x:c r="L122" s="351" t="n">
        <x:v>42</x:v>
      </x:c>
      <x:c r="M122" s="351" t="n">
        <x:v>22</x:v>
      </x:c>
      <x:c r="N122" s="352" t="n">
        <x:f>SUM(K122:M122)</x:f>
        <x:v>100</x:v>
      </x:c>
      <x:c r="O122" s="353" t="n">
        <x:f>N122/25</x:f>
        <x:v>4</x:v>
      </x:c>
      <x:c r="P122" s="351" t="str">
        <x:v>Topología documentada y probada: Redes inalámbricas.</x:v>
      </x:c>
      <x:c r="Q122" s="351" t="str">
        <x:v>S03; S04; S17; S18; S27</x:v>
      </x:c>
      <x:c r="R122" s="351" t="str">
        <x:v>No iniciado</x:v>
      </x:c>
      <x:c r="S122" s="354" t="n">
        <x:v>0</x:v>
      </x:c>
      <x:c r="T122" s="355"/>
      <x:c r="U122" s="355"/>
      <x:c r="V122" s="351" t="str">
        <x:v>Integra telegrafía, telefonía, conmutación de paquetes, Internet, virtualización y nube.</x:v>
      </x:c>
      <x:c r="W122" s="351" t="str">
        <x:v>Muy alta: fundamento durable</x:v>
      </x:c>
      <x:c r="X122" s="351" t="str">
        <x:v>Transversal permanente</x:v>
      </x:c>
      <x:c r="Y122" s="351" t="str">
        <x:v>Consolidada</x:v>
      </x:c>
      <x:c r="Z122" s="351" t="str">
        <x:v>24 meses</x:v>
      </x:c>
      <x:c r="AA122" s="351" t="str">
        <x:v>5G-Advanced, IMT-2030/6G, edge, redes no terrestres, nube soberana y operación autónoma.</x:v>
      </x:c>
    </x:row>
    <x:row r="123" ht="58" customHeight="1">
      <x:c r="A123" s="366" t="str">
        <x:v>ISM-001</x:v>
      </x:c>
      <x:c r="B123" s="366" t="n">
        <x:v>2</x:v>
      </x:c>
      <x:c r="C123" s="366" t="str">
        <x:v>Núcleo computacional</x:v>
      </x:c>
      <x:c r="D123" s="366" t="str">
        <x:v>Sistemas empresariales y gestión</x:v>
      </x:c>
      <x:c r="E123" s="366" t="str">
        <x:v>Sistemas de información y gestión TI</x:v>
      </x:c>
      <x:c r="F123" s="366" t="str">
        <x:v>Fundamentos de sistemas de información</x:v>
      </x:c>
      <x:c r="G123" s="366" t="str">
        <x:v>Fundamentos de sistemas de información. Alineación negocio–tecnología, procesos, arquitectura, control, servicio y transformación.</x:v>
      </x:c>
      <x:c r="H123" s="366" t="str">
        <x:v>DAI-001</x:v>
      </x:c>
      <x:c r="I123" s="366" t="str">
        <x:v>Dominio profesional</x:v>
      </x:c>
      <x:c r="J123" s="366" t="n">
        <x:v>2</x:v>
      </x:c>
      <x:c r="K123" s="366" t="n">
        <x:v>28</x:v>
      </x:c>
      <x:c r="L123" s="366" t="n">
        <x:v>36</x:v>
      </x:c>
      <x:c r="M123" s="366" t="n">
        <x:v>20</x:v>
      </x:c>
      <x:c r="N123" s="367" t="n">
        <x:f>SUM(K123:M123)</x:f>
        <x:v>84</x:v>
      </x:c>
      <x:c r="O123" s="368" t="n">
        <x:f>N123/25</x:f>
        <x:v>3.36</x:v>
      </x:c>
      <x:c r="P123" s="366" t="str">
        <x:v>Caso empresarial y arquitectura: Fundamentos de sistemas de información.</x:v>
      </x:c>
      <x:c r="Q123" s="366" t="str">
        <x:v>S02; S03; S05; S06; S22; S34</x:v>
      </x:c>
      <x:c r="R123" s="366" t="str">
        <x:v>No iniciado</x:v>
      </x:c>
      <x:c r="S123" s="369" t="n">
        <x:v>0</x:v>
      </x:c>
      <x:c r="T123" s="370"/>
      <x:c r="U123" s="370"/>
      <x:c r="V123" s="366" t="str">
        <x:v>Evoluciona desde contabilidad y procesamiento de datos hacia ERP, plataformas y gobierno digital.</x:v>
      </x:c>
      <x:c r="W123" s="366" t="str">
        <x:v>Alta: práctica vigente</x:v>
      </x:c>
      <x:c r="X123" s="366" t="str">
        <x:v>Presente 2026 y corto (2027–2029)</x:v>
      </x:c>
      <x:c r="Y123" s="366" t="str">
        <x:v>Actual</x:v>
      </x:c>
      <x:c r="Z123" s="366" t="str">
        <x:v>12 meses</x:v>
      </x:c>
      <x:c r="AA123" s="366" t="str">
        <x:v>AIOps, FinOps/GreenOps, process mining, organizaciones aumentadas y gobierno de agentes.</x:v>
      </x:c>
    </x:row>
    <x:row r="124" ht="58" customHeight="1">
      <x:c r="A124" s="351" t="str">
        <x:v>ISM-002</x:v>
      </x:c>
      <x:c r="B124" s="351" t="n">
        <x:v>2</x:v>
      </x:c>
      <x:c r="C124" s="351" t="str">
        <x:v>Núcleo computacional</x:v>
      </x:c>
      <x:c r="D124" s="351" t="str">
        <x:v>Sistemas empresariales y gestión</x:v>
      </x:c>
      <x:c r="E124" s="351" t="str">
        <x:v>Sistemas de información y gestión TI</x:v>
      </x:c>
      <x:c r="F124" s="351" t="str">
        <x:v>Análisis de sistemas</x:v>
      </x:c>
      <x:c r="G124" s="351" t="str">
        <x:v>Análisis de sistemas. Alineación negocio–tecnología, procesos, arquitectura, control, servicio y transformación.</x:v>
      </x:c>
      <x:c r="H124" s="351" t="str">
        <x:v>ISM-001</x:v>
      </x:c>
      <x:c r="I124" s="351" t="str">
        <x:v>Dominio profesional</x:v>
      </x:c>
      <x:c r="J124" s="351" t="n">
        <x:v>2</x:v>
      </x:c>
      <x:c r="K124" s="351" t="n">
        <x:v>28</x:v>
      </x:c>
      <x:c r="L124" s="351" t="n">
        <x:v>36</x:v>
      </x:c>
      <x:c r="M124" s="351" t="n">
        <x:v>20</x:v>
      </x:c>
      <x:c r="N124" s="352" t="n">
        <x:f>SUM(K124:M124)</x:f>
        <x:v>84</x:v>
      </x:c>
      <x:c r="O124" s="353" t="n">
        <x:f>N124/25</x:f>
        <x:v>3.36</x:v>
      </x:c>
      <x:c r="P124" s="351" t="str">
        <x:v>Caso empresarial y arquitectura: Análisis de sistemas.</x:v>
      </x:c>
      <x:c r="Q124" s="351" t="str">
        <x:v>S02; S03; S05; S06; S22; S34</x:v>
      </x:c>
      <x:c r="R124" s="351" t="str">
        <x:v>No iniciado</x:v>
      </x:c>
      <x:c r="S124" s="354" t="n">
        <x:v>0</x:v>
      </x:c>
      <x:c r="T124" s="355"/>
      <x:c r="U124" s="355"/>
      <x:c r="V124" s="351" t="str">
        <x:v>Evoluciona desde contabilidad y procesamiento de datos hacia ERP, plataformas y gobierno digital.</x:v>
      </x:c>
      <x:c r="W124" s="351" t="str">
        <x:v>Alta: práctica vigente</x:v>
      </x:c>
      <x:c r="X124" s="351" t="str">
        <x:v>Presente 2026 y corto (2027–2029)</x:v>
      </x:c>
      <x:c r="Y124" s="351" t="str">
        <x:v>Actual</x:v>
      </x:c>
      <x:c r="Z124" s="351" t="str">
        <x:v>12 meses</x:v>
      </x:c>
      <x:c r="AA124" s="351" t="str">
        <x:v>AIOps, FinOps/GreenOps, process mining, organizaciones aumentadas y gobierno de agentes.</x:v>
      </x:c>
    </x:row>
    <x:row r="125" ht="58" customHeight="1">
      <x:c r="A125" s="366" t="str">
        <x:v>ISM-003</x:v>
      </x:c>
      <x:c r="B125" s="366" t="n">
        <x:v>2</x:v>
      </x:c>
      <x:c r="C125" s="366" t="str">
        <x:v>Núcleo computacional</x:v>
      </x:c>
      <x:c r="D125" s="366" t="str">
        <x:v>Sistemas empresariales y gestión</x:v>
      </x:c>
      <x:c r="E125" s="366" t="str">
        <x:v>Sistemas de información y gestión TI</x:v>
      </x:c>
      <x:c r="F125" s="366" t="str">
        <x:v>Modelado de procesos con BPMN</x:v>
      </x:c>
      <x:c r="G125" s="366" t="str">
        <x:v>Modelado de procesos con BPMN. Alineación negocio–tecnología, procesos, arquitectura, control, servicio y transformación.</x:v>
      </x:c>
      <x:c r="H125" s="366" t="str">
        <x:v>ISM-002</x:v>
      </x:c>
      <x:c r="I125" s="366" t="str">
        <x:v>Dominio profesional</x:v>
      </x:c>
      <x:c r="J125" s="366" t="n">
        <x:v>2</x:v>
      </x:c>
      <x:c r="K125" s="366" t="n">
        <x:v>28</x:v>
      </x:c>
      <x:c r="L125" s="366" t="n">
        <x:v>36</x:v>
      </x:c>
      <x:c r="M125" s="366" t="n">
        <x:v>20</x:v>
      </x:c>
      <x:c r="N125" s="367" t="n">
        <x:f>SUM(K125:M125)</x:f>
        <x:v>84</x:v>
      </x:c>
      <x:c r="O125" s="368" t="n">
        <x:f>N125/25</x:f>
        <x:v>3.36</x:v>
      </x:c>
      <x:c r="P125" s="366" t="str">
        <x:v>Caso empresarial y arquitectura: Modelado de procesos con BPMN.</x:v>
      </x:c>
      <x:c r="Q125" s="366" t="str">
        <x:v>S02; S03; S05; S06; S22; S34</x:v>
      </x:c>
      <x:c r="R125" s="366" t="str">
        <x:v>No iniciado</x:v>
      </x:c>
      <x:c r="S125" s="369" t="n">
        <x:v>0</x:v>
      </x:c>
      <x:c r="T125" s="370"/>
      <x:c r="U125" s="370"/>
      <x:c r="V125" s="366" t="str">
        <x:v>Evoluciona desde contabilidad y procesamiento de datos hacia ERP, plataformas y gobierno digital.</x:v>
      </x:c>
      <x:c r="W125" s="366" t="str">
        <x:v>Alta: práctica vigente</x:v>
      </x:c>
      <x:c r="X125" s="366" t="str">
        <x:v>Presente 2026 y corto (2027–2029)</x:v>
      </x:c>
      <x:c r="Y125" s="366" t="str">
        <x:v>Actual</x:v>
      </x:c>
      <x:c r="Z125" s="366" t="str">
        <x:v>12 meses</x:v>
      </x:c>
      <x:c r="AA125" s="366" t="str">
        <x:v>AIOps, FinOps/GreenOps, process mining, organizaciones aumentadas y gobierno de agentes.</x:v>
      </x:c>
    </x:row>
    <x:row r="126" ht="58" customHeight="1">
      <x:c r="A126" s="351" t="str">
        <x:v>ISM-004</x:v>
      </x:c>
      <x:c r="B126" s="351" t="n">
        <x:v>2</x:v>
      </x:c>
      <x:c r="C126" s="351" t="str">
        <x:v>Núcleo computacional</x:v>
      </x:c>
      <x:c r="D126" s="351" t="str">
        <x:v>Sistemas empresariales y gestión</x:v>
      </x:c>
      <x:c r="E126" s="351" t="str">
        <x:v>Sistemas de información y gestión TI</x:v>
      </x:c>
      <x:c r="F126" s="351" t="str">
        <x:v>Análisis de negocio</x:v>
      </x:c>
      <x:c r="G126" s="351" t="str">
        <x:v>Análisis de negocio. Alineación negocio–tecnología, procesos, arquitectura, control, servicio y transformación.</x:v>
      </x:c>
      <x:c r="H126" s="351" t="str">
        <x:v>ISM-003</x:v>
      </x:c>
      <x:c r="I126" s="351" t="str">
        <x:v>Dominio profesional</x:v>
      </x:c>
      <x:c r="J126" s="351" t="n">
        <x:v>2</x:v>
      </x:c>
      <x:c r="K126" s="351" t="n">
        <x:v>28</x:v>
      </x:c>
      <x:c r="L126" s="351" t="n">
        <x:v>36</x:v>
      </x:c>
      <x:c r="M126" s="351" t="n">
        <x:v>20</x:v>
      </x:c>
      <x:c r="N126" s="352" t="n">
        <x:f>SUM(K126:M126)</x:f>
        <x:v>84</x:v>
      </x:c>
      <x:c r="O126" s="353" t="n">
        <x:f>N126/25</x:f>
        <x:v>3.36</x:v>
      </x:c>
      <x:c r="P126" s="351" t="str">
        <x:v>Caso empresarial y arquitectura: Análisis de negocio.</x:v>
      </x:c>
      <x:c r="Q126" s="351" t="str">
        <x:v>S02; S03; S05; S06; S22; S34</x:v>
      </x:c>
      <x:c r="R126" s="351" t="str">
        <x:v>No iniciado</x:v>
      </x:c>
      <x:c r="S126" s="354" t="n">
        <x:v>0</x:v>
      </x:c>
      <x:c r="T126" s="355"/>
      <x:c r="U126" s="355"/>
      <x:c r="V126" s="351" t="str">
        <x:v>Evoluciona desde contabilidad y procesamiento de datos hacia ERP, plataformas y gobierno digital.</x:v>
      </x:c>
      <x:c r="W126" s="351" t="str">
        <x:v>Alta: práctica vigente</x:v>
      </x:c>
      <x:c r="X126" s="351" t="str">
        <x:v>Presente 2026 y corto (2027–2029)</x:v>
      </x:c>
      <x:c r="Y126" s="351" t="str">
        <x:v>Actual</x:v>
      </x:c>
      <x:c r="Z126" s="351" t="str">
        <x:v>12 meses</x:v>
      </x:c>
      <x:c r="AA126" s="351" t="str">
        <x:v>AIOps, FinOps/GreenOps, process mining, organizaciones aumentadas y gobierno de agentes.</x:v>
      </x:c>
    </x:row>
    <x:row r="127" ht="58" customHeight="1">
      <x:c r="A127" s="366" t="str">
        <x:v>ISM-005</x:v>
      </x:c>
      <x:c r="B127" s="366" t="n">
        <x:v>2</x:v>
      </x:c>
      <x:c r="C127" s="366" t="str">
        <x:v>Núcleo computacional</x:v>
      </x:c>
      <x:c r="D127" s="366" t="str">
        <x:v>Sistemas empresariales y gestión</x:v>
      </x:c>
      <x:c r="E127" s="366" t="str">
        <x:v>Sistemas de información y gestión TI</x:v>
      </x:c>
      <x:c r="F127" s="366" t="str">
        <x:v>Contabilidad y finanzas para TI</x:v>
      </x:c>
      <x:c r="G127" s="366" t="str">
        <x:v>Contabilidad y finanzas para TI. Alineación negocio–tecnología, procesos, arquitectura, control, servicio y transformación.</x:v>
      </x:c>
      <x:c r="H127" s="366" t="str">
        <x:v>ISM-004</x:v>
      </x:c>
      <x:c r="I127" s="366" t="str">
        <x:v>Dominio profesional</x:v>
      </x:c>
      <x:c r="J127" s="366" t="n">
        <x:v>2</x:v>
      </x:c>
      <x:c r="K127" s="366" t="n">
        <x:v>28</x:v>
      </x:c>
      <x:c r="L127" s="366" t="n">
        <x:v>36</x:v>
      </x:c>
      <x:c r="M127" s="366" t="n">
        <x:v>20</x:v>
      </x:c>
      <x:c r="N127" s="367" t="n">
        <x:f>SUM(K127:M127)</x:f>
        <x:v>84</x:v>
      </x:c>
      <x:c r="O127" s="368" t="n">
        <x:f>N127/25</x:f>
        <x:v>3.36</x:v>
      </x:c>
      <x:c r="P127" s="366" t="str">
        <x:v>Caso empresarial y arquitectura: Contabilidad y finanzas para TI.</x:v>
      </x:c>
      <x:c r="Q127" s="366" t="str">
        <x:v>S02; S03; S05; S06; S22; S34</x:v>
      </x:c>
      <x:c r="R127" s="366" t="str">
        <x:v>No iniciado</x:v>
      </x:c>
      <x:c r="S127" s="369" t="n">
        <x:v>0</x:v>
      </x:c>
      <x:c r="T127" s="370"/>
      <x:c r="U127" s="370"/>
      <x:c r="V127" s="366" t="str">
        <x:v>Evoluciona desde contabilidad y procesamiento de datos hacia ERP, plataformas y gobierno digital.</x:v>
      </x:c>
      <x:c r="W127" s="366" t="str">
        <x:v>Alta: práctica vigente</x:v>
      </x:c>
      <x:c r="X127" s="366" t="str">
        <x:v>Presente 2026 y corto (2027–2029)</x:v>
      </x:c>
      <x:c r="Y127" s="366" t="str">
        <x:v>Actual</x:v>
      </x:c>
      <x:c r="Z127" s="366" t="str">
        <x:v>12 meses</x:v>
      </x:c>
      <x:c r="AA127" s="366" t="str">
        <x:v>AIOps, FinOps/GreenOps, process mining, organizaciones aumentadas y gobierno de agentes.</x:v>
      </x:c>
    </x:row>
    <x:row r="128" ht="58" customHeight="1">
      <x:c r="A128" s="351" t="str">
        <x:v>ISM-006</x:v>
      </x:c>
      <x:c r="B128" s="351" t="n">
        <x:v>2</x:v>
      </x:c>
      <x:c r="C128" s="351" t="str">
        <x:v>Núcleo computacional</x:v>
      </x:c>
      <x:c r="D128" s="351" t="str">
        <x:v>Sistemas empresariales y gestión</x:v>
      </x:c>
      <x:c r="E128" s="351" t="str">
        <x:v>Sistemas de información y gestión TI</x:v>
      </x:c>
      <x:c r="F128" s="351" t="str">
        <x:v>Administración y comportamiento organizacional</x:v>
      </x:c>
      <x:c r="G128" s="351" t="str">
        <x:v>Administración y comportamiento organizacional. Alineación negocio–tecnología, procesos, arquitectura, control, servicio y transformación.</x:v>
      </x:c>
      <x:c r="H128" s="351" t="str">
        <x:v>ISM-005</x:v>
      </x:c>
      <x:c r="I128" s="351" t="str">
        <x:v>Dominio profesional</x:v>
      </x:c>
      <x:c r="J128" s="351" t="n">
        <x:v>2</x:v>
      </x:c>
      <x:c r="K128" s="351" t="n">
        <x:v>28</x:v>
      </x:c>
      <x:c r="L128" s="351" t="n">
        <x:v>36</x:v>
      </x:c>
      <x:c r="M128" s="351" t="n">
        <x:v>20</x:v>
      </x:c>
      <x:c r="N128" s="352" t="n">
        <x:f>SUM(K128:M128)</x:f>
        <x:v>84</x:v>
      </x:c>
      <x:c r="O128" s="353" t="n">
        <x:f>N128/25</x:f>
        <x:v>3.36</x:v>
      </x:c>
      <x:c r="P128" s="351" t="str">
        <x:v>Caso empresarial y arquitectura: Administración y comportamiento organizacional.</x:v>
      </x:c>
      <x:c r="Q128" s="351" t="str">
        <x:v>S02; S03; S05; S06; S22; S34</x:v>
      </x:c>
      <x:c r="R128" s="351" t="str">
        <x:v>No iniciado</x:v>
      </x:c>
      <x:c r="S128" s="354" t="n">
        <x:v>0</x:v>
      </x:c>
      <x:c r="T128" s="355"/>
      <x:c r="U128" s="355"/>
      <x:c r="V128" s="351" t="str">
        <x:v>Evoluciona desde contabilidad y procesamiento de datos hacia ERP, plataformas y gobierno digital.</x:v>
      </x:c>
      <x:c r="W128" s="351" t="str">
        <x:v>Alta: práctica vigente</x:v>
      </x:c>
      <x:c r="X128" s="351" t="str">
        <x:v>Presente 2026 y corto (2027–2029)</x:v>
      </x:c>
      <x:c r="Y128" s="351" t="str">
        <x:v>Actual</x:v>
      </x:c>
      <x:c r="Z128" s="351" t="str">
        <x:v>12 meses</x:v>
      </x:c>
      <x:c r="AA128" s="351" t="str">
        <x:v>AIOps, FinOps/GreenOps, process mining, organizaciones aumentadas y gobierno de agentes.</x:v>
      </x:c>
    </x:row>
    <x:row r="129" ht="58" customHeight="1">
      <x:c r="A129" s="366" t="str">
        <x:v>ISM-007</x:v>
      </x:c>
      <x:c r="B129" s="366" t="n">
        <x:v>2</x:v>
      </x:c>
      <x:c r="C129" s="366" t="str">
        <x:v>Núcleo computacional</x:v>
      </x:c>
      <x:c r="D129" s="366" t="str">
        <x:v>Sistemas empresariales y gestión</x:v>
      </x:c>
      <x:c r="E129" s="366" t="str">
        <x:v>Sistemas de información y gestión TI</x:v>
      </x:c>
      <x:c r="F129" s="366" t="str">
        <x:v>Marketing digital y analítica</x:v>
      </x:c>
      <x:c r="G129" s="366" t="str">
        <x:v>Marketing digital y analítica. Alineación negocio–tecnología, procesos, arquitectura, control, servicio y transformación.</x:v>
      </x:c>
      <x:c r="H129" s="366" t="str">
        <x:v>ISM-006</x:v>
      </x:c>
      <x:c r="I129" s="366" t="str">
        <x:v>Dominio profesional</x:v>
      </x:c>
      <x:c r="J129" s="366" t="n">
        <x:v>2</x:v>
      </x:c>
      <x:c r="K129" s="366" t="n">
        <x:v>28</x:v>
      </x:c>
      <x:c r="L129" s="366" t="n">
        <x:v>36</x:v>
      </x:c>
      <x:c r="M129" s="366" t="n">
        <x:v>20</x:v>
      </x:c>
      <x:c r="N129" s="367" t="n">
        <x:f>SUM(K129:M129)</x:f>
        <x:v>84</x:v>
      </x:c>
      <x:c r="O129" s="368" t="n">
        <x:f>N129/25</x:f>
        <x:v>3.36</x:v>
      </x:c>
      <x:c r="P129" s="366" t="str">
        <x:v>Caso empresarial y arquitectura: Marketing digital y analítica.</x:v>
      </x:c>
      <x:c r="Q129" s="366" t="str">
        <x:v>S02; S03; S05; S06; S22; S34</x:v>
      </x:c>
      <x:c r="R129" s="366" t="str">
        <x:v>No iniciado</x:v>
      </x:c>
      <x:c r="S129" s="369" t="n">
        <x:v>0</x:v>
      </x:c>
      <x:c r="T129" s="370"/>
      <x:c r="U129" s="370"/>
      <x:c r="V129" s="366" t="str">
        <x:v>Evoluciona desde contabilidad y procesamiento de datos hacia ERP, plataformas y gobierno digital.</x:v>
      </x:c>
      <x:c r="W129" s="366" t="str">
        <x:v>Alta: práctica vigente</x:v>
      </x:c>
      <x:c r="X129" s="366" t="str">
        <x:v>Presente 2026 y corto (2027–2029)</x:v>
      </x:c>
      <x:c r="Y129" s="366" t="str">
        <x:v>Actual</x:v>
      </x:c>
      <x:c r="Z129" s="366" t="str">
        <x:v>12 meses</x:v>
      </x:c>
      <x:c r="AA129" s="366" t="str">
        <x:v>AIOps, FinOps/GreenOps, process mining, organizaciones aumentadas y gobierno de agentes.</x:v>
      </x:c>
    </x:row>
    <x:row r="130" ht="58" customHeight="1">
      <x:c r="A130" s="351" t="str">
        <x:v>SYS-001</x:v>
      </x:c>
      <x:c r="B130" s="351" t="n">
        <x:v>2</x:v>
      </x:c>
      <x:c r="C130" s="351" t="str">
        <x:v>Núcleo computacional</x:v>
      </x:c>
      <x:c r="D130" s="351" t="str">
        <x:v>Sistemas computacionales</x:v>
      </x:c>
      <x:c r="E130" s="351" t="str">
        <x:v>Sistemas y arquitectura</x:v>
      </x:c>
      <x:c r="F130" s="351" t="str">
        <x:v>Lógica digital para computación</x:v>
      </x:c>
      <x:c r="G130" s="351" t="str">
        <x:v>Lógica digital para computación. Funcionamiento interno, diseño, medición de rendimiento y laboratorios reproducibles.</x:v>
      </x:c>
      <x:c r="H130" s="351" t="str">
        <x:v>CST-003</x:v>
      </x:c>
      <x:c r="I130" s="351" t="str">
        <x:v>Núcleo esencial</x:v>
      </x:c>
      <x:c r="J130" s="351" t="n">
        <x:v>1</x:v>
      </x:c>
      <x:c r="K130" s="351" t="n">
        <x:v>36</x:v>
      </x:c>
      <x:c r="L130" s="351" t="n">
        <x:v>42</x:v>
      </x:c>
      <x:c r="M130" s="351" t="n">
        <x:v>22</x:v>
      </x:c>
      <x:c r="N130" s="352" t="n">
        <x:f>SUM(K130:M130)</x:f>
        <x:v>100</x:v>
      </x:c>
      <x:c r="O130" s="353" t="n">
        <x:f>N130/25</x:f>
        <x:v>4</x:v>
      </x:c>
      <x:c r="P130" s="351" t="str">
        <x:v>Laboratorio de sistema: Lógica digital para computación.</x:v>
      </x:c>
      <x:c r="Q130" s="351" t="str">
        <x:v>S01; S02; S09; S13; S16; S17; S20</x:v>
      </x:c>
      <x:c r="R130" s="351" t="str">
        <x:v>No iniciado</x:v>
      </x:c>
      <x:c r="S130" s="354" t="n">
        <x:v>0</x:v>
      </x:c>
      <x:c r="T130" s="355"/>
      <x:c r="U130" s="355"/>
      <x:c r="V130" s="351" t="str">
        <x:v>Evoluciona desde relés y válvulas hacia transistores, circuitos integrados y sistemas heterogéneos.</x:v>
      </x:c>
      <x:c r="W130" s="351" t="str">
        <x:v>Muy alta: fundamento durable</x:v>
      </x:c>
      <x:c r="X130" s="351" t="str">
        <x:v>Transversal permanente</x:v>
      </x:c>
      <x:c r="Y130" s="351" t="str">
        <x:v>Consolidada</x:v>
      </x:c>
      <x:c r="Z130" s="351" t="str">
        <x:v>24 meses</x:v>
      </x:c>
      <x:c r="AA130" s="351" t="str">
        <x:v>Chiplets, RISC-V, memoria desagregada, aceleradores, fotónica, neuromórfica y eficiencia energética.</x:v>
      </x:c>
    </x:row>
    <x:row r="131" ht="58" customHeight="1">
      <x:c r="A131" s="366" t="str">
        <x:v>SYS-002</x:v>
      </x:c>
      <x:c r="B131" s="366" t="n">
        <x:v>2</x:v>
      </x:c>
      <x:c r="C131" s="366" t="str">
        <x:v>Núcleo computacional</x:v>
      </x:c>
      <x:c r="D131" s="366" t="str">
        <x:v>Sistemas computacionales</x:v>
      </x:c>
      <x:c r="E131" s="366" t="str">
        <x:v>Sistemas y arquitectura</x:v>
      </x:c>
      <x:c r="F131" s="366" t="str">
        <x:v>Organización de computadores</x:v>
      </x:c>
      <x:c r="G131" s="366" t="str">
        <x:v>Organización de computadores. Funcionamiento interno, diseño, medición de rendimiento y laboratorios reproducibles.</x:v>
      </x:c>
      <x:c r="H131" s="366" t="str">
        <x:v>SYS-001</x:v>
      </x:c>
      <x:c r="I131" s="366" t="str">
        <x:v>Núcleo esencial</x:v>
      </x:c>
      <x:c r="J131" s="366" t="n">
        <x:v>1</x:v>
      </x:c>
      <x:c r="K131" s="366" t="n">
        <x:v>36</x:v>
      </x:c>
      <x:c r="L131" s="366" t="n">
        <x:v>42</x:v>
      </x:c>
      <x:c r="M131" s="366" t="n">
        <x:v>22</x:v>
      </x:c>
      <x:c r="N131" s="367" t="n">
        <x:f>SUM(K131:M131)</x:f>
        <x:v>100</x:v>
      </x:c>
      <x:c r="O131" s="368" t="n">
        <x:f>N131/25</x:f>
        <x:v>4</x:v>
      </x:c>
      <x:c r="P131" s="366" t="str">
        <x:v>Laboratorio de sistema: Organización de computadores.</x:v>
      </x:c>
      <x:c r="Q131" s="366" t="str">
        <x:v>S01; S02; S09; S13; S16; S17; S20</x:v>
      </x:c>
      <x:c r="R131" s="366" t="str">
        <x:v>No iniciado</x:v>
      </x:c>
      <x:c r="S131" s="369" t="n">
        <x:v>0</x:v>
      </x:c>
      <x:c r="T131" s="370"/>
      <x:c r="U131" s="370"/>
      <x:c r="V131" s="366" t="str">
        <x:v>Evoluciona desde relés y válvulas hacia transistores, circuitos integrados y sistemas heterogéneos.</x:v>
      </x:c>
      <x:c r="W131" s="366" t="str">
        <x:v>Muy alta: fundamento durable</x:v>
      </x:c>
      <x:c r="X131" s="366" t="str">
        <x:v>Transversal permanente</x:v>
      </x:c>
      <x:c r="Y131" s="366" t="str">
        <x:v>Consolidada</x:v>
      </x:c>
      <x:c r="Z131" s="366" t="str">
        <x:v>24 meses</x:v>
      </x:c>
      <x:c r="AA131" s="366" t="str">
        <x:v>Chiplets, RISC-V, memoria desagregada, aceleradores, fotónica, neuromórfica y eficiencia energética.</x:v>
      </x:c>
    </x:row>
    <x:row r="132" ht="58" customHeight="1">
      <x:c r="A132" s="351" t="str">
        <x:v>SYS-003</x:v>
      </x:c>
      <x:c r="B132" s="351" t="n">
        <x:v>2</x:v>
      </x:c>
      <x:c r="C132" s="351" t="str">
        <x:v>Núcleo computacional</x:v>
      </x:c>
      <x:c r="D132" s="351" t="str">
        <x:v>Sistemas computacionales</x:v>
      </x:c>
      <x:c r="E132" s="351" t="str">
        <x:v>Sistemas y arquitectura</x:v>
      </x:c>
      <x:c r="F132" s="351" t="str">
        <x:v>Arquitectura de computadores</x:v>
      </x:c>
      <x:c r="G132" s="351" t="str">
        <x:v>Arquitectura de computadores. Funcionamiento interno, diseño, medición de rendimiento y laboratorios reproducibles.</x:v>
      </x:c>
      <x:c r="H132" s="351" t="str">
        <x:v>SYS-002</x:v>
      </x:c>
      <x:c r="I132" s="351" t="str">
        <x:v>Núcleo esencial</x:v>
      </x:c>
      <x:c r="J132" s="351" t="n">
        <x:v>1</x:v>
      </x:c>
      <x:c r="K132" s="351" t="n">
        <x:v>36</x:v>
      </x:c>
      <x:c r="L132" s="351" t="n">
        <x:v>42</x:v>
      </x:c>
      <x:c r="M132" s="351" t="n">
        <x:v>22</x:v>
      </x:c>
      <x:c r="N132" s="352" t="n">
        <x:f>SUM(K132:M132)</x:f>
        <x:v>100</x:v>
      </x:c>
      <x:c r="O132" s="353" t="n">
        <x:f>N132/25</x:f>
        <x:v>4</x:v>
      </x:c>
      <x:c r="P132" s="351" t="str">
        <x:v>Laboratorio de sistema: Arquitectura de computadores.</x:v>
      </x:c>
      <x:c r="Q132" s="351" t="str">
        <x:v>S01; S02; S09; S13; S16; S17; S20</x:v>
      </x:c>
      <x:c r="R132" s="351" t="str">
        <x:v>No iniciado</x:v>
      </x:c>
      <x:c r="S132" s="354" t="n">
        <x:v>0</x:v>
      </x:c>
      <x:c r="T132" s="355"/>
      <x:c r="U132" s="355"/>
      <x:c r="V132" s="351" t="str">
        <x:v>Evoluciona desde relés y válvulas hacia transistores, circuitos integrados y sistemas heterogéneos.</x:v>
      </x:c>
      <x:c r="W132" s="351" t="str">
        <x:v>Muy alta: fundamento durable</x:v>
      </x:c>
      <x:c r="X132" s="351" t="str">
        <x:v>Transversal permanente</x:v>
      </x:c>
      <x:c r="Y132" s="351" t="str">
        <x:v>Consolidada</x:v>
      </x:c>
      <x:c r="Z132" s="351" t="str">
        <x:v>24 meses</x:v>
      </x:c>
      <x:c r="AA132" s="351" t="str">
        <x:v>Chiplets, RISC-V, memoria desagregada, aceleradores, fotónica, neuromórfica y eficiencia energética.</x:v>
      </x:c>
    </x:row>
    <x:row r="133" ht="58" customHeight="1">
      <x:c r="A133" s="366" t="str">
        <x:v>SYS-004</x:v>
      </x:c>
      <x:c r="B133" s="366" t="n">
        <x:v>2</x:v>
      </x:c>
      <x:c r="C133" s="366" t="str">
        <x:v>Núcleo computacional</x:v>
      </x:c>
      <x:c r="D133" s="366" t="str">
        <x:v>Sistemas computacionales</x:v>
      </x:c>
      <x:c r="E133" s="366" t="str">
        <x:v>Sistemas y arquitectura</x:v>
      </x:c>
      <x:c r="F133" s="366" t="str">
        <x:v>Sistemas operativos I</x:v>
      </x:c>
      <x:c r="G133" s="366" t="str">
        <x:v>Sistemas operativos I. Funcionamiento interno, diseño, medición de rendimiento y laboratorios reproducibles.</x:v>
      </x:c>
      <x:c r="H133" s="366" t="str">
        <x:v>SYS-003</x:v>
      </x:c>
      <x:c r="I133" s="366" t="str">
        <x:v>Núcleo esencial</x:v>
      </x:c>
      <x:c r="J133" s="366" t="n">
        <x:v>1</x:v>
      </x:c>
      <x:c r="K133" s="366" t="n">
        <x:v>36</x:v>
      </x:c>
      <x:c r="L133" s="366" t="n">
        <x:v>42</x:v>
      </x:c>
      <x:c r="M133" s="366" t="n">
        <x:v>22</x:v>
      </x:c>
      <x:c r="N133" s="367" t="n">
        <x:f>SUM(K133:M133)</x:f>
        <x:v>100</x:v>
      </x:c>
      <x:c r="O133" s="368" t="n">
        <x:f>N133/25</x:f>
        <x:v>4</x:v>
      </x:c>
      <x:c r="P133" s="366" t="str">
        <x:v>Laboratorio de sistema: Sistemas operativos I.</x:v>
      </x:c>
      <x:c r="Q133" s="366" t="str">
        <x:v>S01; S02; S09; S13; S16; S17; S20</x:v>
      </x:c>
      <x:c r="R133" s="366" t="str">
        <x:v>No iniciado</x:v>
      </x:c>
      <x:c r="S133" s="369" t="n">
        <x:v>0</x:v>
      </x:c>
      <x:c r="T133" s="370"/>
      <x:c r="U133" s="370"/>
      <x:c r="V133" s="366" t="str">
        <x:v>Evoluciona desde relés y válvulas hacia transistores, circuitos integrados y sistemas heterogéneos.</x:v>
      </x:c>
      <x:c r="W133" s="366" t="str">
        <x:v>Muy alta: fundamento durable</x:v>
      </x:c>
      <x:c r="X133" s="366" t="str">
        <x:v>Transversal permanente</x:v>
      </x:c>
      <x:c r="Y133" s="366" t="str">
        <x:v>Consolidada</x:v>
      </x:c>
      <x:c r="Z133" s="366" t="str">
        <x:v>24 meses</x:v>
      </x:c>
      <x:c r="AA133" s="366" t="str">
        <x:v>Chiplets, RISC-V, memoria desagregada, aceleradores, fotónica, neuromórfica y eficiencia energética.</x:v>
      </x:c>
    </x:row>
    <x:row r="134" ht="58" customHeight="1">
      <x:c r="A134" s="351" t="str">
        <x:v>SYS-005</x:v>
      </x:c>
      <x:c r="B134" s="351" t="n">
        <x:v>2</x:v>
      </x:c>
      <x:c r="C134" s="351" t="str">
        <x:v>Núcleo computacional</x:v>
      </x:c>
      <x:c r="D134" s="351" t="str">
        <x:v>Sistemas computacionales</x:v>
      </x:c>
      <x:c r="E134" s="351" t="str">
        <x:v>Sistemas y arquitectura</x:v>
      </x:c>
      <x:c r="F134" s="351" t="str">
        <x:v>Sistemas operativos II</x:v>
      </x:c>
      <x:c r="G134" s="351" t="str">
        <x:v>Sistemas operativos II. Funcionamiento interno, diseño, medición de rendimiento y laboratorios reproducibles.</x:v>
      </x:c>
      <x:c r="H134" s="351" t="str">
        <x:v>SYS-004</x:v>
      </x:c>
      <x:c r="I134" s="351" t="str">
        <x:v>Núcleo esencial</x:v>
      </x:c>
      <x:c r="J134" s="351" t="n">
        <x:v>1</x:v>
      </x:c>
      <x:c r="K134" s="351" t="n">
        <x:v>36</x:v>
      </x:c>
      <x:c r="L134" s="351" t="n">
        <x:v>42</x:v>
      </x:c>
      <x:c r="M134" s="351" t="n">
        <x:v>22</x:v>
      </x:c>
      <x:c r="N134" s="352" t="n">
        <x:f>SUM(K134:M134)</x:f>
        <x:v>100</x:v>
      </x:c>
      <x:c r="O134" s="353" t="n">
        <x:f>N134/25</x:f>
        <x:v>4</x:v>
      </x:c>
      <x:c r="P134" s="351" t="str">
        <x:v>Laboratorio de sistema: Sistemas operativos II.</x:v>
      </x:c>
      <x:c r="Q134" s="351" t="str">
        <x:v>S01; S02; S09; S13; S16; S17; S20</x:v>
      </x:c>
      <x:c r="R134" s="351" t="str">
        <x:v>No iniciado</x:v>
      </x:c>
      <x:c r="S134" s="354" t="n">
        <x:v>0</x:v>
      </x:c>
      <x:c r="T134" s="355"/>
      <x:c r="U134" s="355"/>
      <x:c r="V134" s="351" t="str">
        <x:v>Evoluciona desde relés y válvulas hacia transistores, circuitos integrados y sistemas heterogéneos.</x:v>
      </x:c>
      <x:c r="W134" s="351" t="str">
        <x:v>Muy alta: fundamento durable</x:v>
      </x:c>
      <x:c r="X134" s="351" t="str">
        <x:v>Transversal permanente</x:v>
      </x:c>
      <x:c r="Y134" s="351" t="str">
        <x:v>Consolidada</x:v>
      </x:c>
      <x:c r="Z134" s="351" t="str">
        <x:v>24 meses</x:v>
      </x:c>
      <x:c r="AA134" s="351" t="str">
        <x:v>Chiplets, RISC-V, memoria desagregada, aceleradores, fotónica, neuromórfica y eficiencia energética.</x:v>
      </x:c>
    </x:row>
    <x:row r="135" ht="58" customHeight="1">
      <x:c r="A135" s="366" t="str">
        <x:v>SYS-006</x:v>
      </x:c>
      <x:c r="B135" s="366" t="n">
        <x:v>2</x:v>
      </x:c>
      <x:c r="C135" s="366" t="str">
        <x:v>Núcleo computacional</x:v>
      </x:c>
      <x:c r="D135" s="366" t="str">
        <x:v>Sistemas computacionales</x:v>
      </x:c>
      <x:c r="E135" s="366" t="str">
        <x:v>Sistemas y arquitectura</x:v>
      </x:c>
      <x:c r="F135" s="366" t="str">
        <x:v>Sistemas de archivos y almacenamiento</x:v>
      </x:c>
      <x:c r="G135" s="366" t="str">
        <x:v>Sistemas de archivos y almacenamiento. Funcionamiento interno, diseño, medición de rendimiento y laboratorios reproducibles.</x:v>
      </x:c>
      <x:c r="H135" s="366" t="str">
        <x:v>SYS-005</x:v>
      </x:c>
      <x:c r="I135" s="366" t="str">
        <x:v>Núcleo esencial</x:v>
      </x:c>
      <x:c r="J135" s="366" t="n">
        <x:v>1</x:v>
      </x:c>
      <x:c r="K135" s="366" t="n">
        <x:v>36</x:v>
      </x:c>
      <x:c r="L135" s="366" t="n">
        <x:v>42</x:v>
      </x:c>
      <x:c r="M135" s="366" t="n">
        <x:v>22</x:v>
      </x:c>
      <x:c r="N135" s="367" t="n">
        <x:f>SUM(K135:M135)</x:f>
        <x:v>100</x:v>
      </x:c>
      <x:c r="O135" s="368" t="n">
        <x:f>N135/25</x:f>
        <x:v>4</x:v>
      </x:c>
      <x:c r="P135" s="366" t="str">
        <x:v>Laboratorio de sistema: Sistemas de archivos y almacenamiento.</x:v>
      </x:c>
      <x:c r="Q135" s="366" t="str">
        <x:v>S01; S02; S09; S13; S16; S17; S20</x:v>
      </x:c>
      <x:c r="R135" s="366" t="str">
        <x:v>No iniciado</x:v>
      </x:c>
      <x:c r="S135" s="369" t="n">
        <x:v>0</x:v>
      </x:c>
      <x:c r="T135" s="370"/>
      <x:c r="U135" s="370"/>
      <x:c r="V135" s="366" t="str">
        <x:v>Evoluciona desde relés y válvulas hacia transistores, circuitos integrados y sistemas heterogéneos.</x:v>
      </x:c>
      <x:c r="W135" s="366" t="str">
        <x:v>Muy alta: fundamento durable</x:v>
      </x:c>
      <x:c r="X135" s="366" t="str">
        <x:v>Transversal permanente</x:v>
      </x:c>
      <x:c r="Y135" s="366" t="str">
        <x:v>Consolidada</x:v>
      </x:c>
      <x:c r="Z135" s="366" t="str">
        <x:v>24 meses</x:v>
      </x:c>
      <x:c r="AA135" s="366" t="str">
        <x:v>Chiplets, RISC-V, memoria desagregada, aceleradores, fotónica, neuromórfica y eficiencia energética.</x:v>
      </x:c>
    </x:row>
    <x:row r="136" ht="58" customHeight="1">
      <x:c r="A136" s="351" t="str">
        <x:v>REP-008</x:v>
      </x:c>
      <x:c r="B136" s="351" t="n">
        <x:v>2</x:v>
      </x:c>
      <x:c r="C136" s="351" t="str">
        <x:v>Núcleo computacional</x:v>
      </x:c>
      <x:c r="D136" s="351" t="str">
        <x:v>Soporte técnico y reparación</x:v>
      </x:c>
      <x:c r="E136" s="351" t="str">
        <x:v>Soporte y reparación</x:v>
      </x:c>
      <x:c r="F136" s="351" t="str">
        <x:v>Reparación de laptops</x:v>
      </x:c>
      <x:c r="G136" s="351" t="str">
        <x:v>Reparación de laptops. Diagnóstico sistemático, ESD, herramientas correctas, documentación, datos y seguridad del usuario.</x:v>
      </x:c>
      <x:c r="H136" s="351" t="str">
        <x:v>REP-007</x:v>
      </x:c>
      <x:c r="I136" s="351" t="str">
        <x:v>Dominio profesional</x:v>
      </x:c>
      <x:c r="J136" s="351" t="n">
        <x:v>2</x:v>
      </x:c>
      <x:c r="K136" s="351" t="n">
        <x:v>20</x:v>
      </x:c>
      <x:c r="L136" s="351" t="n">
        <x:v>52</x:v>
      </x:c>
      <x:c r="M136" s="351" t="n">
        <x:v>20</x:v>
      </x:c>
      <x:c r="N136" s="352" t="n">
        <x:f>SUM(K136:M136)</x:f>
        <x:v>92</x:v>
      </x:c>
      <x:c r="O136" s="353" t="n">
        <x:f>N136/25</x:f>
        <x:v>3.68</x:v>
      </x:c>
      <x:c r="P136" s="351" t="str">
        <x:v>Orden de servicio con pruebas antes/después: Reparación de laptops.</x:v>
      </x:c>
      <x:c r="Q136" s="351" t="str">
        <x:v>S03; S47; S48</x:v>
      </x:c>
      <x:c r="R136" s="351" t="str">
        <x:v>No iniciado</x:v>
      </x:c>
      <x:c r="S136" s="354" t="n">
        <x:v>0</x:v>
      </x:c>
      <x:c r="T136" s="355"/>
      <x:c r="U136" s="355"/>
      <x:c r="V136" s="351" t="str">
        <x:v>Nace del mantenimiento electromecánico y electrónico y se adapta a dispositivos integrados y móviles.</x:v>
      </x:c>
      <x:c r="W136" s="351" t="str">
        <x:v>Alta: práctica vigente</x:v>
      </x:c>
      <x:c r="X136" s="351" t="str">
        <x:v>Presente 2026 y corto (2027–2029)</x:v>
      </x:c>
      <x:c r="Y136" s="351" t="str">
        <x:v>Actual</x:v>
      </x:c>
      <x:c r="Z136" s="351" t="str">
        <x:v>12 meses</x:v>
      </x:c>
      <x:c r="AA136" s="351" t="str">
        <x:v>Diagnóstico asistido, modularidad, derecho a reparar, circularidad, baterías y reparación de alta integración.</x:v>
      </x:c>
    </x:row>
    <x:row r="137" ht="58" customHeight="1">
      <x:c r="A137" s="366" t="str">
        <x:v>REP-009</x:v>
      </x:c>
      <x:c r="B137" s="366" t="n">
        <x:v>2</x:v>
      </x:c>
      <x:c r="C137" s="366" t="str">
        <x:v>Núcleo computacional</x:v>
      </x:c>
      <x:c r="D137" s="366" t="str">
        <x:v>Soporte técnico y reparación</x:v>
      </x:c>
      <x:c r="E137" s="366" t="str">
        <x:v>Soporte y reparación</x:v>
      </x:c>
      <x:c r="F137" s="366" t="str">
        <x:v>Reparación de computadoras de escritorio</x:v>
      </x:c>
      <x:c r="G137" s="366" t="str">
        <x:v>Reparación de computadoras de escritorio. Diagnóstico sistemático, ESD, herramientas correctas, documentación, datos y seguridad del usuario.</x:v>
      </x:c>
      <x:c r="H137" s="366" t="str">
        <x:v>REP-008</x:v>
      </x:c>
      <x:c r="I137" s="366" t="str">
        <x:v>Dominio profesional</x:v>
      </x:c>
      <x:c r="J137" s="366" t="n">
        <x:v>2</x:v>
      </x:c>
      <x:c r="K137" s="366" t="n">
        <x:v>20</x:v>
      </x:c>
      <x:c r="L137" s="366" t="n">
        <x:v>52</x:v>
      </x:c>
      <x:c r="M137" s="366" t="n">
        <x:v>20</x:v>
      </x:c>
      <x:c r="N137" s="367" t="n">
        <x:f>SUM(K137:M137)</x:f>
        <x:v>92</x:v>
      </x:c>
      <x:c r="O137" s="368" t="n">
        <x:f>N137/25</x:f>
        <x:v>3.68</x:v>
      </x:c>
      <x:c r="P137" s="366" t="str">
        <x:v>Orden de servicio con pruebas antes/después: Reparación de computadoras de escritorio.</x:v>
      </x:c>
      <x:c r="Q137" s="366" t="str">
        <x:v>S03; S47; S48</x:v>
      </x:c>
      <x:c r="R137" s="366" t="str">
        <x:v>No iniciado</x:v>
      </x:c>
      <x:c r="S137" s="369" t="n">
        <x:v>0</x:v>
      </x:c>
      <x:c r="T137" s="370"/>
      <x:c r="U137" s="370"/>
      <x:c r="V137" s="366" t="str">
        <x:v>Nace del mantenimiento electromecánico y electrónico y se adapta a dispositivos integrados y móviles.</x:v>
      </x:c>
      <x:c r="W137" s="366" t="str">
        <x:v>Alta: práctica vigente</x:v>
      </x:c>
      <x:c r="X137" s="366" t="str">
        <x:v>Presente 2026 y corto (2027–2029)</x:v>
      </x:c>
      <x:c r="Y137" s="366" t="str">
        <x:v>Actual</x:v>
      </x:c>
      <x:c r="Z137" s="366" t="str">
        <x:v>12 meses</x:v>
      </x:c>
      <x:c r="AA137" s="366" t="str">
        <x:v>Diagnóstico asistido, modularidad, derecho a reparar, circularidad, baterías y reparación de alta integración.</x:v>
      </x:c>
    </x:row>
    <x:row r="138" ht="58" customHeight="1">
      <x:c r="A138" s="351" t="str">
        <x:v>REP-010</x:v>
      </x:c>
      <x:c r="B138" s="351" t="n">
        <x:v>2</x:v>
      </x:c>
      <x:c r="C138" s="351" t="str">
        <x:v>Núcleo computacional</x:v>
      </x:c>
      <x:c r="D138" s="351" t="str">
        <x:v>Soporte técnico y reparación</x:v>
      </x:c>
      <x:c r="E138" s="351" t="str">
        <x:v>Soporte y reparación</x:v>
      </x:c>
      <x:c r="F138" s="351" t="str">
        <x:v>Reparación de smartphones</x:v>
      </x:c>
      <x:c r="G138" s="351" t="str">
        <x:v>Reparación de smartphones. Diagnóstico sistemático, ESD, herramientas correctas, documentación, datos y seguridad del usuario.</x:v>
      </x:c>
      <x:c r="H138" s="351" t="str">
        <x:v>REP-009</x:v>
      </x:c>
      <x:c r="I138" s="351" t="str">
        <x:v>Dominio profesional</x:v>
      </x:c>
      <x:c r="J138" s="351" t="n">
        <x:v>2</x:v>
      </x:c>
      <x:c r="K138" s="351" t="n">
        <x:v>20</x:v>
      </x:c>
      <x:c r="L138" s="351" t="n">
        <x:v>52</x:v>
      </x:c>
      <x:c r="M138" s="351" t="n">
        <x:v>20</x:v>
      </x:c>
      <x:c r="N138" s="352" t="n">
        <x:f>SUM(K138:M138)</x:f>
        <x:v>92</x:v>
      </x:c>
      <x:c r="O138" s="353" t="n">
        <x:f>N138/25</x:f>
        <x:v>3.68</x:v>
      </x:c>
      <x:c r="P138" s="351" t="str">
        <x:v>Orden de servicio con pruebas antes/después: Reparación de smartphones.</x:v>
      </x:c>
      <x:c r="Q138" s="351" t="str">
        <x:v>S03; S47; S48</x:v>
      </x:c>
      <x:c r="R138" s="351" t="str">
        <x:v>No iniciado</x:v>
      </x:c>
      <x:c r="S138" s="354" t="n">
        <x:v>0</x:v>
      </x:c>
      <x:c r="T138" s="355"/>
      <x:c r="U138" s="355"/>
      <x:c r="V138" s="351" t="str">
        <x:v>Nace del mantenimiento electromecánico y electrónico y se adapta a dispositivos integrados y móviles.</x:v>
      </x:c>
      <x:c r="W138" s="351" t="str">
        <x:v>Alta: práctica vigente</x:v>
      </x:c>
      <x:c r="X138" s="351" t="str">
        <x:v>Presente 2026 y corto (2027–2029)</x:v>
      </x:c>
      <x:c r="Y138" s="351" t="str">
        <x:v>Actual</x:v>
      </x:c>
      <x:c r="Z138" s="351" t="str">
        <x:v>12 meses</x:v>
      </x:c>
      <x:c r="AA138" s="351" t="str">
        <x:v>Diagnóstico asistido, modularidad, derecho a reparar, circularidad, baterías y reparación de alta integración.</x:v>
      </x:c>
    </x:row>
    <x:row r="139" ht="58" customHeight="1">
      <x:c r="A139" s="366" t="str">
        <x:v>REP-011</x:v>
      </x:c>
      <x:c r="B139" s="366" t="n">
        <x:v>2</x:v>
      </x:c>
      <x:c r="C139" s="366" t="str">
        <x:v>Núcleo computacional</x:v>
      </x:c>
      <x:c r="D139" s="366" t="str">
        <x:v>Soporte técnico y reparación</x:v>
      </x:c>
      <x:c r="E139" s="366" t="str">
        <x:v>Soporte y reparación</x:v>
      </x:c>
      <x:c r="F139" s="366" t="str">
        <x:v>Reparación de tablets y wearables</x:v>
      </x:c>
      <x:c r="G139" s="366" t="str">
        <x:v>Reparación de tablets y wearables. Diagnóstico sistemático, ESD, herramientas correctas, documentación, datos y seguridad del usuario.</x:v>
      </x:c>
      <x:c r="H139" s="366" t="str">
        <x:v>REP-010</x:v>
      </x:c>
      <x:c r="I139" s="366" t="str">
        <x:v>Dominio profesional</x:v>
      </x:c>
      <x:c r="J139" s="366" t="n">
        <x:v>2</x:v>
      </x:c>
      <x:c r="K139" s="366" t="n">
        <x:v>20</x:v>
      </x:c>
      <x:c r="L139" s="366" t="n">
        <x:v>52</x:v>
      </x:c>
      <x:c r="M139" s="366" t="n">
        <x:v>20</x:v>
      </x:c>
      <x:c r="N139" s="367" t="n">
        <x:f>SUM(K139:M139)</x:f>
        <x:v>92</x:v>
      </x:c>
      <x:c r="O139" s="368" t="n">
        <x:f>N139/25</x:f>
        <x:v>3.68</x:v>
      </x:c>
      <x:c r="P139" s="366" t="str">
        <x:v>Orden de servicio con pruebas antes/después: Reparación de tablets y wearables.</x:v>
      </x:c>
      <x:c r="Q139" s="366" t="str">
        <x:v>S03; S47; S48</x:v>
      </x:c>
      <x:c r="R139" s="366" t="str">
        <x:v>No iniciado</x:v>
      </x:c>
      <x:c r="S139" s="369" t="n">
        <x:v>0</x:v>
      </x:c>
      <x:c r="T139" s="370"/>
      <x:c r="U139" s="370"/>
      <x:c r="V139" s="366" t="str">
        <x:v>Nace del mantenimiento electromecánico y electrónico y se adapta a dispositivos integrados y móviles.</x:v>
      </x:c>
      <x:c r="W139" s="366" t="str">
        <x:v>Alta: práctica vigente</x:v>
      </x:c>
      <x:c r="X139" s="366" t="str">
        <x:v>Presente 2026 y corto (2027–2029)</x:v>
      </x:c>
      <x:c r="Y139" s="366" t="str">
        <x:v>Actual</x:v>
      </x:c>
      <x:c r="Z139" s="366" t="str">
        <x:v>12 meses</x:v>
      </x:c>
      <x:c r="AA139" s="366" t="str">
        <x:v>Diagnóstico asistido, modularidad, derecho a reparar, circularidad, baterías y reparación de alta integración.</x:v>
      </x:c>
    </x:row>
    <x:row r="140" ht="58" customHeight="1">
      <x:c r="A140" s="351" t="str">
        <x:v>REP-012</x:v>
      </x:c>
      <x:c r="B140" s="351" t="n">
        <x:v>2</x:v>
      </x:c>
      <x:c r="C140" s="351" t="str">
        <x:v>Núcleo computacional</x:v>
      </x:c>
      <x:c r="D140" s="351" t="str">
        <x:v>Soporte técnico y reparación</x:v>
      </x:c>
      <x:c r="E140" s="351" t="str">
        <x:v>Soporte y reparación</x:v>
      </x:c>
      <x:c r="F140" s="351" t="str">
        <x:v>Microsoldadura y reparación a nivel de placa</x:v>
      </x:c>
      <x:c r="G140" s="351" t="str">
        <x:v>Microsoldadura y reparación a nivel de placa. Diagnóstico sistemático, ESD, herramientas correctas, documentación, datos y seguridad del usuario.</x:v>
      </x:c>
      <x:c r="H140" s="351" t="str">
        <x:v>REP-011</x:v>
      </x:c>
      <x:c r="I140" s="351" t="str">
        <x:v>Dominio profesional</x:v>
      </x:c>
      <x:c r="J140" s="351" t="n">
        <x:v>2</x:v>
      </x:c>
      <x:c r="K140" s="351" t="n">
        <x:v>20</x:v>
      </x:c>
      <x:c r="L140" s="351" t="n">
        <x:v>52</x:v>
      </x:c>
      <x:c r="M140" s="351" t="n">
        <x:v>20</x:v>
      </x:c>
      <x:c r="N140" s="352" t="n">
        <x:f>SUM(K140:M140)</x:f>
        <x:v>92</x:v>
      </x:c>
      <x:c r="O140" s="353" t="n">
        <x:f>N140/25</x:f>
        <x:v>3.68</x:v>
      </x:c>
      <x:c r="P140" s="351" t="str">
        <x:v>Orden de servicio con pruebas antes/después: Microsoldadura y reparación a nivel de placa.</x:v>
      </x:c>
      <x:c r="Q140" s="351" t="str">
        <x:v>S03; S47; S48</x:v>
      </x:c>
      <x:c r="R140" s="351" t="str">
        <x:v>No iniciado</x:v>
      </x:c>
      <x:c r="S140" s="354" t="n">
        <x:v>0</x:v>
      </x:c>
      <x:c r="T140" s="355"/>
      <x:c r="U140" s="355"/>
      <x:c r="V140" s="351" t="str">
        <x:v>Nace del mantenimiento electromecánico y electrónico y se adapta a dispositivos integrados y móviles.</x:v>
      </x:c>
      <x:c r="W140" s="351" t="str">
        <x:v>Alta: práctica vigente</x:v>
      </x:c>
      <x:c r="X140" s="351" t="str">
        <x:v>Presente 2026 y corto (2027–2029)</x:v>
      </x:c>
      <x:c r="Y140" s="351" t="str">
        <x:v>Actual</x:v>
      </x:c>
      <x:c r="Z140" s="351" t="str">
        <x:v>12 meses</x:v>
      </x:c>
      <x:c r="AA140" s="351" t="str">
        <x:v>Diagnóstico asistido, modularidad, derecho a reparar, circularidad, baterías y reparación de alta integración.</x:v>
      </x:c>
    </x:row>
    <x:row r="141" ht="58" customHeight="1">
      <x:c r="A141" s="366" t="str">
        <x:v>REP-013</x:v>
      </x:c>
      <x:c r="B141" s="366" t="n">
        <x:v>2</x:v>
      </x:c>
      <x:c r="C141" s="366" t="str">
        <x:v>Núcleo computacional</x:v>
      </x:c>
      <x:c r="D141" s="366" t="str">
        <x:v>Soporte técnico y reparación</x:v>
      </x:c>
      <x:c r="E141" s="366" t="str">
        <x:v>Soporte y reparación</x:v>
      </x:c>
      <x:c r="F141" s="366" t="str">
        <x:v>Diagnóstico de placas madre</x:v>
      </x:c>
      <x:c r="G141" s="366" t="str">
        <x:v>Diagnóstico de placas madre. Diagnóstico sistemático, ESD, herramientas correctas, documentación, datos y seguridad del usuario.</x:v>
      </x:c>
      <x:c r="H141" s="366" t="str">
        <x:v>REP-012</x:v>
      </x:c>
      <x:c r="I141" s="366" t="str">
        <x:v>Dominio profesional</x:v>
      </x:c>
      <x:c r="J141" s="366" t="n">
        <x:v>2</x:v>
      </x:c>
      <x:c r="K141" s="366" t="n">
        <x:v>20</x:v>
      </x:c>
      <x:c r="L141" s="366" t="n">
        <x:v>52</x:v>
      </x:c>
      <x:c r="M141" s="366" t="n">
        <x:v>20</x:v>
      </x:c>
      <x:c r="N141" s="367" t="n">
        <x:f>SUM(K141:M141)</x:f>
        <x:v>92</x:v>
      </x:c>
      <x:c r="O141" s="368" t="n">
        <x:f>N141/25</x:f>
        <x:v>3.68</x:v>
      </x:c>
      <x:c r="P141" s="366" t="str">
        <x:v>Orden de servicio con pruebas antes/después: Diagnóstico de placas madre.</x:v>
      </x:c>
      <x:c r="Q141" s="366" t="str">
        <x:v>S03; S47; S48</x:v>
      </x:c>
      <x:c r="R141" s="366" t="str">
        <x:v>No iniciado</x:v>
      </x:c>
      <x:c r="S141" s="369" t="n">
        <x:v>0</x:v>
      </x:c>
      <x:c r="T141" s="370"/>
      <x:c r="U141" s="370"/>
      <x:c r="V141" s="366" t="str">
        <x:v>Nace del mantenimiento electromecánico y electrónico y se adapta a dispositivos integrados y móviles.</x:v>
      </x:c>
      <x:c r="W141" s="366" t="str">
        <x:v>Alta: práctica vigente</x:v>
      </x:c>
      <x:c r="X141" s="366" t="str">
        <x:v>Presente 2026 y corto (2027–2029)</x:v>
      </x:c>
      <x:c r="Y141" s="366" t="str">
        <x:v>Actual</x:v>
      </x:c>
      <x:c r="Z141" s="366" t="str">
        <x:v>12 meses</x:v>
      </x:c>
      <x:c r="AA141" s="366" t="str">
        <x:v>Diagnóstico asistido, modularidad, derecho a reparar, circularidad, baterías y reparación de alta integración.</x:v>
      </x:c>
    </x:row>
    <x:row r="142" ht="58" customHeight="1">
      <x:c r="A142" s="351" t="str">
        <x:v>REP-014</x:v>
      </x:c>
      <x:c r="B142" s="351" t="n">
        <x:v>2</x:v>
      </x:c>
      <x:c r="C142" s="351" t="str">
        <x:v>Núcleo computacional</x:v>
      </x:c>
      <x:c r="D142" s="351" t="str">
        <x:v>Soporte técnico y reparación</x:v>
      </x:c>
      <x:c r="E142" s="351" t="str">
        <x:v>Soporte y reparación</x:v>
      </x:c>
      <x:c r="F142" s="351" t="str">
        <x:v>Recuperación de datos</x:v>
      </x:c>
      <x:c r="G142" s="351" t="str">
        <x:v>Recuperación de datos. Diagnóstico sistemático, ESD, herramientas correctas, documentación, datos y seguridad del usuario.</x:v>
      </x:c>
      <x:c r="H142" s="351" t="str">
        <x:v>REP-013</x:v>
      </x:c>
      <x:c r="I142" s="351" t="str">
        <x:v>Dominio profesional</x:v>
      </x:c>
      <x:c r="J142" s="351" t="n">
        <x:v>2</x:v>
      </x:c>
      <x:c r="K142" s="351" t="n">
        <x:v>20</x:v>
      </x:c>
      <x:c r="L142" s="351" t="n">
        <x:v>52</x:v>
      </x:c>
      <x:c r="M142" s="351" t="n">
        <x:v>20</x:v>
      </x:c>
      <x:c r="N142" s="352" t="n">
        <x:f>SUM(K142:M142)</x:f>
        <x:v>92</x:v>
      </x:c>
      <x:c r="O142" s="353" t="n">
        <x:f>N142/25</x:f>
        <x:v>3.68</x:v>
      </x:c>
      <x:c r="P142" s="351" t="str">
        <x:v>Orden de servicio con pruebas antes/después: Recuperación de datos.</x:v>
      </x:c>
      <x:c r="Q142" s="351" t="str">
        <x:v>S03; S47; S48</x:v>
      </x:c>
      <x:c r="R142" s="351" t="str">
        <x:v>No iniciado</x:v>
      </x:c>
      <x:c r="S142" s="354" t="n">
        <x:v>0</x:v>
      </x:c>
      <x:c r="T142" s="355"/>
      <x:c r="U142" s="355"/>
      <x:c r="V142" s="351" t="str">
        <x:v>Nace del mantenimiento electromecánico y electrónico y se adapta a dispositivos integrados y móviles.</x:v>
      </x:c>
      <x:c r="W142" s="351" t="str">
        <x:v>Alta: práctica vigente</x:v>
      </x:c>
      <x:c r="X142" s="351" t="str">
        <x:v>Presente 2026 y corto (2027–2029)</x:v>
      </x:c>
      <x:c r="Y142" s="351" t="str">
        <x:v>Actual</x:v>
      </x:c>
      <x:c r="Z142" s="351" t="str">
        <x:v>12 meses</x:v>
      </x:c>
      <x:c r="AA142" s="351" t="str">
        <x:v>Diagnóstico asistido, modularidad, derecho a reparar, circularidad, baterías y reparación de alta integración.</x:v>
      </x:c>
    </x:row>
    <x:row r="143" ht="58" customHeight="1">
      <x:c r="A143" s="366" t="str">
        <x:v>CYB-001</x:v>
      </x:c>
      <x:c r="B143" s="366" t="n">
        <x:v>3</x:v>
      </x:c>
      <x:c r="C143" s="366" t="str">
        <x:v>Sistemas e ingeniería</x:v>
      </x:c>
      <x:c r="D143" s="366" t="str">
        <x:v>Seguridad defensiva y gobierno</x:v>
      </x:c>
      <x:c r="E143" s="366" t="str">
        <x:v>Ciberseguridad, forense y auditoría</x:v>
      </x:c>
      <x:c r="F143" s="366" t="str">
        <x:v>Fundamentos de ciberseguridad</x:v>
      </x:c>
      <x:c r="G143" s="366" t="str">
        <x:v>Fundamentos de ciberseguridad. Diseño de controles, laboratorios aislados, gestión de riesgo y evidencia auditable.</x:v>
      </x:c>
      <x:c r="H143" s="366" t="str">
        <x:v>NET-001</x:v>
      </x:c>
      <x:c r="I143" s="366" t="str">
        <x:v>Dominio profesional</x:v>
      </x:c>
      <x:c r="J143" s="366" t="n">
        <x:v>2</x:v>
      </x:c>
      <x:c r="K143" s="366" t="n">
        <x:v>28</x:v>
      </x:c>
      <x:c r="L143" s="366" t="n">
        <x:v>36</x:v>
      </x:c>
      <x:c r="M143" s="366" t="n">
        <x:v>20</x:v>
      </x:c>
      <x:c r="N143" s="367" t="n">
        <x:f>SUM(K143:M143)</x:f>
        <x:v>84</x:v>
      </x:c>
      <x:c r="O143" s="368" t="n">
        <x:f>N143/25</x:f>
        <x:v>3.36</x:v>
      </x:c>
      <x:c r="P143" s="366" t="str">
        <x:v>Evaluación defensiva: Fundamentos de ciberseguridad.</x:v>
      </x:c>
      <x:c r="Q143" s="366" t="str">
        <x:v>S03; S05; S08; S33; S34; S36</x:v>
      </x:c>
      <x:c r="R143" s="366" t="str">
        <x:v>No iniciado</x:v>
      </x:c>
      <x:c r="S143" s="369" t="n">
        <x:v>0</x:v>
      </x:c>
      <x:c r="T143" s="370"/>
      <x:c r="U143" s="370"/>
      <x:c r="V143" s="366" t="str">
        <x:v>Evoluciona con sistemas multiusuario, criptografía, delitos digitales, regulación y gestión del riesgo.</x:v>
      </x:c>
      <x:c r="W143" s="366" t="str">
        <x:v>Alta: práctica vigente</x:v>
      </x:c>
      <x:c r="X143" s="366" t="str">
        <x:v>Presente 2026 y corto (2027–2029)</x:v>
      </x:c>
      <x:c r="Y143" s="366" t="str">
        <x:v>Actual</x:v>
      </x:c>
      <x:c r="Z143" s="366" t="str">
        <x:v>12 meses</x:v>
      </x:c>
      <x:c r="AA143" s="366" t="str">
        <x:v>Migración poscuántica, seguridad de IA, explotación activa, identidad, privacidad y resiliencia de proveedores.</x:v>
      </x:c>
    </x:row>
    <x:row r="144" ht="58" customHeight="1">
      <x:c r="A144" s="351" t="str">
        <x:v>CYB-002</x:v>
      </x:c>
      <x:c r="B144" s="351" t="n">
        <x:v>3</x:v>
      </x:c>
      <x:c r="C144" s="351" t="str">
        <x:v>Sistemas e ingeniería</x:v>
      </x:c>
      <x:c r="D144" s="351" t="str">
        <x:v>Seguridad defensiva y gobierno</x:v>
      </x:c>
      <x:c r="E144" s="351" t="str">
        <x:v>Ciberseguridad, forense y auditoría</x:v>
      </x:c>
      <x:c r="F144" s="351" t="str">
        <x:v>Criptografía aplicada I</x:v>
      </x:c>
      <x:c r="G144" s="351" t="str">
        <x:v>Criptografía aplicada I. Diseño de controles, laboratorios aislados, gestión de riesgo y evidencia auditable.</x:v>
      </x:c>
      <x:c r="H144" s="351" t="str">
        <x:v>CYB-001</x:v>
      </x:c>
      <x:c r="I144" s="351" t="str">
        <x:v>Dominio profesional</x:v>
      </x:c>
      <x:c r="J144" s="351" t="n">
        <x:v>2</x:v>
      </x:c>
      <x:c r="K144" s="351" t="n">
        <x:v>28</x:v>
      </x:c>
      <x:c r="L144" s="351" t="n">
        <x:v>36</x:v>
      </x:c>
      <x:c r="M144" s="351" t="n">
        <x:v>20</x:v>
      </x:c>
      <x:c r="N144" s="352" t="n">
        <x:f>SUM(K144:M144)</x:f>
        <x:v>84</x:v>
      </x:c>
      <x:c r="O144" s="353" t="n">
        <x:f>N144/25</x:f>
        <x:v>3.36</x:v>
      </x:c>
      <x:c r="P144" s="351" t="str">
        <x:v>Evaluación defensiva: Criptografía aplicada I.</x:v>
      </x:c>
      <x:c r="Q144" s="351" t="str">
        <x:v>S03; S05; S08; S33; S34; S36</x:v>
      </x:c>
      <x:c r="R144" s="351" t="str">
        <x:v>No iniciado</x:v>
      </x:c>
      <x:c r="S144" s="354" t="n">
        <x:v>0</x:v>
      </x:c>
      <x:c r="T144" s="355"/>
      <x:c r="U144" s="355"/>
      <x:c r="V144" s="351" t="str">
        <x:v>Evoluciona con sistemas multiusuario, criptografía, delitos digitales, regulación y gestión del riesgo.</x:v>
      </x:c>
      <x:c r="W144" s="351" t="str">
        <x:v>Alta: práctica vigente</x:v>
      </x:c>
      <x:c r="X144" s="351" t="str">
        <x:v>Presente 2026 y corto (2027–2029)</x:v>
      </x:c>
      <x:c r="Y144" s="351" t="str">
        <x:v>Actual</x:v>
      </x:c>
      <x:c r="Z144" s="351" t="str">
        <x:v>12 meses</x:v>
      </x:c>
      <x:c r="AA144" s="351" t="str">
        <x:v>Migración poscuántica, seguridad de IA, explotación activa, identidad, privacidad y resiliencia de proveedores.</x:v>
      </x:c>
    </x:row>
    <x:row r="145" ht="58" customHeight="1">
      <x:c r="A145" s="366" t="str">
        <x:v>CYB-003</x:v>
      </x:c>
      <x:c r="B145" s="366" t="n">
        <x:v>3</x:v>
      </x:c>
      <x:c r="C145" s="366" t="str">
        <x:v>Sistemas e ingeniería</x:v>
      </x:c>
      <x:c r="D145" s="366" t="str">
        <x:v>Seguridad defensiva y gobierno</x:v>
      </x:c>
      <x:c r="E145" s="366" t="str">
        <x:v>Ciberseguridad, forense y auditoría</x:v>
      </x:c>
      <x:c r="F145" s="366" t="str">
        <x:v>Criptografía aplicada II</x:v>
      </x:c>
      <x:c r="G145" s="366" t="str">
        <x:v>Criptografía aplicada II. Diseño de controles, laboratorios aislados, gestión de riesgo y evidencia auditable.</x:v>
      </x:c>
      <x:c r="H145" s="366" t="str">
        <x:v>CYB-002</x:v>
      </x:c>
      <x:c r="I145" s="366" t="str">
        <x:v>Dominio profesional</x:v>
      </x:c>
      <x:c r="J145" s="366" t="n">
        <x:v>2</x:v>
      </x:c>
      <x:c r="K145" s="366" t="n">
        <x:v>28</x:v>
      </x:c>
      <x:c r="L145" s="366" t="n">
        <x:v>36</x:v>
      </x:c>
      <x:c r="M145" s="366" t="n">
        <x:v>20</x:v>
      </x:c>
      <x:c r="N145" s="367" t="n">
        <x:f>SUM(K145:M145)</x:f>
        <x:v>84</x:v>
      </x:c>
      <x:c r="O145" s="368" t="n">
        <x:f>N145/25</x:f>
        <x:v>3.36</x:v>
      </x:c>
      <x:c r="P145" s="366" t="str">
        <x:v>Evaluación defensiva: Criptografía aplicada II.</x:v>
      </x:c>
      <x:c r="Q145" s="366" t="str">
        <x:v>S03; S05; S08; S33; S34; S36</x:v>
      </x:c>
      <x:c r="R145" s="366" t="str">
        <x:v>No iniciado</x:v>
      </x:c>
      <x:c r="S145" s="369" t="n">
        <x:v>0</x:v>
      </x:c>
      <x:c r="T145" s="370"/>
      <x:c r="U145" s="370"/>
      <x:c r="V145" s="366" t="str">
        <x:v>Evoluciona con sistemas multiusuario, criptografía, delitos digitales, regulación y gestión del riesgo.</x:v>
      </x:c>
      <x:c r="W145" s="366" t="str">
        <x:v>Alta: práctica vigente</x:v>
      </x:c>
      <x:c r="X145" s="366" t="str">
        <x:v>Presente 2026 y corto (2027–2029)</x:v>
      </x:c>
      <x:c r="Y145" s="366" t="str">
        <x:v>Actual</x:v>
      </x:c>
      <x:c r="Z145" s="366" t="str">
        <x:v>12 meses</x:v>
      </x:c>
      <x:c r="AA145" s="366" t="str">
        <x:v>Migración poscuántica, seguridad de IA, explotación activa, identidad, privacidad y resiliencia de proveedores.</x:v>
      </x:c>
    </x:row>
    <x:row r="146" ht="58" customHeight="1">
      <x:c r="A146" s="351" t="str">
        <x:v>CYB-004</x:v>
      </x:c>
      <x:c r="B146" s="351" t="n">
        <x:v>3</x:v>
      </x:c>
      <x:c r="C146" s="351" t="str">
        <x:v>Sistemas e ingeniería</x:v>
      </x:c>
      <x:c r="D146" s="351" t="str">
        <x:v>Seguridad defensiva y gobierno</x:v>
      </x:c>
      <x:c r="E146" s="351" t="str">
        <x:v>Ciberseguridad, forense y auditoría</x:v>
      </x:c>
      <x:c r="F146" s="351" t="str">
        <x:v>Gestión de identidades y accesos</x:v>
      </x:c>
      <x:c r="G146" s="351" t="str">
        <x:v>Gestión de identidades y accesos. Diseño de controles, laboratorios aislados, gestión de riesgo y evidencia auditable.</x:v>
      </x:c>
      <x:c r="H146" s="351" t="str">
        <x:v>CYB-003</x:v>
      </x:c>
      <x:c r="I146" s="351" t="str">
        <x:v>Dominio profesional</x:v>
      </x:c>
      <x:c r="J146" s="351" t="n">
        <x:v>2</x:v>
      </x:c>
      <x:c r="K146" s="351" t="n">
        <x:v>28</x:v>
      </x:c>
      <x:c r="L146" s="351" t="n">
        <x:v>36</x:v>
      </x:c>
      <x:c r="M146" s="351" t="n">
        <x:v>20</x:v>
      </x:c>
      <x:c r="N146" s="352" t="n">
        <x:f>SUM(K146:M146)</x:f>
        <x:v>84</x:v>
      </x:c>
      <x:c r="O146" s="353" t="n">
        <x:f>N146/25</x:f>
        <x:v>3.36</x:v>
      </x:c>
      <x:c r="P146" s="351" t="str">
        <x:v>Evaluación defensiva: Gestión de identidades y accesos.</x:v>
      </x:c>
      <x:c r="Q146" s="351" t="str">
        <x:v>S03; S05; S08; S33; S34; S36</x:v>
      </x:c>
      <x:c r="R146" s="351" t="str">
        <x:v>No iniciado</x:v>
      </x:c>
      <x:c r="S146" s="354" t="n">
        <x:v>0</x:v>
      </x:c>
      <x:c r="T146" s="355"/>
      <x:c r="U146" s="355"/>
      <x:c r="V146" s="351" t="str">
        <x:v>Evoluciona con sistemas multiusuario, criptografía, delitos digitales, regulación y gestión del riesgo.</x:v>
      </x:c>
      <x:c r="W146" s="351" t="str">
        <x:v>Alta: práctica vigente</x:v>
      </x:c>
      <x:c r="X146" s="351" t="str">
        <x:v>Presente 2026 y corto (2027–2029)</x:v>
      </x:c>
      <x:c r="Y146" s="351" t="str">
        <x:v>Actual</x:v>
      </x:c>
      <x:c r="Z146" s="351" t="str">
        <x:v>12 meses</x:v>
      </x:c>
      <x:c r="AA146" s="351" t="str">
        <x:v>Migración poscuántica, seguridad de IA, explotación activa, identidad, privacidad y resiliencia de proveedores.</x:v>
      </x:c>
    </x:row>
    <x:row r="147" ht="58" customHeight="1">
      <x:c r="A147" s="366" t="str">
        <x:v>CYB-005</x:v>
      </x:c>
      <x:c r="B147" s="366" t="n">
        <x:v>3</x:v>
      </x:c>
      <x:c r="C147" s="366" t="str">
        <x:v>Sistemas e ingeniería</x:v>
      </x:c>
      <x:c r="D147" s="366" t="str">
        <x:v>Seguridad defensiva y gobierno</x:v>
      </x:c>
      <x:c r="E147" s="366" t="str">
        <x:v>Ciberseguridad, forense y auditoría</x:v>
      </x:c>
      <x:c r="F147" s="366" t="str">
        <x:v>Seguridad de redes</x:v>
      </x:c>
      <x:c r="G147" s="366" t="str">
        <x:v>Seguridad de redes. Diseño de controles, laboratorios aislados, gestión de riesgo y evidencia auditable.</x:v>
      </x:c>
      <x:c r="H147" s="366" t="str">
        <x:v>CYB-004</x:v>
      </x:c>
      <x:c r="I147" s="366" t="str">
        <x:v>Dominio profesional</x:v>
      </x:c>
      <x:c r="J147" s="366" t="n">
        <x:v>2</x:v>
      </x:c>
      <x:c r="K147" s="366" t="n">
        <x:v>28</x:v>
      </x:c>
      <x:c r="L147" s="366" t="n">
        <x:v>36</x:v>
      </x:c>
      <x:c r="M147" s="366" t="n">
        <x:v>20</x:v>
      </x:c>
      <x:c r="N147" s="367" t="n">
        <x:f>SUM(K147:M147)</x:f>
        <x:v>84</x:v>
      </x:c>
      <x:c r="O147" s="368" t="n">
        <x:f>N147/25</x:f>
        <x:v>3.36</x:v>
      </x:c>
      <x:c r="P147" s="366" t="str">
        <x:v>Evaluación defensiva: Seguridad de redes.</x:v>
      </x:c>
      <x:c r="Q147" s="366" t="str">
        <x:v>S03; S05; S08; S33; S34; S36</x:v>
      </x:c>
      <x:c r="R147" s="366" t="str">
        <x:v>No iniciado</x:v>
      </x:c>
      <x:c r="S147" s="369" t="n">
        <x:v>0</x:v>
      </x:c>
      <x:c r="T147" s="370"/>
      <x:c r="U147" s="370"/>
      <x:c r="V147" s="366" t="str">
        <x:v>Evoluciona con sistemas multiusuario, criptografía, delitos digitales, regulación y gestión del riesgo.</x:v>
      </x:c>
      <x:c r="W147" s="366" t="str">
        <x:v>Alta: práctica vigente</x:v>
      </x:c>
      <x:c r="X147" s="366" t="str">
        <x:v>Presente 2026 y corto (2027–2029)</x:v>
      </x:c>
      <x:c r="Y147" s="366" t="str">
        <x:v>Actual</x:v>
      </x:c>
      <x:c r="Z147" s="366" t="str">
        <x:v>12 meses</x:v>
      </x:c>
      <x:c r="AA147" s="366" t="str">
        <x:v>Migración poscuántica, seguridad de IA, explotación activa, identidad, privacidad y resiliencia de proveedores.</x:v>
      </x:c>
    </x:row>
    <x:row r="148" ht="58" customHeight="1">
      <x:c r="A148" s="351" t="str">
        <x:v>CYB-006</x:v>
      </x:c>
      <x:c r="B148" s="351" t="n">
        <x:v>3</x:v>
      </x:c>
      <x:c r="C148" s="351" t="str">
        <x:v>Sistemas e ingeniería</x:v>
      </x:c>
      <x:c r="D148" s="351" t="str">
        <x:v>Seguridad defensiva y gobierno</x:v>
      </x:c>
      <x:c r="E148" s="351" t="str">
        <x:v>Ciberseguridad, forense y auditoría</x:v>
      </x:c>
      <x:c r="F148" s="351" t="str">
        <x:v>Seguridad de sistemas operativos</x:v>
      </x:c>
      <x:c r="G148" s="351" t="str">
        <x:v>Seguridad de sistemas operativos. Diseño de controles, laboratorios aislados, gestión de riesgo y evidencia auditable.</x:v>
      </x:c>
      <x:c r="H148" s="351" t="str">
        <x:v>CYB-005</x:v>
      </x:c>
      <x:c r="I148" s="351" t="str">
        <x:v>Dominio profesional</x:v>
      </x:c>
      <x:c r="J148" s="351" t="n">
        <x:v>2</x:v>
      </x:c>
      <x:c r="K148" s="351" t="n">
        <x:v>28</x:v>
      </x:c>
      <x:c r="L148" s="351" t="n">
        <x:v>36</x:v>
      </x:c>
      <x:c r="M148" s="351" t="n">
        <x:v>20</x:v>
      </x:c>
      <x:c r="N148" s="352" t="n">
        <x:f>SUM(K148:M148)</x:f>
        <x:v>84</x:v>
      </x:c>
      <x:c r="O148" s="353" t="n">
        <x:f>N148/25</x:f>
        <x:v>3.36</x:v>
      </x:c>
      <x:c r="P148" s="351" t="str">
        <x:v>Evaluación defensiva: Seguridad de sistemas operativos.</x:v>
      </x:c>
      <x:c r="Q148" s="351" t="str">
        <x:v>S03; S05; S08; S33; S34; S36</x:v>
      </x:c>
      <x:c r="R148" s="351" t="str">
        <x:v>No iniciado</x:v>
      </x:c>
      <x:c r="S148" s="354" t="n">
        <x:v>0</x:v>
      </x:c>
      <x:c r="T148" s="355"/>
      <x:c r="U148" s="355"/>
      <x:c r="V148" s="351" t="str">
        <x:v>Evoluciona con sistemas multiusuario, criptografía, delitos digitales, regulación y gestión del riesgo.</x:v>
      </x:c>
      <x:c r="W148" s="351" t="str">
        <x:v>Alta: práctica vigente</x:v>
      </x:c>
      <x:c r="X148" s="351" t="str">
        <x:v>Presente 2026 y corto (2027–2029)</x:v>
      </x:c>
      <x:c r="Y148" s="351" t="str">
        <x:v>Actual</x:v>
      </x:c>
      <x:c r="Z148" s="351" t="str">
        <x:v>12 meses</x:v>
      </x:c>
      <x:c r="AA148" s="351" t="str">
        <x:v>Migración poscuántica, seguridad de IA, explotación activa, identidad, privacidad y resiliencia de proveedores.</x:v>
      </x:c>
    </x:row>
    <x:row r="149" ht="58" customHeight="1">
      <x:c r="A149" s="366" t="str">
        <x:v>CYB-007</x:v>
      </x:c>
      <x:c r="B149" s="366" t="n">
        <x:v>3</x:v>
      </x:c>
      <x:c r="C149" s="366" t="str">
        <x:v>Sistemas e ingeniería</x:v>
      </x:c>
      <x:c r="D149" s="366" t="str">
        <x:v>Seguridad defensiva y gobierno</x:v>
      </x:c>
      <x:c r="E149" s="366" t="str">
        <x:v>Ciberseguridad, forense y auditoría</x:v>
      </x:c>
      <x:c r="F149" s="366" t="str">
        <x:v>Seguridad de aplicaciones</x:v>
      </x:c>
      <x:c r="G149" s="366" t="str">
        <x:v>Seguridad de aplicaciones. Diseño de controles, laboratorios aislados, gestión de riesgo y evidencia auditable.</x:v>
      </x:c>
      <x:c r="H149" s="366" t="str">
        <x:v>CYB-006</x:v>
      </x:c>
      <x:c r="I149" s="366" t="str">
        <x:v>Dominio profesional</x:v>
      </x:c>
      <x:c r="J149" s="366" t="n">
        <x:v>2</x:v>
      </x:c>
      <x:c r="K149" s="366" t="n">
        <x:v>28</x:v>
      </x:c>
      <x:c r="L149" s="366" t="n">
        <x:v>36</x:v>
      </x:c>
      <x:c r="M149" s="366" t="n">
        <x:v>20</x:v>
      </x:c>
      <x:c r="N149" s="367" t="n">
        <x:f>SUM(K149:M149)</x:f>
        <x:v>84</x:v>
      </x:c>
      <x:c r="O149" s="368" t="n">
        <x:f>N149/25</x:f>
        <x:v>3.36</x:v>
      </x:c>
      <x:c r="P149" s="366" t="str">
        <x:v>Evaluación defensiva: Seguridad de aplicaciones.</x:v>
      </x:c>
      <x:c r="Q149" s="366" t="str">
        <x:v>S03; S05; S08; S33; S34; S36</x:v>
      </x:c>
      <x:c r="R149" s="366" t="str">
        <x:v>No iniciado</x:v>
      </x:c>
      <x:c r="S149" s="369" t="n">
        <x:v>0</x:v>
      </x:c>
      <x:c r="T149" s="370"/>
      <x:c r="U149" s="370"/>
      <x:c r="V149" s="366" t="str">
        <x:v>Evoluciona con sistemas multiusuario, criptografía, delitos digitales, regulación y gestión del riesgo.</x:v>
      </x:c>
      <x:c r="W149" s="366" t="str">
        <x:v>Alta: práctica vigente</x:v>
      </x:c>
      <x:c r="X149" s="366" t="str">
        <x:v>Presente 2026 y corto (2027–2029)</x:v>
      </x:c>
      <x:c r="Y149" s="366" t="str">
        <x:v>Actual</x:v>
      </x:c>
      <x:c r="Z149" s="366" t="str">
        <x:v>12 meses</x:v>
      </x:c>
      <x:c r="AA149" s="366" t="str">
        <x:v>Migración poscuántica, seguridad de IA, explotación activa, identidad, privacidad y resiliencia de proveedores.</x:v>
      </x:c>
    </x:row>
    <x:row r="150" ht="58" customHeight="1">
      <x:c r="A150" s="351" t="str">
        <x:v>DAI-007</x:v>
      </x:c>
      <x:c r="B150" s="351" t="n">
        <x:v>3</x:v>
      </x:c>
      <x:c r="C150" s="351" t="str">
        <x:v>Sistemas e ingeniería</x:v>
      </x:c>
      <x:c r="D150" s="351" t="str">
        <x:v>Datos y bases de datos</x:v>
      </x:c>
      <x:c r="E150" s="351" t="str">
        <x:v>Datos, BI e IA</x:v>
      </x:c>
      <x:c r="F150" s="351" t="str">
        <x:v>Almacenes de datos y modelado dimensional</x:v>
      </x:c>
      <x:c r="G150" s="351" t="str">
        <x:v>Almacenes de datos y modelado dimensional. Modelado, consulta, calidad, gobierno, rendimiento y pipelines reproducibles.</x:v>
      </x:c>
      <x:c r="H150" s="351" t="str">
        <x:v>DAI-006</x:v>
      </x:c>
      <x:c r="I150" s="351" t="str">
        <x:v>Núcleo esencial</x:v>
      </x:c>
      <x:c r="J150" s="351" t="n">
        <x:v>1</x:v>
      </x:c>
      <x:c r="K150" s="351" t="n">
        <x:v>36</x:v>
      </x:c>
      <x:c r="L150" s="351" t="n">
        <x:v>42</x:v>
      </x:c>
      <x:c r="M150" s="351" t="n">
        <x:v>22</x:v>
      </x:c>
      <x:c r="N150" s="352" t="n">
        <x:f>SUM(K150:M150)</x:f>
        <x:v>100</x:v>
      </x:c>
      <x:c r="O150" s="353" t="n">
        <x:f>N150/25</x:f>
        <x:v>4</x:v>
      </x:c>
      <x:c r="P150" s="351" t="str">
        <x:v>Sistema de datos: Almacenes de datos y modelado dimensional.</x:v>
      </x:c>
      <x:c r="Q150" s="351" t="str">
        <x:v>S01; S07; S17; S18; S20; S37; S38</x:v>
      </x:c>
      <x:c r="R150" s="351" t="str">
        <x:v>No iniciado</x:v>
      </x:c>
      <x:c r="S150" s="354" t="n">
        <x:v>0</x:v>
      </x:c>
      <x:c r="T150" s="355"/>
      <x:c r="U150" s="355"/>
      <x:c r="V150" s="351" t="str">
        <x:v>Une estadística, bases de datos, investigación operativa, aprendizaje automático e IA generativa.</x:v>
      </x:c>
      <x:c r="W150" s="351" t="str">
        <x:v>Muy alta: fundamento durable</x:v>
      </x:c>
      <x:c r="X150" s="351" t="str">
        <x:v>Transversal permanente</x:v>
      </x:c>
      <x:c r="Y150" s="351" t="str">
        <x:v>Consolidada</x:v>
      </x:c>
      <x:c r="Z150" s="351" t="str">
        <x:v>24 meses</x:v>
      </x:c>
      <x:c r="AA150" s="351" t="str">
        <x:v>Modelos multimodales, IA agente, causalidad, privacidad, aprendizaje federado, evaluación y gobernanza.</x:v>
      </x:c>
    </x:row>
    <x:row r="151" ht="58" customHeight="1">
      <x:c r="A151" s="366" t="str">
        <x:v>DAI-008</x:v>
      </x:c>
      <x:c r="B151" s="366" t="n">
        <x:v>3</x:v>
      </x:c>
      <x:c r="C151" s="366" t="str">
        <x:v>Sistemas e ingeniería</x:v>
      </x:c>
      <x:c r="D151" s="366" t="str">
        <x:v>Datos y bases de datos</x:v>
      </x:c>
      <x:c r="E151" s="366" t="str">
        <x:v>Datos, BI e IA</x:v>
      </x:c>
      <x:c r="F151" s="366" t="str">
        <x:v>ETL/ELT e integración de datos</x:v>
      </x:c>
      <x:c r="G151" s="366" t="str">
        <x:v>ETL/ELT e integración de datos. Modelado, consulta, calidad, gobierno, rendimiento y pipelines reproducibles.</x:v>
      </x:c>
      <x:c r="H151" s="366" t="str">
        <x:v>DAI-007</x:v>
      </x:c>
      <x:c r="I151" s="366" t="str">
        <x:v>Núcleo esencial</x:v>
      </x:c>
      <x:c r="J151" s="366" t="n">
        <x:v>1</x:v>
      </x:c>
      <x:c r="K151" s="366" t="n">
        <x:v>36</x:v>
      </x:c>
      <x:c r="L151" s="366" t="n">
        <x:v>42</x:v>
      </x:c>
      <x:c r="M151" s="366" t="n">
        <x:v>22</x:v>
      </x:c>
      <x:c r="N151" s="367" t="n">
        <x:f>SUM(K151:M151)</x:f>
        <x:v>100</x:v>
      </x:c>
      <x:c r="O151" s="368" t="n">
        <x:f>N151/25</x:f>
        <x:v>4</x:v>
      </x:c>
      <x:c r="P151" s="366" t="str">
        <x:v>Sistema de datos: ETL/ELT e integración de datos.</x:v>
      </x:c>
      <x:c r="Q151" s="366" t="str">
        <x:v>S01; S07; S17; S18; S20; S37; S38</x:v>
      </x:c>
      <x:c r="R151" s="366" t="str">
        <x:v>No iniciado</x:v>
      </x:c>
      <x:c r="S151" s="369" t="n">
        <x:v>0</x:v>
      </x:c>
      <x:c r="T151" s="370"/>
      <x:c r="U151" s="370"/>
      <x:c r="V151" s="366" t="str">
        <x:v>Une estadística, bases de datos, investigación operativa, aprendizaje automático e IA generativa.</x:v>
      </x:c>
      <x:c r="W151" s="366" t="str">
        <x:v>Muy alta: fundamento durable</x:v>
      </x:c>
      <x:c r="X151" s="366" t="str">
        <x:v>Transversal permanente</x:v>
      </x:c>
      <x:c r="Y151" s="366" t="str">
        <x:v>Consolidada</x:v>
      </x:c>
      <x:c r="Z151" s="366" t="str">
        <x:v>24 meses</x:v>
      </x:c>
      <x:c r="AA151" s="366" t="str">
        <x:v>Modelos multimodales, IA agente, causalidad, privacidad, aprendizaje federado, evaluación y gobernanza.</x:v>
      </x:c>
    </x:row>
    <x:row r="152" ht="58" customHeight="1">
      <x:c r="A152" s="351" t="str">
        <x:v>DAI-009</x:v>
      </x:c>
      <x:c r="B152" s="351" t="n">
        <x:v>3</x:v>
      </x:c>
      <x:c r="C152" s="351" t="str">
        <x:v>Sistemas e ingeniería</x:v>
      </x:c>
      <x:c r="D152" s="351" t="str">
        <x:v>Datos y bases de datos</x:v>
      </x:c>
      <x:c r="E152" s="351" t="str">
        <x:v>Datos, BI e IA</x:v>
      </x:c>
      <x:c r="F152" s="351" t="str">
        <x:v>Calidad y observabilidad de datos</x:v>
      </x:c>
      <x:c r="G152" s="351" t="str">
        <x:v>Calidad y observabilidad de datos. Modelado, consulta, calidad, gobierno, rendimiento y pipelines reproducibles.</x:v>
      </x:c>
      <x:c r="H152" s="351" t="str">
        <x:v>DAI-008</x:v>
      </x:c>
      <x:c r="I152" s="351" t="str">
        <x:v>Núcleo esencial</x:v>
      </x:c>
      <x:c r="J152" s="351" t="n">
        <x:v>1</x:v>
      </x:c>
      <x:c r="K152" s="351" t="n">
        <x:v>36</x:v>
      </x:c>
      <x:c r="L152" s="351" t="n">
        <x:v>42</x:v>
      </x:c>
      <x:c r="M152" s="351" t="n">
        <x:v>22</x:v>
      </x:c>
      <x:c r="N152" s="352" t="n">
        <x:f>SUM(K152:M152)</x:f>
        <x:v>100</x:v>
      </x:c>
      <x:c r="O152" s="353" t="n">
        <x:f>N152/25</x:f>
        <x:v>4</x:v>
      </x:c>
      <x:c r="P152" s="351" t="str">
        <x:v>Sistema de datos: Calidad y observabilidad de datos.</x:v>
      </x:c>
      <x:c r="Q152" s="351" t="str">
        <x:v>S01; S07; S17; S18; S20; S37; S38</x:v>
      </x:c>
      <x:c r="R152" s="351" t="str">
        <x:v>No iniciado</x:v>
      </x:c>
      <x:c r="S152" s="354" t="n">
        <x:v>0</x:v>
      </x:c>
      <x:c r="T152" s="355"/>
      <x:c r="U152" s="355"/>
      <x:c r="V152" s="351" t="str">
        <x:v>Une estadística, bases de datos, investigación operativa, aprendizaje automático e IA generativa.</x:v>
      </x:c>
      <x:c r="W152" s="351" t="str">
        <x:v>Muy alta: fundamento durable</x:v>
      </x:c>
      <x:c r="X152" s="351" t="str">
        <x:v>Transversal permanente</x:v>
      </x:c>
      <x:c r="Y152" s="351" t="str">
        <x:v>Consolidada</x:v>
      </x:c>
      <x:c r="Z152" s="351" t="str">
        <x:v>24 meses</x:v>
      </x:c>
      <x:c r="AA152" s="351" t="str">
        <x:v>Modelos multimodales, IA agente, causalidad, privacidad, aprendizaje federado, evaluación y gobernanza.</x:v>
      </x:c>
    </x:row>
    <x:row r="153" ht="58" customHeight="1">
      <x:c r="A153" s="366" t="str">
        <x:v>DAI-010</x:v>
      </x:c>
      <x:c r="B153" s="366" t="n">
        <x:v>3</x:v>
      </x:c>
      <x:c r="C153" s="366" t="str">
        <x:v>Sistemas e ingeniería</x:v>
      </x:c>
      <x:c r="D153" s="366" t="str">
        <x:v>Datos y bases de datos</x:v>
      </x:c>
      <x:c r="E153" s="366" t="str">
        <x:v>Datos, BI e IA</x:v>
      </x:c>
      <x:c r="F153" s="366" t="str">
        <x:v>Gobierno, catálogo, linaje y privacidad de datos</x:v>
      </x:c>
      <x:c r="G153" s="366" t="str">
        <x:v>Gobierno, catálogo, linaje y privacidad de datos. Modelado, consulta, calidad, gobierno, rendimiento y pipelines reproducibles.</x:v>
      </x:c>
      <x:c r="H153" s="366" t="str">
        <x:v>DAI-009</x:v>
      </x:c>
      <x:c r="I153" s="366" t="str">
        <x:v>Núcleo esencial</x:v>
      </x:c>
      <x:c r="J153" s="366" t="n">
        <x:v>1</x:v>
      </x:c>
      <x:c r="K153" s="366" t="n">
        <x:v>36</x:v>
      </x:c>
      <x:c r="L153" s="366" t="n">
        <x:v>42</x:v>
      </x:c>
      <x:c r="M153" s="366" t="n">
        <x:v>22</x:v>
      </x:c>
      <x:c r="N153" s="367" t="n">
        <x:f>SUM(K153:M153)</x:f>
        <x:v>100</x:v>
      </x:c>
      <x:c r="O153" s="368" t="n">
        <x:f>N153/25</x:f>
        <x:v>4</x:v>
      </x:c>
      <x:c r="P153" s="366" t="str">
        <x:v>Sistema de datos: Gobierno, catálogo, linaje y privacidad de datos.</x:v>
      </x:c>
      <x:c r="Q153" s="366" t="str">
        <x:v>S01; S07; S17; S18; S20; S37; S38</x:v>
      </x:c>
      <x:c r="R153" s="366" t="str">
        <x:v>No iniciado</x:v>
      </x:c>
      <x:c r="S153" s="369" t="n">
        <x:v>0</x:v>
      </x:c>
      <x:c r="T153" s="370"/>
      <x:c r="U153" s="370"/>
      <x:c r="V153" s="366" t="str">
        <x:v>Une estadística, bases de datos, investigación operativa, aprendizaje automático e IA generativa.</x:v>
      </x:c>
      <x:c r="W153" s="366" t="str">
        <x:v>Muy alta: fundamento durable</x:v>
      </x:c>
      <x:c r="X153" s="366" t="str">
        <x:v>Transversal permanente</x:v>
      </x:c>
      <x:c r="Y153" s="366" t="str">
        <x:v>Consolidada</x:v>
      </x:c>
      <x:c r="Z153" s="366" t="str">
        <x:v>24 meses</x:v>
      </x:c>
      <x:c r="AA153" s="366" t="str">
        <x:v>Modelos multimodales, IA agente, causalidad, privacidad, aprendizaje federado, evaluación y gobernanza.</x:v>
      </x:c>
    </x:row>
    <x:row r="154" ht="58" customHeight="1">
      <x:c r="A154" s="351" t="str">
        <x:v>DAI-011</x:v>
      </x:c>
      <x:c r="B154" s="351" t="n">
        <x:v>3</x:v>
      </x:c>
      <x:c r="C154" s="351" t="str">
        <x:v>Sistemas e ingeniería</x:v>
      </x:c>
      <x:c r="D154" s="351" t="str">
        <x:v>Datos y bases de datos</x:v>
      </x:c>
      <x:c r="E154" s="351" t="str">
        <x:v>Datos, BI e IA</x:v>
      </x:c>
      <x:c r="F154" s="351" t="str">
        <x:v>Ingeniería de datos I</x:v>
      </x:c>
      <x:c r="G154" s="351" t="str">
        <x:v>Ingeniería de datos I. Modelado, consulta, calidad, gobierno, rendimiento y pipelines reproducibles.</x:v>
      </x:c>
      <x:c r="H154" s="351" t="str">
        <x:v>DAI-010</x:v>
      </x:c>
      <x:c r="I154" s="351" t="str">
        <x:v>Núcleo esencial</x:v>
      </x:c>
      <x:c r="J154" s="351" t="n">
        <x:v>1</x:v>
      </x:c>
      <x:c r="K154" s="351" t="n">
        <x:v>36</x:v>
      </x:c>
      <x:c r="L154" s="351" t="n">
        <x:v>42</x:v>
      </x:c>
      <x:c r="M154" s="351" t="n">
        <x:v>22</x:v>
      </x:c>
      <x:c r="N154" s="352" t="n">
        <x:f>SUM(K154:M154)</x:f>
        <x:v>100</x:v>
      </x:c>
      <x:c r="O154" s="353" t="n">
        <x:f>N154/25</x:f>
        <x:v>4</x:v>
      </x:c>
      <x:c r="P154" s="351" t="str">
        <x:v>Sistema de datos: Ingeniería de datos I.</x:v>
      </x:c>
      <x:c r="Q154" s="351" t="str">
        <x:v>S01; S07; S17; S18; S20; S37; S38</x:v>
      </x:c>
      <x:c r="R154" s="351" t="str">
        <x:v>No iniciado</x:v>
      </x:c>
      <x:c r="S154" s="354" t="n">
        <x:v>0</x:v>
      </x:c>
      <x:c r="T154" s="355"/>
      <x:c r="U154" s="355"/>
      <x:c r="V154" s="351" t="str">
        <x:v>Une estadística, bases de datos, investigación operativa, aprendizaje automático e IA generativa.</x:v>
      </x:c>
      <x:c r="W154" s="351" t="str">
        <x:v>Muy alta: fundamento durable</x:v>
      </x:c>
      <x:c r="X154" s="351" t="str">
        <x:v>Transversal permanente</x:v>
      </x:c>
      <x:c r="Y154" s="351" t="str">
        <x:v>Consolidada</x:v>
      </x:c>
      <x:c r="Z154" s="351" t="str">
        <x:v>24 meses</x:v>
      </x:c>
      <x:c r="AA154" s="351" t="str">
        <x:v>Modelos multimodales, IA agente, causalidad, privacidad, aprendizaje federado, evaluación y gobernanza.</x:v>
      </x:c>
    </x:row>
    <x:row r="155" ht="58" customHeight="1">
      <x:c r="A155" s="366" t="str">
        <x:v>DAI-012</x:v>
      </x:c>
      <x:c r="B155" s="366" t="n">
        <x:v>3</x:v>
      </x:c>
      <x:c r="C155" s="366" t="str">
        <x:v>Sistemas e ingeniería</x:v>
      </x:c>
      <x:c r="D155" s="366" t="str">
        <x:v>Datos y bases de datos</x:v>
      </x:c>
      <x:c r="E155" s="366" t="str">
        <x:v>Datos, BI e IA</x:v>
      </x:c>
      <x:c r="F155" s="366" t="str">
        <x:v>Ingeniería de datos II</x:v>
      </x:c>
      <x:c r="G155" s="366" t="str">
        <x:v>Ingeniería de datos II. Modelado, consulta, calidad, gobierno, rendimiento y pipelines reproducibles.</x:v>
      </x:c>
      <x:c r="H155" s="366" t="str">
        <x:v>DAI-011</x:v>
      </x:c>
      <x:c r="I155" s="366" t="str">
        <x:v>Núcleo esencial</x:v>
      </x:c>
      <x:c r="J155" s="366" t="n">
        <x:v>1</x:v>
      </x:c>
      <x:c r="K155" s="366" t="n">
        <x:v>36</x:v>
      </x:c>
      <x:c r="L155" s="366" t="n">
        <x:v>42</x:v>
      </x:c>
      <x:c r="M155" s="366" t="n">
        <x:v>22</x:v>
      </x:c>
      <x:c r="N155" s="367" t="n">
        <x:f>SUM(K155:M155)</x:f>
        <x:v>100</x:v>
      </x:c>
      <x:c r="O155" s="368" t="n">
        <x:f>N155/25</x:f>
        <x:v>4</x:v>
      </x:c>
      <x:c r="P155" s="366" t="str">
        <x:v>Sistema de datos: Ingeniería de datos II.</x:v>
      </x:c>
      <x:c r="Q155" s="366" t="str">
        <x:v>S01; S07; S17; S18; S20; S37; S38</x:v>
      </x:c>
      <x:c r="R155" s="366" t="str">
        <x:v>No iniciado</x:v>
      </x:c>
      <x:c r="S155" s="369" t="n">
        <x:v>0</x:v>
      </x:c>
      <x:c r="T155" s="370"/>
      <x:c r="U155" s="370"/>
      <x:c r="V155" s="366" t="str">
        <x:v>Une estadística, bases de datos, investigación operativa, aprendizaje automático e IA generativa.</x:v>
      </x:c>
      <x:c r="W155" s="366" t="str">
        <x:v>Muy alta: fundamento durable</x:v>
      </x:c>
      <x:c r="X155" s="366" t="str">
        <x:v>Transversal permanente</x:v>
      </x:c>
      <x:c r="Y155" s="366" t="str">
        <x:v>Consolidada</x:v>
      </x:c>
      <x:c r="Z155" s="366" t="str">
        <x:v>24 meses</x:v>
      </x:c>
      <x:c r="AA155" s="366" t="str">
        <x:v>Modelos multimodales, IA agente, causalidad, privacidad, aprendizaje federado, evaluación y gobernanza.</x:v>
      </x:c>
    </x:row>
    <x:row r="156" ht="58" customHeight="1">
      <x:c r="A156" s="351" t="str">
        <x:v>DAI-018</x:v>
      </x:c>
      <x:c r="B156" s="351" t="n">
        <x:v>3</x:v>
      </x:c>
      <x:c r="C156" s="351" t="str">
        <x:v>Sistemas e ingeniería</x:v>
      </x:c>
      <x:c r="D156" s="351" t="str">
        <x:v>Analítica y Business Intelligence</x:v>
      </x:c>
      <x:c r="E156" s="351" t="str">
        <x:v>Datos, BI e IA</x:v>
      </x:c>
      <x:c r="F156" s="351" t="str">
        <x:v>Análisis de datos con Excel y Power Query</x:v>
      </x:c>
      <x:c r="G156" s="351" t="str">
        <x:v>Análisis de datos con Excel y Power Query. Preparación, análisis, visualización, comunicación, seguridad y decisión de negocio.</x:v>
      </x:c>
      <x:c r="H156" s="351" t="str">
        <x:v>MAT-012</x:v>
      </x:c>
      <x:c r="I156" s="351" t="str">
        <x:v>Dominio profesional</x:v>
      </x:c>
      <x:c r="J156" s="351" t="n">
        <x:v>2</x:v>
      </x:c>
      <x:c r="K156" s="351" t="n">
        <x:v>20</x:v>
      </x:c>
      <x:c r="L156" s="351" t="n">
        <x:v>52</x:v>
      </x:c>
      <x:c r="M156" s="351" t="n">
        <x:v>20</x:v>
      </x:c>
      <x:c r="N156" s="352" t="n">
        <x:f>SUM(K156:M156)</x:f>
        <x:v>92</x:v>
      </x:c>
      <x:c r="O156" s="353" t="n">
        <x:f>N156/25</x:f>
        <x:v>3.68</x:v>
      </x:c>
      <x:c r="P156" s="351" t="str">
        <x:v>Dashboard y memo ejecutivo: Análisis de datos con Excel y Power Query.</x:v>
      </x:c>
      <x:c r="Q156" s="351" t="str">
        <x:v>S06; S07; S37; S38; S49</x:v>
      </x:c>
      <x:c r="R156" s="351" t="str">
        <x:v>No iniciado</x:v>
      </x:c>
      <x:c r="S156" s="354" t="n">
        <x:v>0</x:v>
      </x:c>
      <x:c r="T156" s="355"/>
      <x:c r="U156" s="355"/>
      <x:c r="V156" s="351" t="str">
        <x:v>Une estadística, bases de datos, investigación operativa, aprendizaje automático e IA generativa.</x:v>
      </x:c>
      <x:c r="W156" s="351" t="str">
        <x:v>Alta: práctica vigente</x:v>
      </x:c>
      <x:c r="X156" s="351" t="str">
        <x:v>Presente 2026 y corto (2027–2029)</x:v>
      </x:c>
      <x:c r="Y156" s="351" t="str">
        <x:v>Actual</x:v>
      </x:c>
      <x:c r="Z156" s="351" t="str">
        <x:v>12 meses</x:v>
      </x:c>
      <x:c r="AA156" s="351" t="str">
        <x:v>Modelos multimodales, IA agente, causalidad, privacidad, aprendizaje federado, evaluación y gobernanza.</x:v>
      </x:c>
    </x:row>
    <x:row r="157" ht="58" customHeight="1">
      <x:c r="A157" s="366" t="str">
        <x:v>DAI-019</x:v>
      </x:c>
      <x:c r="B157" s="366" t="n">
        <x:v>3</x:v>
      </x:c>
      <x:c r="C157" s="366" t="str">
        <x:v>Sistemas e ingeniería</x:v>
      </x:c>
      <x:c r="D157" s="366" t="str">
        <x:v>Analítica y Business Intelligence</x:v>
      </x:c>
      <x:c r="E157" s="366" t="str">
        <x:v>Datos, BI e IA</x:v>
      </x:c>
      <x:c r="F157" s="366" t="str">
        <x:v>Modelado tabular y DAX</x:v>
      </x:c>
      <x:c r="G157" s="366" t="str">
        <x:v>Modelado tabular y DAX. Preparación, análisis, visualización, comunicación, seguridad y decisión de negocio.</x:v>
      </x:c>
      <x:c r="H157" s="366" t="str">
        <x:v>DAI-018</x:v>
      </x:c>
      <x:c r="I157" s="366" t="str">
        <x:v>Dominio profesional</x:v>
      </x:c>
      <x:c r="J157" s="366" t="n">
        <x:v>2</x:v>
      </x:c>
      <x:c r="K157" s="366" t="n">
        <x:v>20</x:v>
      </x:c>
      <x:c r="L157" s="366" t="n">
        <x:v>52</x:v>
      </x:c>
      <x:c r="M157" s="366" t="n">
        <x:v>20</x:v>
      </x:c>
      <x:c r="N157" s="367" t="n">
        <x:f>SUM(K157:M157)</x:f>
        <x:v>92</x:v>
      </x:c>
      <x:c r="O157" s="368" t="n">
        <x:f>N157/25</x:f>
        <x:v>3.68</x:v>
      </x:c>
      <x:c r="P157" s="366" t="str">
        <x:v>Dashboard y memo ejecutivo: Modelado tabular y DAX.</x:v>
      </x:c>
      <x:c r="Q157" s="366" t="str">
        <x:v>S06; S07; S37; S38; S49</x:v>
      </x:c>
      <x:c r="R157" s="366" t="str">
        <x:v>No iniciado</x:v>
      </x:c>
      <x:c r="S157" s="369" t="n">
        <x:v>0</x:v>
      </x:c>
      <x:c r="T157" s="370"/>
      <x:c r="U157" s="370"/>
      <x:c r="V157" s="366" t="str">
        <x:v>Une estadística, bases de datos, investigación operativa, aprendizaje automático e IA generativa.</x:v>
      </x:c>
      <x:c r="W157" s="366" t="str">
        <x:v>Alta: práctica vigente</x:v>
      </x:c>
      <x:c r="X157" s="366" t="str">
        <x:v>Presente 2026 y corto (2027–2029)</x:v>
      </x:c>
      <x:c r="Y157" s="366" t="str">
        <x:v>Actual</x:v>
      </x:c>
      <x:c r="Z157" s="366" t="str">
        <x:v>12 meses</x:v>
      </x:c>
      <x:c r="AA157" s="366" t="str">
        <x:v>Modelos multimodales, IA agente, causalidad, privacidad, aprendizaje federado, evaluación y gobernanza.</x:v>
      </x:c>
    </x:row>
    <x:row r="158" ht="58" customHeight="1">
      <x:c r="A158" s="351" t="str">
        <x:v>DAI-020</x:v>
      </x:c>
      <x:c r="B158" s="351" t="n">
        <x:v>3</x:v>
      </x:c>
      <x:c r="C158" s="351" t="str">
        <x:v>Sistemas e ingeniería</x:v>
      </x:c>
      <x:c r="D158" s="351" t="str">
        <x:v>Analítica y Business Intelligence</x:v>
      </x:c>
      <x:c r="E158" s="351" t="str">
        <x:v>Datos, BI e IA</x:v>
      </x:c>
      <x:c r="F158" s="351" t="str">
        <x:v>Power BI de analista a nivel profesional</x:v>
      </x:c>
      <x:c r="G158" s="351" t="str">
        <x:v>Power BI de analista a nivel profesional. Preparación, análisis, visualización, comunicación, seguridad y decisión de negocio.</x:v>
      </x:c>
      <x:c r="H158" s="351" t="str">
        <x:v>DAI-019</x:v>
      </x:c>
      <x:c r="I158" s="351" t="str">
        <x:v>Dominio profesional</x:v>
      </x:c>
      <x:c r="J158" s="351" t="n">
        <x:v>2</x:v>
      </x:c>
      <x:c r="K158" s="351" t="n">
        <x:v>20</x:v>
      </x:c>
      <x:c r="L158" s="351" t="n">
        <x:v>52</x:v>
      </x:c>
      <x:c r="M158" s="351" t="n">
        <x:v>20</x:v>
      </x:c>
      <x:c r="N158" s="352" t="n">
        <x:f>SUM(K158:M158)</x:f>
        <x:v>92</x:v>
      </x:c>
      <x:c r="O158" s="353" t="n">
        <x:f>N158/25</x:f>
        <x:v>3.68</x:v>
      </x:c>
      <x:c r="P158" s="351" t="str">
        <x:v>Dashboard y memo ejecutivo: Power BI de analista a nivel profesional.</x:v>
      </x:c>
      <x:c r="Q158" s="351" t="str">
        <x:v>S06; S07; S37; S38; S49</x:v>
      </x:c>
      <x:c r="R158" s="351" t="str">
        <x:v>No iniciado</x:v>
      </x:c>
      <x:c r="S158" s="354" t="n">
        <x:v>0</x:v>
      </x:c>
      <x:c r="T158" s="355"/>
      <x:c r="U158" s="355"/>
      <x:c r="V158" s="351" t="str">
        <x:v>Une estadística, bases de datos, investigación operativa, aprendizaje automático e IA generativa.</x:v>
      </x:c>
      <x:c r="W158" s="351" t="str">
        <x:v>Alta: práctica vigente</x:v>
      </x:c>
      <x:c r="X158" s="351" t="str">
        <x:v>Presente 2026 y corto (2027–2029)</x:v>
      </x:c>
      <x:c r="Y158" s="351" t="str">
        <x:v>Actual</x:v>
      </x:c>
      <x:c r="Z158" s="351" t="str">
        <x:v>12 meses</x:v>
      </x:c>
      <x:c r="AA158" s="351" t="str">
        <x:v>Modelos multimodales, IA agente, causalidad, privacidad, aprendizaje federado, evaluación y gobernanza.</x:v>
      </x:c>
    </x:row>
    <x:row r="159" ht="58" customHeight="1">
      <x:c r="A159" s="366" t="str">
        <x:v>DAI-021</x:v>
      </x:c>
      <x:c r="B159" s="366" t="n">
        <x:v>3</x:v>
      </x:c>
      <x:c r="C159" s="366" t="str">
        <x:v>Sistemas e ingeniería</x:v>
      </x:c>
      <x:c r="D159" s="366" t="str">
        <x:v>Analítica y Business Intelligence</x:v>
      </x:c>
      <x:c r="E159" s="366" t="str">
        <x:v>Datos, BI e IA</x:v>
      </x:c>
      <x:c r="F159" s="366" t="str">
        <x:v>Tableau y visualización interactiva</x:v>
      </x:c>
      <x:c r="G159" s="366" t="str">
        <x:v>Tableau y visualización interactiva. Preparación, análisis, visualización, comunicación, seguridad y decisión de negocio.</x:v>
      </x:c>
      <x:c r="H159" s="366" t="str">
        <x:v>DAI-020</x:v>
      </x:c>
      <x:c r="I159" s="366" t="str">
        <x:v>Dominio profesional</x:v>
      </x:c>
      <x:c r="J159" s="366" t="n">
        <x:v>2</x:v>
      </x:c>
      <x:c r="K159" s="366" t="n">
        <x:v>20</x:v>
      </x:c>
      <x:c r="L159" s="366" t="n">
        <x:v>52</x:v>
      </x:c>
      <x:c r="M159" s="366" t="n">
        <x:v>20</x:v>
      </x:c>
      <x:c r="N159" s="367" t="n">
        <x:f>SUM(K159:M159)</x:f>
        <x:v>92</x:v>
      </x:c>
      <x:c r="O159" s="368" t="n">
        <x:f>N159/25</x:f>
        <x:v>3.68</x:v>
      </x:c>
      <x:c r="P159" s="366" t="str">
        <x:v>Dashboard y memo ejecutivo: Tableau y visualización interactiva.</x:v>
      </x:c>
      <x:c r="Q159" s="366" t="str">
        <x:v>S06; S07; S37; S38; S49</x:v>
      </x:c>
      <x:c r="R159" s="366" t="str">
        <x:v>No iniciado</x:v>
      </x:c>
      <x:c r="S159" s="369" t="n">
        <x:v>0</x:v>
      </x:c>
      <x:c r="T159" s="370"/>
      <x:c r="U159" s="370"/>
      <x:c r="V159" s="366" t="str">
        <x:v>Une estadística, bases de datos, investigación operativa, aprendizaje automático e IA generativa.</x:v>
      </x:c>
      <x:c r="W159" s="366" t="str">
        <x:v>Alta: práctica vigente</x:v>
      </x:c>
      <x:c r="X159" s="366" t="str">
        <x:v>Presente 2026 y corto (2027–2029)</x:v>
      </x:c>
      <x:c r="Y159" s="366" t="str">
        <x:v>Actual</x:v>
      </x:c>
      <x:c r="Z159" s="366" t="str">
        <x:v>12 meses</x:v>
      </x:c>
      <x:c r="AA159" s="366" t="str">
        <x:v>Modelos multimodales, IA agente, causalidad, privacidad, aprendizaje federado, evaluación y gobernanza.</x:v>
      </x:c>
    </x:row>
    <x:row r="160" ht="58" customHeight="1">
      <x:c r="A160" s="351" t="str">
        <x:v>DAI-022</x:v>
      </x:c>
      <x:c r="B160" s="351" t="n">
        <x:v>3</x:v>
      </x:c>
      <x:c r="C160" s="351" t="str">
        <x:v>Sistemas e ingeniería</x:v>
      </x:c>
      <x:c r="D160" s="351" t="str">
        <x:v>Analítica y Business Intelligence</x:v>
      </x:c>
      <x:c r="E160" s="351" t="str">
        <x:v>Datos, BI e IA</x:v>
      </x:c>
      <x:c r="F160" s="351" t="str">
        <x:v>Visualización de datos y storytelling</x:v>
      </x:c>
      <x:c r="G160" s="351" t="str">
        <x:v>Visualización de datos y storytelling. Preparación, análisis, visualización, comunicación, seguridad y decisión de negocio.</x:v>
      </x:c>
      <x:c r="H160" s="351" t="str">
        <x:v>DAI-021</x:v>
      </x:c>
      <x:c r="I160" s="351" t="str">
        <x:v>Dominio profesional</x:v>
      </x:c>
      <x:c r="J160" s="351" t="n">
        <x:v>2</x:v>
      </x:c>
      <x:c r="K160" s="351" t="n">
        <x:v>20</x:v>
      </x:c>
      <x:c r="L160" s="351" t="n">
        <x:v>52</x:v>
      </x:c>
      <x:c r="M160" s="351" t="n">
        <x:v>20</x:v>
      </x:c>
      <x:c r="N160" s="352" t="n">
        <x:f>SUM(K160:M160)</x:f>
        <x:v>92</x:v>
      </x:c>
      <x:c r="O160" s="353" t="n">
        <x:f>N160/25</x:f>
        <x:v>3.68</x:v>
      </x:c>
      <x:c r="P160" s="351" t="str">
        <x:v>Dashboard y memo ejecutivo: Visualización de datos y storytelling.</x:v>
      </x:c>
      <x:c r="Q160" s="351" t="str">
        <x:v>S06; S07; S37; S38; S49</x:v>
      </x:c>
      <x:c r="R160" s="351" t="str">
        <x:v>No iniciado</x:v>
      </x:c>
      <x:c r="S160" s="354" t="n">
        <x:v>0</x:v>
      </x:c>
      <x:c r="T160" s="355"/>
      <x:c r="U160" s="355"/>
      <x:c r="V160" s="351" t="str">
        <x:v>Une estadística, bases de datos, investigación operativa, aprendizaje automático e IA generativa.</x:v>
      </x:c>
      <x:c r="W160" s="351" t="str">
        <x:v>Alta: práctica vigente</x:v>
      </x:c>
      <x:c r="X160" s="351" t="str">
        <x:v>Presente 2026 y corto (2027–2029)</x:v>
      </x:c>
      <x:c r="Y160" s="351" t="str">
        <x:v>Actual</x:v>
      </x:c>
      <x:c r="Z160" s="351" t="str">
        <x:v>12 meses</x:v>
      </x:c>
      <x:c r="AA160" s="351" t="str">
        <x:v>Modelos multimodales, IA agente, causalidad, privacidad, aprendizaje federado, evaluación y gobernanza.</x:v>
      </x:c>
    </x:row>
    <x:row r="161" ht="58" customHeight="1">
      <x:c r="A161" s="366" t="str">
        <x:v>MED-013</x:v>
      </x:c>
      <x:c r="B161" s="366" t="n">
        <x:v>3</x:v>
      </x:c>
      <x:c r="C161" s="366" t="str">
        <x:v>Sistemas e ingeniería</x:v>
      </x:c>
      <x:c r="D161" s="366" t="str">
        <x:v>Diseño gráfico y comunicación visual</x:v>
      </x:c>
      <x:c r="E161" s="366" t="str">
        <x:v>Diseño, foto, cine y multimedia</x:v>
      </x:c>
      <x:c r="F161" s="366" t="str">
        <x:v>Diseño vectorial con Illustrator/Corel</x:v>
      </x:c>
      <x:c r="G161" s="366" t="str">
        <x:v>Diseño vectorial con Illustrator/Corel. Concepto, forma, técnica, crítica, accesibilidad y producción para medios impresos y digitales.</x:v>
      </x:c>
      <x:c r="H161" s="366" t="str">
        <x:v>MED-012</x:v>
      </x:c>
      <x:c r="I161" s="366" t="str">
        <x:v>Frontera/adyacente</x:v>
      </x:c>
      <x:c r="J161" s="366" t="n">
        <x:v>3</x:v>
      </x:c>
      <x:c r="K161" s="366" t="n">
        <x:v>18</x:v>
      </x:c>
      <x:c r="L161" s="366" t="n">
        <x:v>52</x:v>
      </x:c>
      <x:c r="M161" s="366" t="n">
        <x:v>26</x:v>
      </x:c>
      <x:c r="N161" s="367" t="n">
        <x:f>SUM(K161:M161)</x:f>
        <x:v>96</x:v>
      </x:c>
      <x:c r="O161" s="368" t="n">
        <x:f>N161/25</x:f>
        <x:v>3.84</x:v>
      </x:c>
      <x:c r="P161" s="366" t="str">
        <x:v>Pieza de portafolio: Diseño vectorial con Illustrator/Corel.</x:v>
      </x:c>
      <x:c r="Q161" s="366" t="str">
        <x:v>S43; S46</x:v>
      </x:c>
      <x:c r="R161" s="366" t="str">
        <x:v>No iniciado</x:v>
      </x:c>
      <x:c r="S161" s="369" t="n">
        <x:v>0</x:v>
      </x:c>
      <x:c r="T161" s="370"/>
      <x:c r="U161" s="370"/>
      <x:c r="V161" s="366" t="str">
        <x:v>Integra artes visuales y narrativas con reproducción, captura, edición y distribución digital.</x:v>
      </x:c>
      <x:c r="W161" s="366" t="str">
        <x:v>Alta: práctica vigente</x:v>
      </x:c>
      <x:c r="X161" s="366" t="str">
        <x:v>Presente 2026 y corto (2027–2029)</x:v>
      </x:c>
      <x:c r="Y161" s="366" t="str">
        <x:v>Actual</x:v>
      </x:c>
      <x:c r="Z161" s="366" t="str">
        <x:v>12 meses</x:v>
      </x:c>
      <x:c r="AA161" s="366" t="str">
        <x:v>Medios generativos con procedencia, producción virtual, síntesis multimodal y autenticidad verificable.</x:v>
      </x:c>
    </x:row>
    <x:row r="162" ht="58" customHeight="1">
      <x:c r="A162" s="351" t="str">
        <x:v>MED-014</x:v>
      </x:c>
      <x:c r="B162" s="351" t="n">
        <x:v>3</x:v>
      </x:c>
      <x:c r="C162" s="351" t="str">
        <x:v>Sistemas e ingeniería</x:v>
      </x:c>
      <x:c r="D162" s="351" t="str">
        <x:v>Diseño gráfico y comunicación visual</x:v>
      </x:c>
      <x:c r="E162" s="351" t="str">
        <x:v>Diseño, foto, cine y multimedia</x:v>
      </x:c>
      <x:c r="F162" s="351" t="str">
        <x:v>Edición raster con Photoshop/Affinity</x:v>
      </x:c>
      <x:c r="G162" s="351" t="str">
        <x:v>Edición raster con Photoshop/Affinity. Concepto, forma, técnica, crítica, accesibilidad y producción para medios impresos y digitales.</x:v>
      </x:c>
      <x:c r="H162" s="351" t="str">
        <x:v>MED-013</x:v>
      </x:c>
      <x:c r="I162" s="351" t="str">
        <x:v>Frontera/adyacente</x:v>
      </x:c>
      <x:c r="J162" s="351" t="n">
        <x:v>3</x:v>
      </x:c>
      <x:c r="K162" s="351" t="n">
        <x:v>18</x:v>
      </x:c>
      <x:c r="L162" s="351" t="n">
        <x:v>52</x:v>
      </x:c>
      <x:c r="M162" s="351" t="n">
        <x:v>26</x:v>
      </x:c>
      <x:c r="N162" s="352" t="n">
        <x:f>SUM(K162:M162)</x:f>
        <x:v>96</x:v>
      </x:c>
      <x:c r="O162" s="353" t="n">
        <x:f>N162/25</x:f>
        <x:v>3.84</x:v>
      </x:c>
      <x:c r="P162" s="351" t="str">
        <x:v>Pieza de portafolio: Edición raster con Photoshop/Affinity.</x:v>
      </x:c>
      <x:c r="Q162" s="351" t="str">
        <x:v>S43; S46</x:v>
      </x:c>
      <x:c r="R162" s="351" t="str">
        <x:v>No iniciado</x:v>
      </x:c>
      <x:c r="S162" s="354" t="n">
        <x:v>0</x:v>
      </x:c>
      <x:c r="T162" s="355"/>
      <x:c r="U162" s="355"/>
      <x:c r="V162" s="351" t="str">
        <x:v>Integra artes visuales y narrativas con reproducción, captura, edición y distribución digital.</x:v>
      </x:c>
      <x:c r="W162" s="351" t="str">
        <x:v>Alta: práctica vigente</x:v>
      </x:c>
      <x:c r="X162" s="351" t="str">
        <x:v>Presente 2026 y corto (2027–2029)</x:v>
      </x:c>
      <x:c r="Y162" s="351" t="str">
        <x:v>Actual</x:v>
      </x:c>
      <x:c r="Z162" s="351" t="str">
        <x:v>12 meses</x:v>
      </x:c>
      <x:c r="AA162" s="351" t="str">
        <x:v>Medios generativos con procedencia, producción virtual, síntesis multimodal y autenticidad verificable.</x:v>
      </x:c>
    </x:row>
    <x:row r="163" ht="58" customHeight="1">
      <x:c r="A163" s="366" t="str">
        <x:v>MED-015</x:v>
      </x:c>
      <x:c r="B163" s="366" t="n">
        <x:v>3</x:v>
      </x:c>
      <x:c r="C163" s="366" t="str">
        <x:v>Sistemas e ingeniería</x:v>
      </x:c>
      <x:c r="D163" s="366" t="str">
        <x:v>Diseño gráfico y comunicación visual</x:v>
      </x:c>
      <x:c r="E163" s="366" t="str">
        <x:v>Diseño, foto, cine y multimedia</x:v>
      </x:c>
      <x:c r="F163" s="366" t="str">
        <x:v>Maquetación con InDesign/Publisher</x:v>
      </x:c>
      <x:c r="G163" s="366" t="str">
        <x:v>Maquetación con InDesign/Publisher. Concepto, forma, técnica, crítica, accesibilidad y producción para medios impresos y digitales.</x:v>
      </x:c>
      <x:c r="H163" s="366" t="str">
        <x:v>MED-014</x:v>
      </x:c>
      <x:c r="I163" s="366" t="str">
        <x:v>Frontera/adyacente</x:v>
      </x:c>
      <x:c r="J163" s="366" t="n">
        <x:v>3</x:v>
      </x:c>
      <x:c r="K163" s="366" t="n">
        <x:v>18</x:v>
      </x:c>
      <x:c r="L163" s="366" t="n">
        <x:v>52</x:v>
      </x:c>
      <x:c r="M163" s="366" t="n">
        <x:v>26</x:v>
      </x:c>
      <x:c r="N163" s="367" t="n">
        <x:f>SUM(K163:M163)</x:f>
        <x:v>96</x:v>
      </x:c>
      <x:c r="O163" s="368" t="n">
        <x:f>N163/25</x:f>
        <x:v>3.84</x:v>
      </x:c>
      <x:c r="P163" s="366" t="str">
        <x:v>Pieza de portafolio: Maquetación con InDesign/Publisher.</x:v>
      </x:c>
      <x:c r="Q163" s="366" t="str">
        <x:v>S43; S46</x:v>
      </x:c>
      <x:c r="R163" s="366" t="str">
        <x:v>No iniciado</x:v>
      </x:c>
      <x:c r="S163" s="369" t="n">
        <x:v>0</x:v>
      </x:c>
      <x:c r="T163" s="370"/>
      <x:c r="U163" s="370"/>
      <x:c r="V163" s="366" t="str">
        <x:v>Integra artes visuales y narrativas con reproducción, captura, edición y distribución digital.</x:v>
      </x:c>
      <x:c r="W163" s="366" t="str">
        <x:v>Alta: práctica vigente</x:v>
      </x:c>
      <x:c r="X163" s="366" t="str">
        <x:v>Presente 2026 y corto (2027–2029)</x:v>
      </x:c>
      <x:c r="Y163" s="366" t="str">
        <x:v>Actual</x:v>
      </x:c>
      <x:c r="Z163" s="366" t="str">
        <x:v>12 meses</x:v>
      </x:c>
      <x:c r="AA163" s="366" t="str">
        <x:v>Medios generativos con procedencia, producción virtual, síntesis multimodal y autenticidad verificable.</x:v>
      </x:c>
    </x:row>
    <x:row r="164" ht="58" customHeight="1">
      <x:c r="A164" s="351" t="str">
        <x:v>MED-016</x:v>
      </x:c>
      <x:c r="B164" s="351" t="n">
        <x:v>3</x:v>
      </x:c>
      <x:c r="C164" s="351" t="str">
        <x:v>Sistemas e ingeniería</x:v>
      </x:c>
      <x:c r="D164" s="351" t="str">
        <x:v>Diseño gráfico y comunicación visual</x:v>
      </x:c>
      <x:c r="E164" s="351" t="str">
        <x:v>Diseño, foto, cine y multimedia</x:v>
      </x:c>
      <x:c r="F164" s="351" t="str">
        <x:v>Preprensa, color e impresión</x:v>
      </x:c>
      <x:c r="G164" s="351" t="str">
        <x:v>Preprensa, color e impresión. Concepto, forma, técnica, crítica, accesibilidad y producción para medios impresos y digitales.</x:v>
      </x:c>
      <x:c r="H164" s="351" t="str">
        <x:v>MED-015</x:v>
      </x:c>
      <x:c r="I164" s="351" t="str">
        <x:v>Frontera/adyacente</x:v>
      </x:c>
      <x:c r="J164" s="351" t="n">
        <x:v>3</x:v>
      </x:c>
      <x:c r="K164" s="351" t="n">
        <x:v>18</x:v>
      </x:c>
      <x:c r="L164" s="351" t="n">
        <x:v>52</x:v>
      </x:c>
      <x:c r="M164" s="351" t="n">
        <x:v>26</x:v>
      </x:c>
      <x:c r="N164" s="352" t="n">
        <x:f>SUM(K164:M164)</x:f>
        <x:v>96</x:v>
      </x:c>
      <x:c r="O164" s="353" t="n">
        <x:f>N164/25</x:f>
        <x:v>3.84</x:v>
      </x:c>
      <x:c r="P164" s="351" t="str">
        <x:v>Pieza de portafolio: Preprensa, color e impresión.</x:v>
      </x:c>
      <x:c r="Q164" s="351" t="str">
        <x:v>S43; S46</x:v>
      </x:c>
      <x:c r="R164" s="351" t="str">
        <x:v>No iniciado</x:v>
      </x:c>
      <x:c r="S164" s="354" t="n">
        <x:v>0</x:v>
      </x:c>
      <x:c r="T164" s="355"/>
      <x:c r="U164" s="355"/>
      <x:c r="V164" s="351" t="str">
        <x:v>Integra artes visuales y narrativas con reproducción, captura, edición y distribución digital.</x:v>
      </x:c>
      <x:c r="W164" s="351" t="str">
        <x:v>Alta: práctica vigente</x:v>
      </x:c>
      <x:c r="X164" s="351" t="str">
        <x:v>Presente 2026 y corto (2027–2029)</x:v>
      </x:c>
      <x:c r="Y164" s="351" t="str">
        <x:v>Actual</x:v>
      </x:c>
      <x:c r="Z164" s="351" t="str">
        <x:v>12 meses</x:v>
      </x:c>
      <x:c r="AA164" s="351" t="str">
        <x:v>Medios generativos con procedencia, producción virtual, síntesis multimodal y autenticidad verificable.</x:v>
      </x:c>
    </x:row>
    <x:row r="165" ht="58" customHeight="1">
      <x:c r="A165" s="366" t="str">
        <x:v>MED-017</x:v>
      </x:c>
      <x:c r="B165" s="366" t="n">
        <x:v>3</x:v>
      </x:c>
      <x:c r="C165" s="366" t="str">
        <x:v>Sistemas e ingeniería</x:v>
      </x:c>
      <x:c r="D165" s="366" t="str">
        <x:v>Diseño gráfico y comunicación visual</x:v>
      </x:c>
      <x:c r="E165" s="366" t="str">
        <x:v>Diseño, foto, cine y multimedia</x:v>
      </x:c>
      <x:c r="F165" s="366" t="str">
        <x:v>Motion graphics</x:v>
      </x:c>
      <x:c r="G165" s="366" t="str">
        <x:v>Motion graphics. Concepto, forma, técnica, crítica, accesibilidad y producción para medios impresos y digitales.</x:v>
      </x:c>
      <x:c r="H165" s="366" t="str">
        <x:v>MED-016</x:v>
      </x:c>
      <x:c r="I165" s="366" t="str">
        <x:v>Frontera/adyacente</x:v>
      </x:c>
      <x:c r="J165" s="366" t="n">
        <x:v>3</x:v>
      </x:c>
      <x:c r="K165" s="366" t="n">
        <x:v>18</x:v>
      </x:c>
      <x:c r="L165" s="366" t="n">
        <x:v>52</x:v>
      </x:c>
      <x:c r="M165" s="366" t="n">
        <x:v>26</x:v>
      </x:c>
      <x:c r="N165" s="367" t="n">
        <x:f>SUM(K165:M165)</x:f>
        <x:v>96</x:v>
      </x:c>
      <x:c r="O165" s="368" t="n">
        <x:f>N165/25</x:f>
        <x:v>3.84</x:v>
      </x:c>
      <x:c r="P165" s="366" t="str">
        <x:v>Pieza de portafolio: Motion graphics.</x:v>
      </x:c>
      <x:c r="Q165" s="366" t="str">
        <x:v>S43; S46</x:v>
      </x:c>
      <x:c r="R165" s="366" t="str">
        <x:v>No iniciado</x:v>
      </x:c>
      <x:c r="S165" s="369" t="n">
        <x:v>0</x:v>
      </x:c>
      <x:c r="T165" s="370"/>
      <x:c r="U165" s="370"/>
      <x:c r="V165" s="366" t="str">
        <x:v>Integra artes visuales y narrativas con reproducción, captura, edición y distribución digital.</x:v>
      </x:c>
      <x:c r="W165" s="366" t="str">
        <x:v>Alta: práctica vigente</x:v>
      </x:c>
      <x:c r="X165" s="366" t="str">
        <x:v>Presente 2026 y corto (2027–2029)</x:v>
      </x:c>
      <x:c r="Y165" s="366" t="str">
        <x:v>Actual</x:v>
      </x:c>
      <x:c r="Z165" s="366" t="str">
        <x:v>12 meses</x:v>
      </x:c>
      <x:c r="AA165" s="366" t="str">
        <x:v>Medios generativos con procedencia, producción virtual, síntesis multimodal y autenticidad verificable.</x:v>
      </x:c>
    </x:row>
    <x:row r="166" ht="58" customHeight="1">
      <x:c r="A166" s="351" t="str">
        <x:v>MED-018</x:v>
      </x:c>
      <x:c r="B166" s="351" t="n">
        <x:v>3</x:v>
      </x:c>
      <x:c r="C166" s="351" t="str">
        <x:v>Sistemas e ingeniería</x:v>
      </x:c>
      <x:c r="D166" s="351" t="str">
        <x:v>Diseño gráfico y comunicación visual</x:v>
      </x:c>
      <x:c r="E166" s="351" t="str">
        <x:v>Diseño, foto, cine y multimedia</x:v>
      </x:c>
      <x:c r="F166" s="351" t="str">
        <x:v>Diseño 3D y visualización</x:v>
      </x:c>
      <x:c r="G166" s="351" t="str">
        <x:v>Diseño 3D y visualización. Concepto, forma, técnica, crítica, accesibilidad y producción para medios impresos y digitales.</x:v>
      </x:c>
      <x:c r="H166" s="351" t="str">
        <x:v>MED-017</x:v>
      </x:c>
      <x:c r="I166" s="351" t="str">
        <x:v>Frontera/adyacente</x:v>
      </x:c>
      <x:c r="J166" s="351" t="n">
        <x:v>3</x:v>
      </x:c>
      <x:c r="K166" s="351" t="n">
        <x:v>18</x:v>
      </x:c>
      <x:c r="L166" s="351" t="n">
        <x:v>52</x:v>
      </x:c>
      <x:c r="M166" s="351" t="n">
        <x:v>26</x:v>
      </x:c>
      <x:c r="N166" s="352" t="n">
        <x:f>SUM(K166:M166)</x:f>
        <x:v>96</x:v>
      </x:c>
      <x:c r="O166" s="353" t="n">
        <x:f>N166/25</x:f>
        <x:v>3.84</x:v>
      </x:c>
      <x:c r="P166" s="351" t="str">
        <x:v>Pieza de portafolio: Diseño 3D y visualización.</x:v>
      </x:c>
      <x:c r="Q166" s="351" t="str">
        <x:v>S43; S46</x:v>
      </x:c>
      <x:c r="R166" s="351" t="str">
        <x:v>No iniciado</x:v>
      </x:c>
      <x:c r="S166" s="354" t="n">
        <x:v>0</x:v>
      </x:c>
      <x:c r="T166" s="355"/>
      <x:c r="U166" s="355"/>
      <x:c r="V166" s="351" t="str">
        <x:v>Integra artes visuales y narrativas con reproducción, captura, edición y distribución digital.</x:v>
      </x:c>
      <x:c r="W166" s="351" t="str">
        <x:v>Alta: práctica vigente</x:v>
      </x:c>
      <x:c r="X166" s="351" t="str">
        <x:v>Presente 2026 y corto (2027–2029)</x:v>
      </x:c>
      <x:c r="Y166" s="351" t="str">
        <x:v>Actual</x:v>
      </x:c>
      <x:c r="Z166" s="351" t="str">
        <x:v>12 meses</x:v>
      </x:c>
      <x:c r="AA166" s="351" t="str">
        <x:v>Medios generativos con procedencia, producción virtual, síntesis multimodal y autenticidad verificable.</x:v>
      </x:c>
    </x:row>
    <x:row r="167" ht="58" customHeight="1">
      <x:c r="A167" s="366" t="str">
        <x:v>MED-026</x:v>
      </x:c>
      <x:c r="B167" s="366" t="n">
        <x:v>3</x:v>
      </x:c>
      <x:c r="C167" s="366" t="str">
        <x:v>Sistemas e ingeniería</x:v>
      </x:c>
      <x:c r="D167" s="366" t="str">
        <x:v>Fotografía, cine, audio y posproducción</x:v>
      </x:c>
      <x:c r="E167" s="366" t="str">
        <x:v>Diseño, foto, cine y multimedia</x:v>
      </x:c>
      <x:c r="F167" s="366" t="str">
        <x:v>Dirección cinematográfica</x:v>
      </x:c>
      <x:c r="G167" s="366" t="str">
        <x:v>Dirección cinematográfica. Lenguaje, técnica, flujo de producción, narrativa, ética y publicación multiformato.</x:v>
      </x:c>
      <x:c r="H167" s="366" t="str">
        <x:v>MED-025</x:v>
      </x:c>
      <x:c r="I167" s="366" t="str">
        <x:v>Frontera/adyacente</x:v>
      </x:c>
      <x:c r="J167" s="366" t="n">
        <x:v>3</x:v>
      </x:c>
      <x:c r="K167" s="366" t="n">
        <x:v>18</x:v>
      </x:c>
      <x:c r="L167" s="366" t="n">
        <x:v>52</x:v>
      </x:c>
      <x:c r="M167" s="366" t="n">
        <x:v>26</x:v>
      </x:c>
      <x:c r="N167" s="367" t="n">
        <x:f>SUM(K167:M167)</x:f>
        <x:v>96</x:v>
      </x:c>
      <x:c r="O167" s="368" t="n">
        <x:f>N167/25</x:f>
        <x:v>3.84</x:v>
      </x:c>
      <x:c r="P167" s="366" t="str">
        <x:v>Producción audiovisual: Dirección cinematográfica.</x:v>
      </x:c>
      <x:c r="Q167" s="366" t="str">
        <x:v>S44; S45</x:v>
      </x:c>
      <x:c r="R167" s="366" t="str">
        <x:v>No iniciado</x:v>
      </x:c>
      <x:c r="S167" s="369" t="n">
        <x:v>0</x:v>
      </x:c>
      <x:c r="T167" s="370"/>
      <x:c r="U167" s="370"/>
      <x:c r="V167" s="366" t="str">
        <x:v>Integra artes visuales y narrativas con reproducción, captura, edición y distribución digital.</x:v>
      </x:c>
      <x:c r="W167" s="366" t="str">
        <x:v>Alta: práctica vigente</x:v>
      </x:c>
      <x:c r="X167" s="366" t="str">
        <x:v>Presente 2026 y corto (2027–2029)</x:v>
      </x:c>
      <x:c r="Y167" s="366" t="str">
        <x:v>Actual</x:v>
      </x:c>
      <x:c r="Z167" s="366" t="str">
        <x:v>12 meses</x:v>
      </x:c>
      <x:c r="AA167" s="366" t="str">
        <x:v>Medios generativos con procedencia, producción virtual, síntesis multimodal y autenticidad verificable.</x:v>
      </x:c>
    </x:row>
    <x:row r="168" ht="58" customHeight="1">
      <x:c r="A168" s="351" t="str">
        <x:v>MED-027</x:v>
      </x:c>
      <x:c r="B168" s="351" t="n">
        <x:v>3</x:v>
      </x:c>
      <x:c r="C168" s="351" t="str">
        <x:v>Sistemas e ingeniería</x:v>
      </x:c>
      <x:c r="D168" s="351" t="str">
        <x:v>Fotografía, cine, audio y posproducción</x:v>
      </x:c>
      <x:c r="E168" s="351" t="str">
        <x:v>Diseño, foto, cine y multimedia</x:v>
      </x:c>
      <x:c r="F168" s="351" t="str">
        <x:v>Producción audiovisual</x:v>
      </x:c>
      <x:c r="G168" s="351" t="str">
        <x:v>Producción audiovisual. Lenguaje, técnica, flujo de producción, narrativa, ética y publicación multiformato.</x:v>
      </x:c>
      <x:c r="H168" s="351" t="str">
        <x:v>MED-026</x:v>
      </x:c>
      <x:c r="I168" s="351" t="str">
        <x:v>Frontera/adyacente</x:v>
      </x:c>
      <x:c r="J168" s="351" t="n">
        <x:v>3</x:v>
      </x:c>
      <x:c r="K168" s="351" t="n">
        <x:v>18</x:v>
      </x:c>
      <x:c r="L168" s="351" t="n">
        <x:v>52</x:v>
      </x:c>
      <x:c r="M168" s="351" t="n">
        <x:v>26</x:v>
      </x:c>
      <x:c r="N168" s="352" t="n">
        <x:f>SUM(K168:M168)</x:f>
        <x:v>96</x:v>
      </x:c>
      <x:c r="O168" s="353" t="n">
        <x:f>N168/25</x:f>
        <x:v>3.84</x:v>
      </x:c>
      <x:c r="P168" s="351" t="str">
        <x:v>Producción audiovisual: Producción audiovisual.</x:v>
      </x:c>
      <x:c r="Q168" s="351" t="str">
        <x:v>S44; S45</x:v>
      </x:c>
      <x:c r="R168" s="351" t="str">
        <x:v>No iniciado</x:v>
      </x:c>
      <x:c r="S168" s="354" t="n">
        <x:v>0</x:v>
      </x:c>
      <x:c r="T168" s="355"/>
      <x:c r="U168" s="355"/>
      <x:c r="V168" s="351" t="str">
        <x:v>Integra artes visuales y narrativas con reproducción, captura, edición y distribución digital.</x:v>
      </x:c>
      <x:c r="W168" s="351" t="str">
        <x:v>Alta: práctica vigente</x:v>
      </x:c>
      <x:c r="X168" s="351" t="str">
        <x:v>Presente 2026 y corto (2027–2029)</x:v>
      </x:c>
      <x:c r="Y168" s="351" t="str">
        <x:v>Actual</x:v>
      </x:c>
      <x:c r="Z168" s="351" t="str">
        <x:v>12 meses</x:v>
      </x:c>
      <x:c r="AA168" s="351" t="str">
        <x:v>Medios generativos con procedencia, producción virtual, síntesis multimodal y autenticidad verificable.</x:v>
      </x:c>
    </x:row>
    <x:row r="169" ht="58" customHeight="1">
      <x:c r="A169" s="366" t="str">
        <x:v>MED-028</x:v>
      </x:c>
      <x:c r="B169" s="366" t="n">
        <x:v>3</x:v>
      </x:c>
      <x:c r="C169" s="366" t="str">
        <x:v>Sistemas e ingeniería</x:v>
      </x:c>
      <x:c r="D169" s="366" t="str">
        <x:v>Fotografía, cine, audio y posproducción</x:v>
      </x:c>
      <x:c r="E169" s="366" t="str">
        <x:v>Diseño, foto, cine y multimedia</x:v>
      </x:c>
      <x:c r="F169" s="366" t="str">
        <x:v>Cinematografía y cámara</x:v>
      </x:c>
      <x:c r="G169" s="366" t="str">
        <x:v>Cinematografía y cámara. Lenguaje, técnica, flujo de producción, narrativa, ética y publicación multiformato.</x:v>
      </x:c>
      <x:c r="H169" s="366" t="str">
        <x:v>MED-027</x:v>
      </x:c>
      <x:c r="I169" s="366" t="str">
        <x:v>Frontera/adyacente</x:v>
      </x:c>
      <x:c r="J169" s="366" t="n">
        <x:v>3</x:v>
      </x:c>
      <x:c r="K169" s="366" t="n">
        <x:v>18</x:v>
      </x:c>
      <x:c r="L169" s="366" t="n">
        <x:v>52</x:v>
      </x:c>
      <x:c r="M169" s="366" t="n">
        <x:v>26</x:v>
      </x:c>
      <x:c r="N169" s="367" t="n">
        <x:f>SUM(K169:M169)</x:f>
        <x:v>96</x:v>
      </x:c>
      <x:c r="O169" s="368" t="n">
        <x:f>N169/25</x:f>
        <x:v>3.84</x:v>
      </x:c>
      <x:c r="P169" s="366" t="str">
        <x:v>Producción audiovisual: Cinematografía y cámara.</x:v>
      </x:c>
      <x:c r="Q169" s="366" t="str">
        <x:v>S44; S45</x:v>
      </x:c>
      <x:c r="R169" s="366" t="str">
        <x:v>No iniciado</x:v>
      </x:c>
      <x:c r="S169" s="369" t="n">
        <x:v>0</x:v>
      </x:c>
      <x:c r="T169" s="370"/>
      <x:c r="U169" s="370"/>
      <x:c r="V169" s="366" t="str">
        <x:v>Integra artes visuales y narrativas con reproducción, captura, edición y distribución digital.</x:v>
      </x:c>
      <x:c r="W169" s="366" t="str">
        <x:v>Alta: práctica vigente</x:v>
      </x:c>
      <x:c r="X169" s="366" t="str">
        <x:v>Presente 2026 y corto (2027–2029)</x:v>
      </x:c>
      <x:c r="Y169" s="366" t="str">
        <x:v>Actual</x:v>
      </x:c>
      <x:c r="Z169" s="366" t="str">
        <x:v>12 meses</x:v>
      </x:c>
      <x:c r="AA169" s="366" t="str">
        <x:v>Medios generativos con procedencia, producción virtual, síntesis multimodal y autenticidad verificable.</x:v>
      </x:c>
    </x:row>
    <x:row r="170" ht="58" customHeight="1">
      <x:c r="A170" s="351" t="str">
        <x:v>MED-029</x:v>
      </x:c>
      <x:c r="B170" s="351" t="n">
        <x:v>3</x:v>
      </x:c>
      <x:c r="C170" s="351" t="str">
        <x:v>Sistemas e ingeniería</x:v>
      </x:c>
      <x:c r="D170" s="351" t="str">
        <x:v>Fotografía, cine, audio y posproducción</x:v>
      </x:c>
      <x:c r="E170" s="351" t="str">
        <x:v>Diseño, foto, cine y multimedia</x:v>
      </x:c>
      <x:c r="F170" s="351" t="str">
        <x:v>Iluminación para cine y video</x:v>
      </x:c>
      <x:c r="G170" s="351" t="str">
        <x:v>Iluminación para cine y video. Lenguaje, técnica, flujo de producción, narrativa, ética y publicación multiformato.</x:v>
      </x:c>
      <x:c r="H170" s="351" t="str">
        <x:v>MED-028</x:v>
      </x:c>
      <x:c r="I170" s="351" t="str">
        <x:v>Frontera/adyacente</x:v>
      </x:c>
      <x:c r="J170" s="351" t="n">
        <x:v>3</x:v>
      </x:c>
      <x:c r="K170" s="351" t="n">
        <x:v>18</x:v>
      </x:c>
      <x:c r="L170" s="351" t="n">
        <x:v>52</x:v>
      </x:c>
      <x:c r="M170" s="351" t="n">
        <x:v>26</x:v>
      </x:c>
      <x:c r="N170" s="352" t="n">
        <x:f>SUM(K170:M170)</x:f>
        <x:v>96</x:v>
      </x:c>
      <x:c r="O170" s="353" t="n">
        <x:f>N170/25</x:f>
        <x:v>3.84</x:v>
      </x:c>
      <x:c r="P170" s="351" t="str">
        <x:v>Producción audiovisual: Iluminación para cine y video.</x:v>
      </x:c>
      <x:c r="Q170" s="351" t="str">
        <x:v>S44; S45</x:v>
      </x:c>
      <x:c r="R170" s="351" t="str">
        <x:v>No iniciado</x:v>
      </x:c>
      <x:c r="S170" s="354" t="n">
        <x:v>0</x:v>
      </x:c>
      <x:c r="T170" s="355"/>
      <x:c r="U170" s="355"/>
      <x:c r="V170" s="351" t="str">
        <x:v>Integra artes visuales y narrativas con reproducción, captura, edición y distribución digital.</x:v>
      </x:c>
      <x:c r="W170" s="351" t="str">
        <x:v>Alta: práctica vigente</x:v>
      </x:c>
      <x:c r="X170" s="351" t="str">
        <x:v>Presente 2026 y corto (2027–2029)</x:v>
      </x:c>
      <x:c r="Y170" s="351" t="str">
        <x:v>Actual</x:v>
      </x:c>
      <x:c r="Z170" s="351" t="str">
        <x:v>12 meses</x:v>
      </x:c>
      <x:c r="AA170" s="351" t="str">
        <x:v>Medios generativos con procedencia, producción virtual, síntesis multimodal y autenticidad verificable.</x:v>
      </x:c>
    </x:row>
    <x:row r="171" ht="58" customHeight="1">
      <x:c r="A171" s="366" t="str">
        <x:v>MED-030</x:v>
      </x:c>
      <x:c r="B171" s="366" t="n">
        <x:v>3</x:v>
      </x:c>
      <x:c r="C171" s="366" t="str">
        <x:v>Sistemas e ingeniería</x:v>
      </x:c>
      <x:c r="D171" s="366" t="str">
        <x:v>Fotografía, cine, audio y posproducción</x:v>
      </x:c>
      <x:c r="E171" s="366" t="str">
        <x:v>Diseño, foto, cine y multimedia</x:v>
      </x:c>
      <x:c r="F171" s="366" t="str">
        <x:v>Sonido, grabación y mezcla</x:v>
      </x:c>
      <x:c r="G171" s="366" t="str">
        <x:v>Sonido, grabación y mezcla. Lenguaje, técnica, flujo de producción, narrativa, ética y publicación multiformato.</x:v>
      </x:c>
      <x:c r="H171" s="366" t="str">
        <x:v>MED-029</x:v>
      </x:c>
      <x:c r="I171" s="366" t="str">
        <x:v>Frontera/adyacente</x:v>
      </x:c>
      <x:c r="J171" s="366" t="n">
        <x:v>3</x:v>
      </x:c>
      <x:c r="K171" s="366" t="n">
        <x:v>18</x:v>
      </x:c>
      <x:c r="L171" s="366" t="n">
        <x:v>52</x:v>
      </x:c>
      <x:c r="M171" s="366" t="n">
        <x:v>26</x:v>
      </x:c>
      <x:c r="N171" s="367" t="n">
        <x:f>SUM(K171:M171)</x:f>
        <x:v>96</x:v>
      </x:c>
      <x:c r="O171" s="368" t="n">
        <x:f>N171/25</x:f>
        <x:v>3.84</x:v>
      </x:c>
      <x:c r="P171" s="366" t="str">
        <x:v>Producción audiovisual: Sonido, grabación y mezcla.</x:v>
      </x:c>
      <x:c r="Q171" s="366" t="str">
        <x:v>S44; S45</x:v>
      </x:c>
      <x:c r="R171" s="366" t="str">
        <x:v>No iniciado</x:v>
      </x:c>
      <x:c r="S171" s="369" t="n">
        <x:v>0</x:v>
      </x:c>
      <x:c r="T171" s="370"/>
      <x:c r="U171" s="370"/>
      <x:c r="V171" s="366" t="str">
        <x:v>Integra artes visuales y narrativas con reproducción, captura, edición y distribución digital.</x:v>
      </x:c>
      <x:c r="W171" s="366" t="str">
        <x:v>Alta: práctica vigente</x:v>
      </x:c>
      <x:c r="X171" s="366" t="str">
        <x:v>Presente 2026 y corto (2027–2029)</x:v>
      </x:c>
      <x:c r="Y171" s="366" t="str">
        <x:v>Actual</x:v>
      </x:c>
      <x:c r="Z171" s="366" t="str">
        <x:v>12 meses</x:v>
      </x:c>
      <x:c r="AA171" s="366" t="str">
        <x:v>Medios generativos con procedencia, producción virtual, síntesis multimodal y autenticidad verificable.</x:v>
      </x:c>
    </x:row>
    <x:row r="172" ht="58" customHeight="1">
      <x:c r="A172" s="351" t="str">
        <x:v>MED-031</x:v>
      </x:c>
      <x:c r="B172" s="351" t="n">
        <x:v>3</x:v>
      </x:c>
      <x:c r="C172" s="351" t="str">
        <x:v>Sistemas e ingeniería</x:v>
      </x:c>
      <x:c r="D172" s="351" t="str">
        <x:v>Fotografía, cine, audio y posproducción</x:v>
      </x:c>
      <x:c r="E172" s="351" t="str">
        <x:v>Diseño, foto, cine y multimedia</x:v>
      </x:c>
      <x:c r="F172" s="351" t="str">
        <x:v>Edición de video</x:v>
      </x:c>
      <x:c r="G172" s="351" t="str">
        <x:v>Edición de video. Lenguaje, técnica, flujo de producción, narrativa, ética y publicación multiformato.</x:v>
      </x:c>
      <x:c r="H172" s="351" t="str">
        <x:v>MED-030</x:v>
      </x:c>
      <x:c r="I172" s="351" t="str">
        <x:v>Frontera/adyacente</x:v>
      </x:c>
      <x:c r="J172" s="351" t="n">
        <x:v>3</x:v>
      </x:c>
      <x:c r="K172" s="351" t="n">
        <x:v>18</x:v>
      </x:c>
      <x:c r="L172" s="351" t="n">
        <x:v>52</x:v>
      </x:c>
      <x:c r="M172" s="351" t="n">
        <x:v>26</x:v>
      </x:c>
      <x:c r="N172" s="352" t="n">
        <x:f>SUM(K172:M172)</x:f>
        <x:v>96</x:v>
      </x:c>
      <x:c r="O172" s="353" t="n">
        <x:f>N172/25</x:f>
        <x:v>3.84</x:v>
      </x:c>
      <x:c r="P172" s="351" t="str">
        <x:v>Producción audiovisual: Edición de video.</x:v>
      </x:c>
      <x:c r="Q172" s="351" t="str">
        <x:v>S44; S45</x:v>
      </x:c>
      <x:c r="R172" s="351" t="str">
        <x:v>No iniciado</x:v>
      </x:c>
      <x:c r="S172" s="354" t="n">
        <x:v>0</x:v>
      </x:c>
      <x:c r="T172" s="355"/>
      <x:c r="U172" s="355"/>
      <x:c r="V172" s="351" t="str">
        <x:v>Integra artes visuales y narrativas con reproducción, captura, edición y distribución digital.</x:v>
      </x:c>
      <x:c r="W172" s="351" t="str">
        <x:v>Alta: práctica vigente</x:v>
      </x:c>
      <x:c r="X172" s="351" t="str">
        <x:v>Presente 2026 y corto (2027–2029)</x:v>
      </x:c>
      <x:c r="Y172" s="351" t="str">
        <x:v>Actual</x:v>
      </x:c>
      <x:c r="Z172" s="351" t="str">
        <x:v>12 meses</x:v>
      </x:c>
      <x:c r="AA172" s="351" t="str">
        <x:v>Medios generativos con procedencia, producción virtual, síntesis multimodal y autenticidad verificable.</x:v>
      </x:c>
    </x:row>
    <x:row r="173" ht="58" customHeight="1">
      <x:c r="A173" s="366" t="str">
        <x:v>MED-032</x:v>
      </x:c>
      <x:c r="B173" s="366" t="n">
        <x:v>3</x:v>
      </x:c>
      <x:c r="C173" s="366" t="str">
        <x:v>Sistemas e ingeniería</x:v>
      </x:c>
      <x:c r="D173" s="366" t="str">
        <x:v>Fotografía, cine, audio y posproducción</x:v>
      </x:c>
      <x:c r="E173" s="366" t="str">
        <x:v>Diseño, foto, cine y multimedia</x:v>
      </x:c>
      <x:c r="F173" s="366" t="str">
        <x:v>Corrección y gradación de color</x:v>
      </x:c>
      <x:c r="G173" s="366" t="str">
        <x:v>Corrección y gradación de color. Lenguaje, técnica, flujo de producción, narrativa, ética y publicación multiformato.</x:v>
      </x:c>
      <x:c r="H173" s="366" t="str">
        <x:v>MED-031</x:v>
      </x:c>
      <x:c r="I173" s="366" t="str">
        <x:v>Frontera/adyacente</x:v>
      </x:c>
      <x:c r="J173" s="366" t="n">
        <x:v>3</x:v>
      </x:c>
      <x:c r="K173" s="366" t="n">
        <x:v>18</x:v>
      </x:c>
      <x:c r="L173" s="366" t="n">
        <x:v>52</x:v>
      </x:c>
      <x:c r="M173" s="366" t="n">
        <x:v>26</x:v>
      </x:c>
      <x:c r="N173" s="367" t="n">
        <x:f>SUM(K173:M173)</x:f>
        <x:v>96</x:v>
      </x:c>
      <x:c r="O173" s="368" t="n">
        <x:f>N173/25</x:f>
        <x:v>3.84</x:v>
      </x:c>
      <x:c r="P173" s="366" t="str">
        <x:v>Producción audiovisual: Corrección y gradación de color.</x:v>
      </x:c>
      <x:c r="Q173" s="366" t="str">
        <x:v>S44; S45</x:v>
      </x:c>
      <x:c r="R173" s="366" t="str">
        <x:v>No iniciado</x:v>
      </x:c>
      <x:c r="S173" s="369" t="n">
        <x:v>0</x:v>
      </x:c>
      <x:c r="T173" s="370"/>
      <x:c r="U173" s="370"/>
      <x:c r="V173" s="366" t="str">
        <x:v>Integra artes visuales y narrativas con reproducción, captura, edición y distribución digital.</x:v>
      </x:c>
      <x:c r="W173" s="366" t="str">
        <x:v>Alta: práctica vigente</x:v>
      </x:c>
      <x:c r="X173" s="366" t="str">
        <x:v>Presente 2026 y corto (2027–2029)</x:v>
      </x:c>
      <x:c r="Y173" s="366" t="str">
        <x:v>Actual</x:v>
      </x:c>
      <x:c r="Z173" s="366" t="str">
        <x:v>12 meses</x:v>
      </x:c>
      <x:c r="AA173" s="366" t="str">
        <x:v>Medios generativos con procedencia, producción virtual, síntesis multimodal y autenticidad verificable.</x:v>
      </x:c>
    </x:row>
    <x:row r="174" ht="58" customHeight="1">
      <x:c r="A174" s="351" t="str">
        <x:v>EIO-007</x:v>
      </x:c>
      <x:c r="B174" s="351" t="n">
        <x:v>3</x:v>
      </x:c>
      <x:c r="C174" s="351" t="str">
        <x:v>Sistemas e ingeniería</x:v>
      </x:c>
      <x:c r="D174" s="351" t="str">
        <x:v>Electrónica y hardware</x:v>
      </x:c>
      <x:c r="E174" s="351" t="str">
        <x:v>Electrónica, embebidos e IoT</x:v>
      </x:c>
      <x:c r="F174" s="351" t="str">
        <x:v>Dispositivos semiconductores</x:v>
      </x:c>
      <x:c r="G174" s="351" t="str">
        <x:v>Dispositivos semiconductores. Cálculo, simulación, medición con instrumentos, seguridad y montaje en laboratorio.</x:v>
      </x:c>
      <x:c r="H174" s="351" t="str">
        <x:v>EIO-006</x:v>
      </x:c>
      <x:c r="I174" s="351" t="str">
        <x:v>Núcleo esencial</x:v>
      </x:c>
      <x:c r="J174" s="351" t="n">
        <x:v>1</x:v>
      </x:c>
      <x:c r="K174" s="351" t="n">
        <x:v>36</x:v>
      </x:c>
      <x:c r="L174" s="351" t="n">
        <x:v>42</x:v>
      </x:c>
      <x:c r="M174" s="351" t="n">
        <x:v>22</x:v>
      </x:c>
      <x:c r="N174" s="352" t="n">
        <x:f>SUM(K174:M174)</x:f>
        <x:v>100</x:v>
      </x:c>
      <x:c r="O174" s="353" t="n">
        <x:f>N174/25</x:f>
        <x:v>4</x:v>
      </x:c>
      <x:c r="P174" s="351" t="str">
        <x:v>Circuito medido y documentado: Dispositivos semiconductores.</x:v>
      </x:c>
      <x:c r="Q174" s="351" t="str">
        <x:v>S04; S10; S13; S21; S26; S48</x:v>
      </x:c>
      <x:c r="R174" s="351" t="str">
        <x:v>No iniciado</x:v>
      </x:c>
      <x:c r="S174" s="354" t="n">
        <x:v>0</x:v>
      </x:c>
      <x:c r="T174" s="355"/>
      <x:c r="U174" s="355"/>
      <x:c r="V174" s="351" t="str">
        <x:v>Desciende de electricidad, radio, semiconductores, microcontroladores y control digital.</x:v>
      </x:c>
      <x:c r="W174" s="351" t="str">
        <x:v>Muy alta: fundamento durable</x:v>
      </x:c>
      <x:c r="X174" s="351" t="str">
        <x:v>Transversal permanente</x:v>
      </x:c>
      <x:c r="Y174" s="351" t="str">
        <x:v>Consolidada</x:v>
      </x:c>
      <x:c r="Z174" s="351" t="str">
        <x:v>24 meses</x:v>
      </x:c>
      <x:c r="AA174" s="351" t="str">
        <x:v>TinyML, gemelos digitales, sensores distribuidos, diseño abierto y electrónica flexible o integrada.</x:v>
      </x:c>
    </x:row>
    <x:row r="175" ht="58" customHeight="1">
      <x:c r="A175" s="366" t="str">
        <x:v>EIO-008</x:v>
      </x:c>
      <x:c r="B175" s="366" t="n">
        <x:v>3</x:v>
      </x:c>
      <x:c r="C175" s="366" t="str">
        <x:v>Sistemas e ingeniería</x:v>
      </x:c>
      <x:c r="D175" s="366" t="str">
        <x:v>Electrónica y hardware</x:v>
      </x:c>
      <x:c r="E175" s="366" t="str">
        <x:v>Electrónica, embebidos e IoT</x:v>
      </x:c>
      <x:c r="F175" s="366" t="str">
        <x:v>Electrónica de potencia</x:v>
      </x:c>
      <x:c r="G175" s="366" t="str">
        <x:v>Electrónica de potencia. Cálculo, simulación, medición con instrumentos, seguridad y montaje en laboratorio.</x:v>
      </x:c>
      <x:c r="H175" s="366" t="str">
        <x:v>EIO-007</x:v>
      </x:c>
      <x:c r="I175" s="366" t="str">
        <x:v>Núcleo esencial</x:v>
      </x:c>
      <x:c r="J175" s="366" t="n">
        <x:v>1</x:v>
      </x:c>
      <x:c r="K175" s="366" t="n">
        <x:v>36</x:v>
      </x:c>
      <x:c r="L175" s="366" t="n">
        <x:v>42</x:v>
      </x:c>
      <x:c r="M175" s="366" t="n">
        <x:v>22</x:v>
      </x:c>
      <x:c r="N175" s="367" t="n">
        <x:f>SUM(K175:M175)</x:f>
        <x:v>100</x:v>
      </x:c>
      <x:c r="O175" s="368" t="n">
        <x:f>N175/25</x:f>
        <x:v>4</x:v>
      </x:c>
      <x:c r="P175" s="366" t="str">
        <x:v>Circuito medido y documentado: Electrónica de potencia.</x:v>
      </x:c>
      <x:c r="Q175" s="366" t="str">
        <x:v>S04; S10; S13; S21; S26; S48</x:v>
      </x:c>
      <x:c r="R175" s="366" t="str">
        <x:v>No iniciado</x:v>
      </x:c>
      <x:c r="S175" s="369" t="n">
        <x:v>0</x:v>
      </x:c>
      <x:c r="T175" s="370"/>
      <x:c r="U175" s="370"/>
      <x:c r="V175" s="366" t="str">
        <x:v>Desciende de electricidad, radio, semiconductores, microcontroladores y control digital.</x:v>
      </x:c>
      <x:c r="W175" s="366" t="str">
        <x:v>Muy alta: fundamento durable</x:v>
      </x:c>
      <x:c r="X175" s="366" t="str">
        <x:v>Transversal permanente</x:v>
      </x:c>
      <x:c r="Y175" s="366" t="str">
        <x:v>Consolidada</x:v>
      </x:c>
      <x:c r="Z175" s="366" t="str">
        <x:v>24 meses</x:v>
      </x:c>
      <x:c r="AA175" s="366" t="str">
        <x:v>TinyML, gemelos digitales, sensores distribuidos, diseño abierto y electrónica flexible o integrada.</x:v>
      </x:c>
    </x:row>
    <x:row r="176" ht="58" customHeight="1">
      <x:c r="A176" s="351" t="str">
        <x:v>EIO-009</x:v>
      </x:c>
      <x:c r="B176" s="351" t="n">
        <x:v>3</x:v>
      </x:c>
      <x:c r="C176" s="351" t="str">
        <x:v>Sistemas e ingeniería</x:v>
      </x:c>
      <x:c r="D176" s="351" t="str">
        <x:v>Electrónica y hardware</x:v>
      </x:c>
      <x:c r="E176" s="351" t="str">
        <x:v>Electrónica, embebidos e IoT</x:v>
      </x:c>
      <x:c r="F176" s="351" t="str">
        <x:v>Instrumentación y metrología</x:v>
      </x:c>
      <x:c r="G176" s="351" t="str">
        <x:v>Instrumentación y metrología. Cálculo, simulación, medición con instrumentos, seguridad y montaje en laboratorio.</x:v>
      </x:c>
      <x:c r="H176" s="351" t="str">
        <x:v>EIO-008</x:v>
      </x:c>
      <x:c r="I176" s="351" t="str">
        <x:v>Núcleo esencial</x:v>
      </x:c>
      <x:c r="J176" s="351" t="n">
        <x:v>1</x:v>
      </x:c>
      <x:c r="K176" s="351" t="n">
        <x:v>36</x:v>
      </x:c>
      <x:c r="L176" s="351" t="n">
        <x:v>42</x:v>
      </x:c>
      <x:c r="M176" s="351" t="n">
        <x:v>22</x:v>
      </x:c>
      <x:c r="N176" s="352" t="n">
        <x:f>SUM(K176:M176)</x:f>
        <x:v>100</x:v>
      </x:c>
      <x:c r="O176" s="353" t="n">
        <x:f>N176/25</x:f>
        <x:v>4</x:v>
      </x:c>
      <x:c r="P176" s="351" t="str">
        <x:v>Circuito medido y documentado: Instrumentación y metrología.</x:v>
      </x:c>
      <x:c r="Q176" s="351" t="str">
        <x:v>S04; S10; S13; S21; S26; S48</x:v>
      </x:c>
      <x:c r="R176" s="351" t="str">
        <x:v>No iniciado</x:v>
      </x:c>
      <x:c r="S176" s="354" t="n">
        <x:v>0</x:v>
      </x:c>
      <x:c r="T176" s="355"/>
      <x:c r="U176" s="355"/>
      <x:c r="V176" s="351" t="str">
        <x:v>Desciende de electricidad, radio, semiconductores, microcontroladores y control digital.</x:v>
      </x:c>
      <x:c r="W176" s="351" t="str">
        <x:v>Muy alta: fundamento durable</x:v>
      </x:c>
      <x:c r="X176" s="351" t="str">
        <x:v>Transversal permanente</x:v>
      </x:c>
      <x:c r="Y176" s="351" t="str">
        <x:v>Consolidada</x:v>
      </x:c>
      <x:c r="Z176" s="351" t="str">
        <x:v>24 meses</x:v>
      </x:c>
      <x:c r="AA176" s="351" t="str">
        <x:v>TinyML, gemelos digitales, sensores distribuidos, diseño abierto y electrónica flexible o integrada.</x:v>
      </x:c>
    </x:row>
    <x:row r="177" ht="58" customHeight="1">
      <x:c r="A177" s="366" t="str">
        <x:v>EIO-010</x:v>
      </x:c>
      <x:c r="B177" s="366" t="n">
        <x:v>3</x:v>
      </x:c>
      <x:c r="C177" s="366" t="str">
        <x:v>Sistemas e ingeniería</x:v>
      </x:c>
      <x:c r="D177" s="366" t="str">
        <x:v>Electrónica y hardware</x:v>
      </x:c>
      <x:c r="E177" s="366" t="str">
        <x:v>Electrónica, embebidos e IoT</x:v>
      </x:c>
      <x:c r="F177" s="366" t="str">
        <x:v>Procesamiento digital de señales</x:v>
      </x:c>
      <x:c r="G177" s="366" t="str">
        <x:v>Procesamiento digital de señales. Cálculo, simulación, medición con instrumentos, seguridad y montaje en laboratorio.</x:v>
      </x:c>
      <x:c r="H177" s="366" t="str">
        <x:v>EIO-009</x:v>
      </x:c>
      <x:c r="I177" s="366" t="str">
        <x:v>Núcleo esencial</x:v>
      </x:c>
      <x:c r="J177" s="366" t="n">
        <x:v>1</x:v>
      </x:c>
      <x:c r="K177" s="366" t="n">
        <x:v>36</x:v>
      </x:c>
      <x:c r="L177" s="366" t="n">
        <x:v>42</x:v>
      </x:c>
      <x:c r="M177" s="366" t="n">
        <x:v>22</x:v>
      </x:c>
      <x:c r="N177" s="367" t="n">
        <x:f>SUM(K177:M177)</x:f>
        <x:v>100</x:v>
      </x:c>
      <x:c r="O177" s="368" t="n">
        <x:f>N177/25</x:f>
        <x:v>4</x:v>
      </x:c>
      <x:c r="P177" s="366" t="str">
        <x:v>Circuito medido y documentado: Procesamiento digital de señales.</x:v>
      </x:c>
      <x:c r="Q177" s="366" t="str">
        <x:v>S04; S10; S13; S21; S26; S48</x:v>
      </x:c>
      <x:c r="R177" s="366" t="str">
        <x:v>No iniciado</x:v>
      </x:c>
      <x:c r="S177" s="369" t="n">
        <x:v>0</x:v>
      </x:c>
      <x:c r="T177" s="370"/>
      <x:c r="U177" s="370"/>
      <x:c r="V177" s="366" t="str">
        <x:v>Desciende de electricidad, radio, semiconductores, microcontroladores y control digital.</x:v>
      </x:c>
      <x:c r="W177" s="366" t="str">
        <x:v>Muy alta: fundamento durable</x:v>
      </x:c>
      <x:c r="X177" s="366" t="str">
        <x:v>Transversal permanente</x:v>
      </x:c>
      <x:c r="Y177" s="366" t="str">
        <x:v>Consolidada</x:v>
      </x:c>
      <x:c r="Z177" s="366" t="str">
        <x:v>24 meses</x:v>
      </x:c>
      <x:c r="AA177" s="366" t="str">
        <x:v>TinyML, gemelos digitales, sensores distribuidos, diseño abierto y electrónica flexible o integrada.</x:v>
      </x:c>
    </x:row>
    <x:row r="178" ht="58" customHeight="1">
      <x:c r="A178" s="351" t="str">
        <x:v>EIO-011</x:v>
      </x:c>
      <x:c r="B178" s="351" t="n">
        <x:v>3</x:v>
      </x:c>
      <x:c r="C178" s="351" t="str">
        <x:v>Sistemas e ingeniería</x:v>
      </x:c>
      <x:c r="D178" s="351" t="str">
        <x:v>Electrónica y hardware</x:v>
      </x:c>
      <x:c r="E178" s="351" t="str">
        <x:v>Electrónica, embebidos e IoT</x:v>
      </x:c>
      <x:c r="F178" s="351" t="str">
        <x:v>Diseño de PCB</x:v>
      </x:c>
      <x:c r="G178" s="351" t="str">
        <x:v>Diseño de PCB. Cálculo, simulación, medición con instrumentos, seguridad y montaje en laboratorio.</x:v>
      </x:c>
      <x:c r="H178" s="351" t="str">
        <x:v>EIO-010</x:v>
      </x:c>
      <x:c r="I178" s="351" t="str">
        <x:v>Núcleo esencial</x:v>
      </x:c>
      <x:c r="J178" s="351" t="n">
        <x:v>1</x:v>
      </x:c>
      <x:c r="K178" s="351" t="n">
        <x:v>36</x:v>
      </x:c>
      <x:c r="L178" s="351" t="n">
        <x:v>42</x:v>
      </x:c>
      <x:c r="M178" s="351" t="n">
        <x:v>22</x:v>
      </x:c>
      <x:c r="N178" s="352" t="n">
        <x:f>SUM(K178:M178)</x:f>
        <x:v>100</x:v>
      </x:c>
      <x:c r="O178" s="353" t="n">
        <x:f>N178/25</x:f>
        <x:v>4</x:v>
      </x:c>
      <x:c r="P178" s="351" t="str">
        <x:v>Circuito medido y documentado: Diseño de PCB.</x:v>
      </x:c>
      <x:c r="Q178" s="351" t="str">
        <x:v>S04; S10; S13; S21; S26; S48</x:v>
      </x:c>
      <x:c r="R178" s="351" t="str">
        <x:v>No iniciado</x:v>
      </x:c>
      <x:c r="S178" s="354" t="n">
        <x:v>0</x:v>
      </x:c>
      <x:c r="T178" s="355"/>
      <x:c r="U178" s="355"/>
      <x:c r="V178" s="351" t="str">
        <x:v>Desciende de electricidad, radio, semiconductores, microcontroladores y control digital.</x:v>
      </x:c>
      <x:c r="W178" s="351" t="str">
        <x:v>Muy alta: fundamento durable</x:v>
      </x:c>
      <x:c r="X178" s="351" t="str">
        <x:v>Transversal permanente</x:v>
      </x:c>
      <x:c r="Y178" s="351" t="str">
        <x:v>Consolidada</x:v>
      </x:c>
      <x:c r="Z178" s="351" t="str">
        <x:v>24 meses</x:v>
      </x:c>
      <x:c r="AA178" s="351" t="str">
        <x:v>TinyML, gemelos digitales, sensores distribuidos, diseño abierto y electrónica flexible o integrada.</x:v>
      </x:c>
    </x:row>
    <x:row r="179" ht="58" customHeight="1">
      <x:c r="A179" s="366" t="str">
        <x:v>EIO-012</x:v>
      </x:c>
      <x:c r="B179" s="366" t="n">
        <x:v>3</x:v>
      </x:c>
      <x:c r="C179" s="366" t="str">
        <x:v>Sistemas e ingeniería</x:v>
      </x:c>
      <x:c r="D179" s="366" t="str">
        <x:v>Electrónica y hardware</x:v>
      </x:c>
      <x:c r="E179" s="366" t="str">
        <x:v>Electrónica, embebidos e IoT</x:v>
      </x:c>
      <x:c r="F179" s="366" t="str">
        <x:v>Soldadura, retrabajo y microsoldadura</x:v>
      </x:c>
      <x:c r="G179" s="366" t="str">
        <x:v>Soldadura, retrabajo y microsoldadura. Cálculo, simulación, medición con instrumentos, seguridad y montaje en laboratorio.</x:v>
      </x:c>
      <x:c r="H179" s="366" t="str">
        <x:v>EIO-011</x:v>
      </x:c>
      <x:c r="I179" s="366" t="str">
        <x:v>Núcleo esencial</x:v>
      </x:c>
      <x:c r="J179" s="366" t="n">
        <x:v>1</x:v>
      </x:c>
      <x:c r="K179" s="366" t="n">
        <x:v>36</x:v>
      </x:c>
      <x:c r="L179" s="366" t="n">
        <x:v>42</x:v>
      </x:c>
      <x:c r="M179" s="366" t="n">
        <x:v>22</x:v>
      </x:c>
      <x:c r="N179" s="367" t="n">
        <x:f>SUM(K179:M179)</x:f>
        <x:v>100</x:v>
      </x:c>
      <x:c r="O179" s="368" t="n">
        <x:f>N179/25</x:f>
        <x:v>4</x:v>
      </x:c>
      <x:c r="P179" s="366" t="str">
        <x:v>Circuito medido y documentado: Soldadura, retrabajo y microsoldadura.</x:v>
      </x:c>
      <x:c r="Q179" s="366" t="str">
        <x:v>S04; S10; S13; S21; S26; S48</x:v>
      </x:c>
      <x:c r="R179" s="366" t="str">
        <x:v>No iniciado</x:v>
      </x:c>
      <x:c r="S179" s="369" t="n">
        <x:v>0</x:v>
      </x:c>
      <x:c r="T179" s="370"/>
      <x:c r="U179" s="370"/>
      <x:c r="V179" s="366" t="str">
        <x:v>Desciende de electricidad, radio, semiconductores, microcontroladores y control digital.</x:v>
      </x:c>
      <x:c r="W179" s="366" t="str">
        <x:v>Muy alta: fundamento durable</x:v>
      </x:c>
      <x:c r="X179" s="366" t="str">
        <x:v>Transversal permanente</x:v>
      </x:c>
      <x:c r="Y179" s="366" t="str">
        <x:v>Consolidada</x:v>
      </x:c>
      <x:c r="Z179" s="366" t="str">
        <x:v>24 meses</x:v>
      </x:c>
      <x:c r="AA179" s="366" t="str">
        <x:v>TinyML, gemelos digitales, sensores distribuidos, diseño abierto y electrónica flexible o integrada.</x:v>
      </x:c>
    </x:row>
    <x:row r="180" ht="58" customHeight="1">
      <x:c r="A180" s="351" t="str">
        <x:v>EIO-016</x:v>
      </x:c>
      <x:c r="B180" s="351" t="n">
        <x:v>3</x:v>
      </x:c>
      <x:c r="C180" s="351" t="str">
        <x:v>Sistemas e ingeniería</x:v>
      </x:c>
      <x:c r="D180" s="351" t="str">
        <x:v>Embebidos e Internet de las Cosas</x:v>
      </x:c>
      <x:c r="E180" s="351" t="str">
        <x:v>Electrónica, embebidos e IoT</x:v>
      </x:c>
      <x:c r="F180" s="351" t="str">
        <x:v>Microcontroladores</x:v>
      </x:c>
      <x:c r="G180" s="351" t="str">
        <x:v>Microcontroladores. Integración hardware–software, comunicaciones, energía, seguridad y despliegue.</x:v>
      </x:c>
      <x:c r="H180" s="351" t="str">
        <x:v>EIO-006</x:v>
      </x:c>
      <x:c r="I180" s="351" t="str">
        <x:v>Dominio profesional</x:v>
      </x:c>
      <x:c r="J180" s="351" t="n">
        <x:v>2</x:v>
      </x:c>
      <x:c r="K180" s="351" t="n">
        <x:v>20</x:v>
      </x:c>
      <x:c r="L180" s="351" t="n">
        <x:v>52</x:v>
      </x:c>
      <x:c r="M180" s="351" t="n">
        <x:v>20</x:v>
      </x:c>
      <x:c r="N180" s="352" t="n">
        <x:f>SUM(K180:M180)</x:f>
        <x:v>92</x:v>
      </x:c>
      <x:c r="O180" s="353" t="n">
        <x:f>N180/25</x:f>
        <x:v>3.68</x:v>
      </x:c>
      <x:c r="P180" s="351" t="str">
        <x:v>Dispositivo IoT funcional: Microcontroladores.</x:v>
      </x:c>
      <x:c r="Q180" s="351" t="str">
        <x:v>S02; S04; S18; S21; S24; S26</x:v>
      </x:c>
      <x:c r="R180" s="351" t="str">
        <x:v>No iniciado</x:v>
      </x:c>
      <x:c r="S180" s="354" t="n">
        <x:v>0</x:v>
      </x:c>
      <x:c r="T180" s="355"/>
      <x:c r="U180" s="355"/>
      <x:c r="V180" s="351" t="str">
        <x:v>Desciende de electricidad, radio, semiconductores, microcontroladores y control digital.</x:v>
      </x:c>
      <x:c r="W180" s="351" t="str">
        <x:v>Alta: práctica vigente</x:v>
      </x:c>
      <x:c r="X180" s="351" t="str">
        <x:v>Presente 2026 y corto (2027–2029)</x:v>
      </x:c>
      <x:c r="Y180" s="351" t="str">
        <x:v>Actual</x:v>
      </x:c>
      <x:c r="Z180" s="351" t="str">
        <x:v>12 meses</x:v>
      </x:c>
      <x:c r="AA180" s="351" t="str">
        <x:v>TinyML, gemelos digitales, sensores distribuidos, diseño abierto y electrónica flexible o integrada.</x:v>
      </x:c>
    </x:row>
    <x:row r="181" ht="58" customHeight="1">
      <x:c r="A181" s="366" t="str">
        <x:v>EIO-017</x:v>
      </x:c>
      <x:c r="B181" s="366" t="n">
        <x:v>3</x:v>
      </x:c>
      <x:c r="C181" s="366" t="str">
        <x:v>Sistemas e ingeniería</x:v>
      </x:c>
      <x:c r="D181" s="366" t="str">
        <x:v>Embebidos e Internet de las Cosas</x:v>
      </x:c>
      <x:c r="E181" s="366" t="str">
        <x:v>Electrónica, embebidos e IoT</x:v>
      </x:c>
      <x:c r="F181" s="366" t="str">
        <x:v>Programación embebida en C/C++</x:v>
      </x:c>
      <x:c r="G181" s="366" t="str">
        <x:v>Programación embebida en C/C++. Integración hardware–software, comunicaciones, energía, seguridad y despliegue.</x:v>
      </x:c>
      <x:c r="H181" s="366" t="str">
        <x:v>EIO-016</x:v>
      </x:c>
      <x:c r="I181" s="366" t="str">
        <x:v>Dominio profesional</x:v>
      </x:c>
      <x:c r="J181" s="366" t="n">
        <x:v>2</x:v>
      </x:c>
      <x:c r="K181" s="366" t="n">
        <x:v>20</x:v>
      </x:c>
      <x:c r="L181" s="366" t="n">
        <x:v>52</x:v>
      </x:c>
      <x:c r="M181" s="366" t="n">
        <x:v>20</x:v>
      </x:c>
      <x:c r="N181" s="367" t="n">
        <x:f>SUM(K181:M181)</x:f>
        <x:v>92</x:v>
      </x:c>
      <x:c r="O181" s="368" t="n">
        <x:f>N181/25</x:f>
        <x:v>3.68</x:v>
      </x:c>
      <x:c r="P181" s="366" t="str">
        <x:v>Dispositivo IoT funcional: Programación embebida en C/C++.</x:v>
      </x:c>
      <x:c r="Q181" s="366" t="str">
        <x:v>S02; S04; S18; S21; S24; S26</x:v>
      </x:c>
      <x:c r="R181" s="366" t="str">
        <x:v>No iniciado</x:v>
      </x:c>
      <x:c r="S181" s="369" t="n">
        <x:v>0</x:v>
      </x:c>
      <x:c r="T181" s="370"/>
      <x:c r="U181" s="370"/>
      <x:c r="V181" s="366" t="str">
        <x:v>Desciende de electricidad, radio, semiconductores, microcontroladores y control digital.</x:v>
      </x:c>
      <x:c r="W181" s="366" t="str">
        <x:v>Alta: práctica vigente</x:v>
      </x:c>
      <x:c r="X181" s="366" t="str">
        <x:v>Presente 2026 y corto (2027–2029)</x:v>
      </x:c>
      <x:c r="Y181" s="366" t="str">
        <x:v>Actual</x:v>
      </x:c>
      <x:c r="Z181" s="366" t="str">
        <x:v>12 meses</x:v>
      </x:c>
      <x:c r="AA181" s="366" t="str">
        <x:v>TinyML, gemelos digitales, sensores distribuidos, diseño abierto y electrónica flexible o integrada.</x:v>
      </x:c>
    </x:row>
    <x:row r="182" ht="58" customHeight="1">
      <x:c r="A182" s="351" t="str">
        <x:v>EIO-018</x:v>
      </x:c>
      <x:c r="B182" s="351" t="n">
        <x:v>3</x:v>
      </x:c>
      <x:c r="C182" s="351" t="str">
        <x:v>Sistemas e ingeniería</x:v>
      </x:c>
      <x:c r="D182" s="351" t="str">
        <x:v>Embebidos e Internet de las Cosas</x:v>
      </x:c>
      <x:c r="E182" s="351" t="str">
        <x:v>Electrónica, embebidos e IoT</x:v>
      </x:c>
      <x:c r="F182" s="351" t="str">
        <x:v>FPGA y diseño digital con HDL</x:v>
      </x:c>
      <x:c r="G182" s="351" t="str">
        <x:v>FPGA y diseño digital con HDL. Integración hardware–software, comunicaciones, energía, seguridad y despliegue.</x:v>
      </x:c>
      <x:c r="H182" s="351" t="str">
        <x:v>EIO-017</x:v>
      </x:c>
      <x:c r="I182" s="351" t="str">
        <x:v>Dominio profesional</x:v>
      </x:c>
      <x:c r="J182" s="351" t="n">
        <x:v>2</x:v>
      </x:c>
      <x:c r="K182" s="351" t="n">
        <x:v>20</x:v>
      </x:c>
      <x:c r="L182" s="351" t="n">
        <x:v>52</x:v>
      </x:c>
      <x:c r="M182" s="351" t="n">
        <x:v>20</x:v>
      </x:c>
      <x:c r="N182" s="352" t="n">
        <x:f>SUM(K182:M182)</x:f>
        <x:v>92</x:v>
      </x:c>
      <x:c r="O182" s="353" t="n">
        <x:f>N182/25</x:f>
        <x:v>3.68</x:v>
      </x:c>
      <x:c r="P182" s="351" t="str">
        <x:v>Dispositivo IoT funcional: FPGA y diseño digital con HDL.</x:v>
      </x:c>
      <x:c r="Q182" s="351" t="str">
        <x:v>S02; S04; S18; S21; S24; S26</x:v>
      </x:c>
      <x:c r="R182" s="351" t="str">
        <x:v>No iniciado</x:v>
      </x:c>
      <x:c r="S182" s="354" t="n">
        <x:v>0</x:v>
      </x:c>
      <x:c r="T182" s="355"/>
      <x:c r="U182" s="355"/>
      <x:c r="V182" s="351" t="str">
        <x:v>Desciende de electricidad, radio, semiconductores, microcontroladores y control digital.</x:v>
      </x:c>
      <x:c r="W182" s="351" t="str">
        <x:v>Alta: práctica vigente</x:v>
      </x:c>
      <x:c r="X182" s="351" t="str">
        <x:v>Presente 2026 y corto (2027–2029)</x:v>
      </x:c>
      <x:c r="Y182" s="351" t="str">
        <x:v>Actual</x:v>
      </x:c>
      <x:c r="Z182" s="351" t="str">
        <x:v>12 meses</x:v>
      </x:c>
      <x:c r="AA182" s="351" t="str">
        <x:v>TinyML, gemelos digitales, sensores distribuidos, diseño abierto y electrónica flexible o integrada.</x:v>
      </x:c>
    </x:row>
    <x:row r="183" ht="58" customHeight="1">
      <x:c r="A183" s="366" t="str">
        <x:v>EIO-019</x:v>
      </x:c>
      <x:c r="B183" s="366" t="n">
        <x:v>3</x:v>
      </x:c>
      <x:c r="C183" s="366" t="str">
        <x:v>Sistemas e ingeniería</x:v>
      </x:c>
      <x:c r="D183" s="366" t="str">
        <x:v>Embebidos e Internet de las Cosas</x:v>
      </x:c>
      <x:c r="E183" s="366" t="str">
        <x:v>Electrónica, embebidos e IoT</x:v>
      </x:c>
      <x:c r="F183" s="366" t="str">
        <x:v>Sistemas embebidos avanzados</x:v>
      </x:c>
      <x:c r="G183" s="366" t="str">
        <x:v>Sistemas embebidos avanzados. Integración hardware–software, comunicaciones, energía, seguridad y despliegue.</x:v>
      </x:c>
      <x:c r="H183" s="366" t="str">
        <x:v>EIO-018</x:v>
      </x:c>
      <x:c r="I183" s="366" t="str">
        <x:v>Dominio profesional</x:v>
      </x:c>
      <x:c r="J183" s="366" t="n">
        <x:v>2</x:v>
      </x:c>
      <x:c r="K183" s="366" t="n">
        <x:v>20</x:v>
      </x:c>
      <x:c r="L183" s="366" t="n">
        <x:v>52</x:v>
      </x:c>
      <x:c r="M183" s="366" t="n">
        <x:v>20</x:v>
      </x:c>
      <x:c r="N183" s="367" t="n">
        <x:f>SUM(K183:M183)</x:f>
        <x:v>92</x:v>
      </x:c>
      <x:c r="O183" s="368" t="n">
        <x:f>N183/25</x:f>
        <x:v>3.68</x:v>
      </x:c>
      <x:c r="P183" s="366" t="str">
        <x:v>Dispositivo IoT funcional: Sistemas embebidos avanzados.</x:v>
      </x:c>
      <x:c r="Q183" s="366" t="str">
        <x:v>S02; S04; S18; S21; S24; S26</x:v>
      </x:c>
      <x:c r="R183" s="366" t="str">
        <x:v>No iniciado</x:v>
      </x:c>
      <x:c r="S183" s="369" t="n">
        <x:v>0</x:v>
      </x:c>
      <x:c r="T183" s="370"/>
      <x:c r="U183" s="370"/>
      <x:c r="V183" s="366" t="str">
        <x:v>Desciende de electricidad, radio, semiconductores, microcontroladores y control digital.</x:v>
      </x:c>
      <x:c r="W183" s="366" t="str">
        <x:v>Alta: práctica vigente</x:v>
      </x:c>
      <x:c r="X183" s="366" t="str">
        <x:v>Presente 2026 y corto (2027–2029)</x:v>
      </x:c>
      <x:c r="Y183" s="366" t="str">
        <x:v>Actual</x:v>
      </x:c>
      <x:c r="Z183" s="366" t="str">
        <x:v>12 meses</x:v>
      </x:c>
      <x:c r="AA183" s="366" t="str">
        <x:v>TinyML, gemelos digitales, sensores distribuidos, diseño abierto y electrónica flexible o integrada.</x:v>
      </x:c>
    </x:row>
    <x:row r="184" ht="58" customHeight="1">
      <x:c r="A184" s="351" t="str">
        <x:v>EIO-020</x:v>
      </x:c>
      <x:c r="B184" s="351" t="n">
        <x:v>3</x:v>
      </x:c>
      <x:c r="C184" s="351" t="str">
        <x:v>Sistemas e ingeniería</x:v>
      </x:c>
      <x:c r="D184" s="351" t="str">
        <x:v>Embebidos e Internet de las Cosas</x:v>
      </x:c>
      <x:c r="E184" s="351" t="str">
        <x:v>Electrónica, embebidos e IoT</x:v>
      </x:c>
      <x:c r="F184" s="351" t="str">
        <x:v>Linux embebido y Yocto</x:v>
      </x:c>
      <x:c r="G184" s="351" t="str">
        <x:v>Linux embebido y Yocto. Integración hardware–software, comunicaciones, energía, seguridad y despliegue.</x:v>
      </x:c>
      <x:c r="H184" s="351" t="str">
        <x:v>EIO-019</x:v>
      </x:c>
      <x:c r="I184" s="351" t="str">
        <x:v>Dominio profesional</x:v>
      </x:c>
      <x:c r="J184" s="351" t="n">
        <x:v>2</x:v>
      </x:c>
      <x:c r="K184" s="351" t="n">
        <x:v>20</x:v>
      </x:c>
      <x:c r="L184" s="351" t="n">
        <x:v>52</x:v>
      </x:c>
      <x:c r="M184" s="351" t="n">
        <x:v>20</x:v>
      </x:c>
      <x:c r="N184" s="352" t="n">
        <x:f>SUM(K184:M184)</x:f>
        <x:v>92</x:v>
      </x:c>
      <x:c r="O184" s="353" t="n">
        <x:f>N184/25</x:f>
        <x:v>3.68</x:v>
      </x:c>
      <x:c r="P184" s="351" t="str">
        <x:v>Dispositivo IoT funcional: Linux embebido y Yocto.</x:v>
      </x:c>
      <x:c r="Q184" s="351" t="str">
        <x:v>S02; S04; S18; S21; S24; S26</x:v>
      </x:c>
      <x:c r="R184" s="351" t="str">
        <x:v>No iniciado</x:v>
      </x:c>
      <x:c r="S184" s="354" t="n">
        <x:v>0</x:v>
      </x:c>
      <x:c r="T184" s="355"/>
      <x:c r="U184" s="355"/>
      <x:c r="V184" s="351" t="str">
        <x:v>Desciende de electricidad, radio, semiconductores, microcontroladores y control digital.</x:v>
      </x:c>
      <x:c r="W184" s="351" t="str">
        <x:v>Alta: práctica vigente</x:v>
      </x:c>
      <x:c r="X184" s="351" t="str">
        <x:v>Presente 2026 y corto (2027–2029)</x:v>
      </x:c>
      <x:c r="Y184" s="351" t="str">
        <x:v>Actual</x:v>
      </x:c>
      <x:c r="Z184" s="351" t="str">
        <x:v>12 meses</x:v>
      </x:c>
      <x:c r="AA184" s="351" t="str">
        <x:v>TinyML, gemelos digitales, sensores distribuidos, diseño abierto y electrónica flexible o integrada.</x:v>
      </x:c>
    </x:row>
    <x:row r="185" ht="58" customHeight="1">
      <x:c r="A185" s="366" t="str">
        <x:v>EIO-021</x:v>
      </x:c>
      <x:c r="B185" s="366" t="n">
        <x:v>3</x:v>
      </x:c>
      <x:c r="C185" s="366" t="str">
        <x:v>Sistemas e ingeniería</x:v>
      </x:c>
      <x:c r="D185" s="366" t="str">
        <x:v>Embebidos e Internet de las Cosas</x:v>
      </x:c>
      <x:c r="E185" s="366" t="str">
        <x:v>Electrónica, embebidos e IoT</x:v>
      </x:c>
      <x:c r="F185" s="366" t="str">
        <x:v>Sensores y actuadores</x:v>
      </x:c>
      <x:c r="G185" s="366" t="str">
        <x:v>Sensores y actuadores. Integración hardware–software, comunicaciones, energía, seguridad y despliegue.</x:v>
      </x:c>
      <x:c r="H185" s="366" t="str">
        <x:v>EIO-020</x:v>
      </x:c>
      <x:c r="I185" s="366" t="str">
        <x:v>Dominio profesional</x:v>
      </x:c>
      <x:c r="J185" s="366" t="n">
        <x:v>2</x:v>
      </x:c>
      <x:c r="K185" s="366" t="n">
        <x:v>20</x:v>
      </x:c>
      <x:c r="L185" s="366" t="n">
        <x:v>52</x:v>
      </x:c>
      <x:c r="M185" s="366" t="n">
        <x:v>20</x:v>
      </x:c>
      <x:c r="N185" s="367" t="n">
        <x:f>SUM(K185:M185)</x:f>
        <x:v>92</x:v>
      </x:c>
      <x:c r="O185" s="368" t="n">
        <x:f>N185/25</x:f>
        <x:v>3.68</x:v>
      </x:c>
      <x:c r="P185" s="366" t="str">
        <x:v>Dispositivo IoT funcional: Sensores y actuadores.</x:v>
      </x:c>
      <x:c r="Q185" s="366" t="str">
        <x:v>S02; S04; S18; S21; S24; S26</x:v>
      </x:c>
      <x:c r="R185" s="366" t="str">
        <x:v>No iniciado</x:v>
      </x:c>
      <x:c r="S185" s="369" t="n">
        <x:v>0</x:v>
      </x:c>
      <x:c r="T185" s="370"/>
      <x:c r="U185" s="370"/>
      <x:c r="V185" s="366" t="str">
        <x:v>Desciende de electricidad, radio, semiconductores, microcontroladores y control digital.</x:v>
      </x:c>
      <x:c r="W185" s="366" t="str">
        <x:v>Alta: práctica vigente</x:v>
      </x:c>
      <x:c r="X185" s="366" t="str">
        <x:v>Presente 2026 y corto (2027–2029)</x:v>
      </x:c>
      <x:c r="Y185" s="366" t="str">
        <x:v>Actual</x:v>
      </x:c>
      <x:c r="Z185" s="366" t="str">
        <x:v>12 meses</x:v>
      </x:c>
      <x:c r="AA185" s="366" t="str">
        <x:v>TinyML, gemelos digitales, sensores distribuidos, diseño abierto y electrónica flexible o integrada.</x:v>
      </x:c>
    </x:row>
    <x:row r="186" ht="58" customHeight="1">
      <x:c r="A186" s="351" t="str">
        <x:v>SWE-008</x:v>
      </x:c>
      <x:c r="B186" s="351" t="n">
        <x:v>3</x:v>
      </x:c>
      <x:c r="C186" s="351" t="str">
        <x:v>Sistemas e ingeniería</x:v>
      </x:c>
      <x:c r="D186" s="351" t="str">
        <x:v>Ingeniería y construcción de software</x:v>
      </x:c>
      <x:c r="E186" s="351" t="str">
        <x:v>Ingeniería de software</x:v>
      </x:c>
      <x:c r="F186" s="351" t="str">
        <x:v>Pruebas de software II y automatización</x:v>
      </x:c>
      <x:c r="G186" s="351" t="str">
        <x:v>Pruebas de software II y automatización. Proceso completo, calidad, arquitectura, colaboración y entrega de productos mantenibles.</x:v>
      </x:c>
      <x:c r="H186" s="351" t="str">
        <x:v>SWE-007</x:v>
      </x:c>
      <x:c r="I186" s="351" t="str">
        <x:v>Núcleo esencial</x:v>
      </x:c>
      <x:c r="J186" s="351" t="n">
        <x:v>1</x:v>
      </x:c>
      <x:c r="K186" s="351" t="n">
        <x:v>36</x:v>
      </x:c>
      <x:c r="L186" s="351" t="n">
        <x:v>42</x:v>
      </x:c>
      <x:c r="M186" s="351" t="n">
        <x:v>22</x:v>
      </x:c>
      <x:c r="N186" s="352" t="n">
        <x:f>SUM(K186:M186)</x:f>
        <x:v>100</x:v>
      </x:c>
      <x:c r="O186" s="353" t="n">
        <x:f>N186/25</x:f>
        <x:v>4</x:v>
      </x:c>
      <x:c r="P186" s="351" t="str">
        <x:v>Producto de software: Pruebas de software II y automatización.</x:v>
      </x:c>
      <x:c r="Q186" s="351" t="str">
        <x:v>S02; S03; S05; S11; S18; S22; S23</x:v>
      </x:c>
      <x:c r="R186" s="351" t="str">
        <x:v>No iniciado</x:v>
      </x:c>
      <x:c r="S186" s="354" t="n">
        <x:v>0</x:v>
      </x:c>
      <x:c r="T186" s="355"/>
      <x:c r="U186" s="355"/>
      <x:c r="V186" s="351" t="str">
        <x:v>Surge al escalar la programación desde programas individuales hacia productos complejos y mantenibles.</x:v>
      </x:c>
      <x:c r="W186" s="351" t="str">
        <x:v>Muy alta: fundamento durable</x:v>
      </x:c>
      <x:c r="X186" s="351" t="str">
        <x:v>Transversal permanente</x:v>
      </x:c>
      <x:c r="Y186" s="351" t="str">
        <x:v>Consolidada</x:v>
      </x:c>
      <x:c r="Z186" s="351" t="str">
        <x:v>24 meses</x:v>
      </x:c>
      <x:c r="AA186" s="351" t="str">
        <x:v>Ingeniería asistida por IA, agentes de desarrollo, plataformas internas, evidencia de calidad y cadena de suministro.</x:v>
      </x:c>
    </x:row>
    <x:row r="187" ht="58" customHeight="1">
      <x:c r="A187" s="366" t="str">
        <x:v>SWE-009</x:v>
      </x:c>
      <x:c r="B187" s="366" t="n">
        <x:v>3</x:v>
      </x:c>
      <x:c r="C187" s="366" t="str">
        <x:v>Sistemas e ingeniería</x:v>
      </x:c>
      <x:c r="D187" s="366" t="str">
        <x:v>Ingeniería y construcción de software</x:v>
      </x:c>
      <x:c r="E187" s="366" t="str">
        <x:v>Ingeniería de software</x:v>
      </x:c>
      <x:c r="F187" s="366" t="str">
        <x:v>Gestión de configuración y versiones</x:v>
      </x:c>
      <x:c r="G187" s="366" t="str">
        <x:v>Gestión de configuración y versiones. Proceso completo, calidad, arquitectura, colaboración y entrega de productos mantenibles.</x:v>
      </x:c>
      <x:c r="H187" s="366" t="str">
        <x:v>SWE-008</x:v>
      </x:c>
      <x:c r="I187" s="366" t="str">
        <x:v>Núcleo esencial</x:v>
      </x:c>
      <x:c r="J187" s="366" t="n">
        <x:v>1</x:v>
      </x:c>
      <x:c r="K187" s="366" t="n">
        <x:v>36</x:v>
      </x:c>
      <x:c r="L187" s="366" t="n">
        <x:v>42</x:v>
      </x:c>
      <x:c r="M187" s="366" t="n">
        <x:v>22</x:v>
      </x:c>
      <x:c r="N187" s="367" t="n">
        <x:f>SUM(K187:M187)</x:f>
        <x:v>100</x:v>
      </x:c>
      <x:c r="O187" s="368" t="n">
        <x:f>N187/25</x:f>
        <x:v>4</x:v>
      </x:c>
      <x:c r="P187" s="366" t="str">
        <x:v>Producto de software: Gestión de configuración y versiones.</x:v>
      </x:c>
      <x:c r="Q187" s="366" t="str">
        <x:v>S02; S03; S05; S11; S18; S22; S23</x:v>
      </x:c>
      <x:c r="R187" s="366" t="str">
        <x:v>No iniciado</x:v>
      </x:c>
      <x:c r="S187" s="369" t="n">
        <x:v>0</x:v>
      </x:c>
      <x:c r="T187" s="370"/>
      <x:c r="U187" s="370"/>
      <x:c r="V187" s="366" t="str">
        <x:v>Surge al escalar la programación desde programas individuales hacia productos complejos y mantenibles.</x:v>
      </x:c>
      <x:c r="W187" s="366" t="str">
        <x:v>Muy alta: fundamento durable</x:v>
      </x:c>
      <x:c r="X187" s="366" t="str">
        <x:v>Transversal permanente</x:v>
      </x:c>
      <x:c r="Y187" s="366" t="str">
        <x:v>Consolidada</x:v>
      </x:c>
      <x:c r="Z187" s="366" t="str">
        <x:v>24 meses</x:v>
      </x:c>
      <x:c r="AA187" s="366" t="str">
        <x:v>Ingeniería asistida por IA, agentes de desarrollo, plataformas internas, evidencia de calidad y cadena de suministro.</x:v>
      </x:c>
    </x:row>
    <x:row r="188" ht="58" customHeight="1">
      <x:c r="A188" s="351" t="str">
        <x:v>SWE-010</x:v>
      </x:c>
      <x:c r="B188" s="351" t="n">
        <x:v>3</x:v>
      </x:c>
      <x:c r="C188" s="351" t="str">
        <x:v>Sistemas e ingeniería</x:v>
      </x:c>
      <x:c r="D188" s="351" t="str">
        <x:v>Ingeniería y construcción de software</x:v>
      </x:c>
      <x:c r="E188" s="351" t="str">
        <x:v>Ingeniería de software</x:v>
      </x:c>
      <x:c r="F188" s="351" t="str">
        <x:v>Métodos ágiles y Lean</x:v>
      </x:c>
      <x:c r="G188" s="351" t="str">
        <x:v>Métodos ágiles y Lean. Proceso completo, calidad, arquitectura, colaboración y entrega de productos mantenibles.</x:v>
      </x:c>
      <x:c r="H188" s="351" t="str">
        <x:v>SWE-009</x:v>
      </x:c>
      <x:c r="I188" s="351" t="str">
        <x:v>Núcleo esencial</x:v>
      </x:c>
      <x:c r="J188" s="351" t="n">
        <x:v>1</x:v>
      </x:c>
      <x:c r="K188" s="351" t="n">
        <x:v>36</x:v>
      </x:c>
      <x:c r="L188" s="351" t="n">
        <x:v>42</x:v>
      </x:c>
      <x:c r="M188" s="351" t="n">
        <x:v>22</x:v>
      </x:c>
      <x:c r="N188" s="352" t="n">
        <x:f>SUM(K188:M188)</x:f>
        <x:v>100</x:v>
      </x:c>
      <x:c r="O188" s="353" t="n">
        <x:f>N188/25</x:f>
        <x:v>4</x:v>
      </x:c>
      <x:c r="P188" s="351" t="str">
        <x:v>Producto de software: Métodos ágiles y Lean.</x:v>
      </x:c>
      <x:c r="Q188" s="351" t="str">
        <x:v>S02; S03; S05; S11; S18; S22; S23</x:v>
      </x:c>
      <x:c r="R188" s="351" t="str">
        <x:v>No iniciado</x:v>
      </x:c>
      <x:c r="S188" s="354" t="n">
        <x:v>0</x:v>
      </x:c>
      <x:c r="T188" s="355"/>
      <x:c r="U188" s="355"/>
      <x:c r="V188" s="351" t="str">
        <x:v>Surge al escalar la programación desde programas individuales hacia productos complejos y mantenibles.</x:v>
      </x:c>
      <x:c r="W188" s="351" t="str">
        <x:v>Muy alta: fundamento durable</x:v>
      </x:c>
      <x:c r="X188" s="351" t="str">
        <x:v>Transversal permanente</x:v>
      </x:c>
      <x:c r="Y188" s="351" t="str">
        <x:v>Consolidada</x:v>
      </x:c>
      <x:c r="Z188" s="351" t="str">
        <x:v>24 meses</x:v>
      </x:c>
      <x:c r="AA188" s="351" t="str">
        <x:v>Ingeniería asistida por IA, agentes de desarrollo, plataformas internas, evidencia de calidad y cadena de suministro.</x:v>
      </x:c>
    </x:row>
    <x:row r="189" ht="58" customHeight="1">
      <x:c r="A189" s="366" t="str">
        <x:v>SWE-011</x:v>
      </x:c>
      <x:c r="B189" s="366" t="n">
        <x:v>3</x:v>
      </x:c>
      <x:c r="C189" s="366" t="str">
        <x:v>Sistemas e ingeniería</x:v>
      </x:c>
      <x:c r="D189" s="366" t="str">
        <x:v>Ingeniería y construcción de software</x:v>
      </x:c>
      <x:c r="E189" s="366" t="str">
        <x:v>Ingeniería de software</x:v>
      </x:c>
      <x:c r="F189" s="366" t="str">
        <x:v>Gestión de proyectos de software</x:v>
      </x:c>
      <x:c r="G189" s="366" t="str">
        <x:v>Gestión de proyectos de software. Proceso completo, calidad, arquitectura, colaboración y entrega de productos mantenibles.</x:v>
      </x:c>
      <x:c r="H189" s="366" t="str">
        <x:v>SWE-010</x:v>
      </x:c>
      <x:c r="I189" s="366" t="str">
        <x:v>Núcleo esencial</x:v>
      </x:c>
      <x:c r="J189" s="366" t="n">
        <x:v>1</x:v>
      </x:c>
      <x:c r="K189" s="366" t="n">
        <x:v>36</x:v>
      </x:c>
      <x:c r="L189" s="366" t="n">
        <x:v>42</x:v>
      </x:c>
      <x:c r="M189" s="366" t="n">
        <x:v>22</x:v>
      </x:c>
      <x:c r="N189" s="367" t="n">
        <x:f>SUM(K189:M189)</x:f>
        <x:v>100</x:v>
      </x:c>
      <x:c r="O189" s="368" t="n">
        <x:f>N189/25</x:f>
        <x:v>4</x:v>
      </x:c>
      <x:c r="P189" s="366" t="str">
        <x:v>Producto de software: Gestión de proyectos de software.</x:v>
      </x:c>
      <x:c r="Q189" s="366" t="str">
        <x:v>S02; S03; S05; S11; S18; S22; S23</x:v>
      </x:c>
      <x:c r="R189" s="366" t="str">
        <x:v>No iniciado</x:v>
      </x:c>
      <x:c r="S189" s="369" t="n">
        <x:v>0</x:v>
      </x:c>
      <x:c r="T189" s="370"/>
      <x:c r="U189" s="370"/>
      <x:c r="V189" s="366" t="str">
        <x:v>Surge al escalar la programación desde programas individuales hacia productos complejos y mantenibles.</x:v>
      </x:c>
      <x:c r="W189" s="366" t="str">
        <x:v>Muy alta: fundamento durable</x:v>
      </x:c>
      <x:c r="X189" s="366" t="str">
        <x:v>Transversal permanente</x:v>
      </x:c>
      <x:c r="Y189" s="366" t="str">
        <x:v>Consolidada</x:v>
      </x:c>
      <x:c r="Z189" s="366" t="str">
        <x:v>24 meses</x:v>
      </x:c>
      <x:c r="AA189" s="366" t="str">
        <x:v>Ingeniería asistida por IA, agentes de desarrollo, plataformas internas, evidencia de calidad y cadena de suministro.</x:v>
      </x:c>
    </x:row>
    <x:row r="190" ht="58" customHeight="1">
      <x:c r="A190" s="351" t="str">
        <x:v>SWE-012</x:v>
      </x:c>
      <x:c r="B190" s="351" t="n">
        <x:v>3</x:v>
      </x:c>
      <x:c r="C190" s="351" t="str">
        <x:v>Sistemas e ingeniería</x:v>
      </x:c>
      <x:c r="D190" s="351" t="str">
        <x:v>Ingeniería y construcción de software</x:v>
      </x:c>
      <x:c r="E190" s="351" t="str">
        <x:v>Ingeniería de software</x:v>
      </x:c>
      <x:c r="F190" s="351" t="str">
        <x:v>DevOps y entrega continua</x:v>
      </x:c>
      <x:c r="G190" s="351" t="str">
        <x:v>DevOps y entrega continua. Proceso completo, calidad, arquitectura, colaboración y entrega de productos mantenibles.</x:v>
      </x:c>
      <x:c r="H190" s="351" t="str">
        <x:v>SWE-011</x:v>
      </x:c>
      <x:c r="I190" s="351" t="str">
        <x:v>Núcleo esencial</x:v>
      </x:c>
      <x:c r="J190" s="351" t="n">
        <x:v>1</x:v>
      </x:c>
      <x:c r="K190" s="351" t="n">
        <x:v>36</x:v>
      </x:c>
      <x:c r="L190" s="351" t="n">
        <x:v>42</x:v>
      </x:c>
      <x:c r="M190" s="351" t="n">
        <x:v>22</x:v>
      </x:c>
      <x:c r="N190" s="352" t="n">
        <x:f>SUM(K190:M190)</x:f>
        <x:v>100</x:v>
      </x:c>
      <x:c r="O190" s="353" t="n">
        <x:f>N190/25</x:f>
        <x:v>4</x:v>
      </x:c>
      <x:c r="P190" s="351" t="str">
        <x:v>Producto de software: DevOps y entrega continua.</x:v>
      </x:c>
      <x:c r="Q190" s="351" t="str">
        <x:v>S02; S03; S05; S11; S18; S22; S23</x:v>
      </x:c>
      <x:c r="R190" s="351" t="str">
        <x:v>No iniciado</x:v>
      </x:c>
      <x:c r="S190" s="354" t="n">
        <x:v>0</x:v>
      </x:c>
      <x:c r="T190" s="355"/>
      <x:c r="U190" s="355"/>
      <x:c r="V190" s="351" t="str">
        <x:v>Surge al escalar la programación desde programas individuales hacia productos complejos y mantenibles.</x:v>
      </x:c>
      <x:c r="W190" s="351" t="str">
        <x:v>Muy alta: fundamento durable</x:v>
      </x:c>
      <x:c r="X190" s="351" t="str">
        <x:v>Transversal permanente</x:v>
      </x:c>
      <x:c r="Y190" s="351" t="str">
        <x:v>Consolidada</x:v>
      </x:c>
      <x:c r="Z190" s="351" t="str">
        <x:v>24 meses</x:v>
      </x:c>
      <x:c r="AA190" s="351" t="str">
        <x:v>Ingeniería asistida por IA, agentes de desarrollo, plataformas internas, evidencia de calidad y cadena de suministro.</x:v>
      </x:c>
    </x:row>
    <x:row r="191" ht="58" customHeight="1">
      <x:c r="A191" s="366" t="str">
        <x:v>SWE-013</x:v>
      </x:c>
      <x:c r="B191" s="366" t="n">
        <x:v>3</x:v>
      </x:c>
      <x:c r="C191" s="366" t="str">
        <x:v>Sistemas e ingeniería</x:v>
      </x:c>
      <x:c r="D191" s="366" t="str">
        <x:v>Ingeniería y construcción de software</x:v>
      </x:c>
      <x:c r="E191" s="366" t="str">
        <x:v>Ingeniería de software</x:v>
      </x:c>
      <x:c r="F191" s="366" t="str">
        <x:v>Ingeniería de confiabilidad de software</x:v>
      </x:c>
      <x:c r="G191" s="366" t="str">
        <x:v>Ingeniería de confiabilidad de software. Proceso completo, calidad, arquitectura, colaboración y entrega de productos mantenibles.</x:v>
      </x:c>
      <x:c r="H191" s="366" t="str">
        <x:v>SWE-012</x:v>
      </x:c>
      <x:c r="I191" s="366" t="str">
        <x:v>Núcleo esencial</x:v>
      </x:c>
      <x:c r="J191" s="366" t="n">
        <x:v>1</x:v>
      </x:c>
      <x:c r="K191" s="366" t="n">
        <x:v>36</x:v>
      </x:c>
      <x:c r="L191" s="366" t="n">
        <x:v>42</x:v>
      </x:c>
      <x:c r="M191" s="366" t="n">
        <x:v>22</x:v>
      </x:c>
      <x:c r="N191" s="367" t="n">
        <x:f>SUM(K191:M191)</x:f>
        <x:v>100</x:v>
      </x:c>
      <x:c r="O191" s="368" t="n">
        <x:f>N191/25</x:f>
        <x:v>4</x:v>
      </x:c>
      <x:c r="P191" s="366" t="str">
        <x:v>Producto de software: Ingeniería de confiabilidad de software.</x:v>
      </x:c>
      <x:c r="Q191" s="366" t="str">
        <x:v>S02; S03; S05; S11; S18; S22; S23</x:v>
      </x:c>
      <x:c r="R191" s="366" t="str">
        <x:v>No iniciado</x:v>
      </x:c>
      <x:c r="S191" s="369" t="n">
        <x:v>0</x:v>
      </x:c>
      <x:c r="T191" s="370"/>
      <x:c r="U191" s="370"/>
      <x:c r="V191" s="366" t="str">
        <x:v>Surge al escalar la programación desde programas individuales hacia productos complejos y mantenibles.</x:v>
      </x:c>
      <x:c r="W191" s="366" t="str">
        <x:v>Muy alta: fundamento durable</x:v>
      </x:c>
      <x:c r="X191" s="366" t="str">
        <x:v>Transversal permanente</x:v>
      </x:c>
      <x:c r="Y191" s="366" t="str">
        <x:v>Consolidada</x:v>
      </x:c>
      <x:c r="Z191" s="366" t="str">
        <x:v>24 meses</x:v>
      </x:c>
      <x:c r="AA191" s="366" t="str">
        <x:v>Ingeniería asistida por IA, agentes de desarrollo, plataformas internas, evidencia de calidad y cadena de suministro.</x:v>
      </x:c>
    </x:row>
    <x:row r="192" ht="58" customHeight="1">
      <x:c r="A192" s="351" t="str">
        <x:v>SWE-014</x:v>
      </x:c>
      <x:c r="B192" s="351" t="n">
        <x:v>3</x:v>
      </x:c>
      <x:c r="C192" s="351" t="str">
        <x:v>Sistemas e ingeniería</x:v>
      </x:c>
      <x:c r="D192" s="351" t="str">
        <x:v>Ingeniería y construcción de software</x:v>
      </x:c>
      <x:c r="E192" s="351" t="str">
        <x:v>Ingeniería de software</x:v>
      </x:c>
      <x:c r="F192" s="351" t="str">
        <x:v>Mantenimiento y evolución de software</x:v>
      </x:c>
      <x:c r="G192" s="351" t="str">
        <x:v>Mantenimiento y evolución de software. Proceso completo, calidad, arquitectura, colaboración y entrega de productos mantenibles.</x:v>
      </x:c>
      <x:c r="H192" s="351" t="str">
        <x:v>SWE-013</x:v>
      </x:c>
      <x:c r="I192" s="351" t="str">
        <x:v>Núcleo esencial</x:v>
      </x:c>
      <x:c r="J192" s="351" t="n">
        <x:v>1</x:v>
      </x:c>
      <x:c r="K192" s="351" t="n">
        <x:v>36</x:v>
      </x:c>
      <x:c r="L192" s="351" t="n">
        <x:v>42</x:v>
      </x:c>
      <x:c r="M192" s="351" t="n">
        <x:v>22</x:v>
      </x:c>
      <x:c r="N192" s="352" t="n">
        <x:f>SUM(K192:M192)</x:f>
        <x:v>100</x:v>
      </x:c>
      <x:c r="O192" s="353" t="n">
        <x:f>N192/25</x:f>
        <x:v>4</x:v>
      </x:c>
      <x:c r="P192" s="351" t="str">
        <x:v>Producto de software: Mantenimiento y evolución de software.</x:v>
      </x:c>
      <x:c r="Q192" s="351" t="str">
        <x:v>S02; S03; S05; S11; S18; S22; S23</x:v>
      </x:c>
      <x:c r="R192" s="351" t="str">
        <x:v>No iniciado</x:v>
      </x:c>
      <x:c r="S192" s="354" t="n">
        <x:v>0</x:v>
      </x:c>
      <x:c r="T192" s="355"/>
      <x:c r="U192" s="355"/>
      <x:c r="V192" s="351" t="str">
        <x:v>Surge al escalar la programación desde programas individuales hacia productos complejos y mantenibles.</x:v>
      </x:c>
      <x:c r="W192" s="351" t="str">
        <x:v>Muy alta: fundamento durable</x:v>
      </x:c>
      <x:c r="X192" s="351" t="str">
        <x:v>Transversal permanente</x:v>
      </x:c>
      <x:c r="Y192" s="351" t="str">
        <x:v>Consolidada</x:v>
      </x:c>
      <x:c r="Z192" s="351" t="str">
        <x:v>24 meses</x:v>
      </x:c>
      <x:c r="AA192" s="351" t="str">
        <x:v>Ingeniería asistida por IA, agentes de desarrollo, plataformas internas, evidencia de calidad y cadena de suministro.</x:v>
      </x:c>
    </x:row>
    <x:row r="193" ht="58" customHeight="1">
      <x:c r="A193" s="366" t="str">
        <x:v>SWE-021</x:v>
      </x:c>
      <x:c r="B193" s="366" t="n">
        <x:v>3</x:v>
      </x:c>
      <x:c r="C193" s="366" t="str">
        <x:v>Sistemas e ingeniería</x:v>
      </x:c>
      <x:c r="D193" s="366" t="str">
        <x:v>Desarrollo de aplicaciones</x:v>
      </x:c>
      <x:c r="E193" s="366" t="str">
        <x:v>Ingeniería de software</x:v>
      </x:c>
      <x:c r="F193" s="366" t="str">
        <x:v>HTML, CSS y web accesible</x:v>
      </x:c>
      <x:c r="G193" s="366" t="str">
        <x:v>HTML, CSS y web accesible. Construcción, despliegue, observabilidad, seguridad y experiencia de usuario.</x:v>
      </x:c>
      <x:c r="H193" s="366" t="str">
        <x:v>SWE-001</x:v>
      </x:c>
      <x:c r="I193" s="366" t="str">
        <x:v>Dominio profesional</x:v>
      </x:c>
      <x:c r="J193" s="366" t="n">
        <x:v>2</x:v>
      </x:c>
      <x:c r="K193" s="366" t="n">
        <x:v>20</x:v>
      </x:c>
      <x:c r="L193" s="366" t="n">
        <x:v>52</x:v>
      </x:c>
      <x:c r="M193" s="366" t="n">
        <x:v>20</x:v>
      </x:c>
      <x:c r="N193" s="367" t="n">
        <x:f>SUM(K193:M193)</x:f>
        <x:v>92</x:v>
      </x:c>
      <x:c r="O193" s="368" t="n">
        <x:f>N193/25</x:f>
        <x:v>3.68</x:v>
      </x:c>
      <x:c r="P193" s="366" t="str">
        <x:v>Aplicación desplegada: HTML, CSS y web accesible.</x:v>
      </x:c>
      <x:c r="Q193" s="366" t="str">
        <x:v>S05; S18; S19; S22; S23</x:v>
      </x:c>
      <x:c r="R193" s="366" t="str">
        <x:v>No iniciado</x:v>
      </x:c>
      <x:c r="S193" s="369" t="n">
        <x:v>0</x:v>
      </x:c>
      <x:c r="T193" s="370"/>
      <x:c r="U193" s="370"/>
      <x:c r="V193" s="366" t="str">
        <x:v>Surge al escalar la programación desde programas individuales hacia productos complejos y mantenibles.</x:v>
      </x:c>
      <x:c r="W193" s="366" t="str">
        <x:v>Alta: práctica vigente</x:v>
      </x:c>
      <x:c r="X193" s="366" t="str">
        <x:v>Presente 2026 y corto (2027–2029)</x:v>
      </x:c>
      <x:c r="Y193" s="366" t="str">
        <x:v>Actual</x:v>
      </x:c>
      <x:c r="Z193" s="366" t="str">
        <x:v>12 meses</x:v>
      </x:c>
      <x:c r="AA193" s="366" t="str">
        <x:v>Ingeniería asistida por IA, agentes de desarrollo, plataformas internas, evidencia de calidad y cadena de suministro.</x:v>
      </x:c>
    </x:row>
    <x:row r="194" ht="58" customHeight="1">
      <x:c r="A194" s="351" t="str">
        <x:v>SWE-022</x:v>
      </x:c>
      <x:c r="B194" s="351" t="n">
        <x:v>3</x:v>
      </x:c>
      <x:c r="C194" s="351" t="str">
        <x:v>Sistemas e ingeniería</x:v>
      </x:c>
      <x:c r="D194" s="351" t="str">
        <x:v>Desarrollo de aplicaciones</x:v>
      </x:c>
      <x:c r="E194" s="351" t="str">
        <x:v>Ingeniería de software</x:v>
      </x:c>
      <x:c r="F194" s="351" t="str">
        <x:v>JavaScript y TypeScript</x:v>
      </x:c>
      <x:c r="G194" s="351" t="str">
        <x:v>JavaScript y TypeScript. Construcción, despliegue, observabilidad, seguridad y experiencia de usuario.</x:v>
      </x:c>
      <x:c r="H194" s="351" t="str">
        <x:v>SWE-021</x:v>
      </x:c>
      <x:c r="I194" s="351" t="str">
        <x:v>Dominio profesional</x:v>
      </x:c>
      <x:c r="J194" s="351" t="n">
        <x:v>2</x:v>
      </x:c>
      <x:c r="K194" s="351" t="n">
        <x:v>20</x:v>
      </x:c>
      <x:c r="L194" s="351" t="n">
        <x:v>52</x:v>
      </x:c>
      <x:c r="M194" s="351" t="n">
        <x:v>20</x:v>
      </x:c>
      <x:c r="N194" s="352" t="n">
        <x:f>SUM(K194:M194)</x:f>
        <x:v>92</x:v>
      </x:c>
      <x:c r="O194" s="353" t="n">
        <x:f>N194/25</x:f>
        <x:v>3.68</x:v>
      </x:c>
      <x:c r="P194" s="351" t="str">
        <x:v>Aplicación desplegada: JavaScript y TypeScript.</x:v>
      </x:c>
      <x:c r="Q194" s="351" t="str">
        <x:v>S05; S18; S19; S22; S23</x:v>
      </x:c>
      <x:c r="R194" s="351" t="str">
        <x:v>No iniciado</x:v>
      </x:c>
      <x:c r="S194" s="354" t="n">
        <x:v>0</x:v>
      </x:c>
      <x:c r="T194" s="355"/>
      <x:c r="U194" s="355"/>
      <x:c r="V194" s="351" t="str">
        <x:v>Surge al escalar la programación desde programas individuales hacia productos complejos y mantenibles.</x:v>
      </x:c>
      <x:c r="W194" s="351" t="str">
        <x:v>Alta: práctica vigente</x:v>
      </x:c>
      <x:c r="X194" s="351" t="str">
        <x:v>Presente 2026 y corto (2027–2029)</x:v>
      </x:c>
      <x:c r="Y194" s="351" t="str">
        <x:v>Actual</x:v>
      </x:c>
      <x:c r="Z194" s="351" t="str">
        <x:v>12 meses</x:v>
      </x:c>
      <x:c r="AA194" s="351" t="str">
        <x:v>Ingeniería asistida por IA, agentes de desarrollo, plataformas internas, evidencia de calidad y cadena de suministro.</x:v>
      </x:c>
    </x:row>
    <x:row r="195" ht="58" customHeight="1">
      <x:c r="A195" s="366" t="str">
        <x:v>SWE-023</x:v>
      </x:c>
      <x:c r="B195" s="366" t="n">
        <x:v>3</x:v>
      </x:c>
      <x:c r="C195" s="366" t="str">
        <x:v>Sistemas e ingeniería</x:v>
      </x:c>
      <x:c r="D195" s="366" t="str">
        <x:v>Desarrollo de aplicaciones</x:v>
      </x:c>
      <x:c r="E195" s="366" t="str">
        <x:v>Ingeniería de software</x:v>
      </x:c>
      <x:c r="F195" s="366" t="str">
        <x:v>Frontend moderno</x:v>
      </x:c>
      <x:c r="G195" s="366" t="str">
        <x:v>Frontend moderno. Construcción, despliegue, observabilidad, seguridad y experiencia de usuario.</x:v>
      </x:c>
      <x:c r="H195" s="366" t="str">
        <x:v>SWE-022</x:v>
      </x:c>
      <x:c r="I195" s="366" t="str">
        <x:v>Dominio profesional</x:v>
      </x:c>
      <x:c r="J195" s="366" t="n">
        <x:v>2</x:v>
      </x:c>
      <x:c r="K195" s="366" t="n">
        <x:v>20</x:v>
      </x:c>
      <x:c r="L195" s="366" t="n">
        <x:v>52</x:v>
      </x:c>
      <x:c r="M195" s="366" t="n">
        <x:v>20</x:v>
      </x:c>
      <x:c r="N195" s="367" t="n">
        <x:f>SUM(K195:M195)</x:f>
        <x:v>92</x:v>
      </x:c>
      <x:c r="O195" s="368" t="n">
        <x:f>N195/25</x:f>
        <x:v>3.68</x:v>
      </x:c>
      <x:c r="P195" s="366" t="str">
        <x:v>Aplicación desplegada: Frontend moderno.</x:v>
      </x:c>
      <x:c r="Q195" s="366" t="str">
        <x:v>S05; S18; S19; S22; S23</x:v>
      </x:c>
      <x:c r="R195" s="366" t="str">
        <x:v>No iniciado</x:v>
      </x:c>
      <x:c r="S195" s="369" t="n">
        <x:v>0</x:v>
      </x:c>
      <x:c r="T195" s="370"/>
      <x:c r="U195" s="370"/>
      <x:c r="V195" s="366" t="str">
        <x:v>Surge al escalar la programación desde programas individuales hacia productos complejos y mantenibles.</x:v>
      </x:c>
      <x:c r="W195" s="366" t="str">
        <x:v>Alta: práctica vigente</x:v>
      </x:c>
      <x:c r="X195" s="366" t="str">
        <x:v>Presente 2026 y corto (2027–2029)</x:v>
      </x:c>
      <x:c r="Y195" s="366" t="str">
        <x:v>Actual</x:v>
      </x:c>
      <x:c r="Z195" s="366" t="str">
        <x:v>12 meses</x:v>
      </x:c>
      <x:c r="AA195" s="366" t="str">
        <x:v>Ingeniería asistida por IA, agentes de desarrollo, plataformas internas, evidencia de calidad y cadena de suministro.</x:v>
      </x:c>
    </x:row>
    <x:row r="196" ht="58" customHeight="1">
      <x:c r="A196" s="351" t="str">
        <x:v>SWE-024</x:v>
      </x:c>
      <x:c r="B196" s="351" t="n">
        <x:v>3</x:v>
      </x:c>
      <x:c r="C196" s="351" t="str">
        <x:v>Sistemas e ingeniería</x:v>
      </x:c>
      <x:c r="D196" s="351" t="str">
        <x:v>Desarrollo de aplicaciones</x:v>
      </x:c>
      <x:c r="E196" s="351" t="str">
        <x:v>Ingeniería de software</x:v>
      </x:c>
      <x:c r="F196" s="351" t="str">
        <x:v>Backend y APIs REST</x:v>
      </x:c>
      <x:c r="G196" s="351" t="str">
        <x:v>Backend y APIs REST. Construcción, despliegue, observabilidad, seguridad y experiencia de usuario.</x:v>
      </x:c>
      <x:c r="H196" s="351" t="str">
        <x:v>SWE-023</x:v>
      </x:c>
      <x:c r="I196" s="351" t="str">
        <x:v>Dominio profesional</x:v>
      </x:c>
      <x:c r="J196" s="351" t="n">
        <x:v>2</x:v>
      </x:c>
      <x:c r="K196" s="351" t="n">
        <x:v>20</x:v>
      </x:c>
      <x:c r="L196" s="351" t="n">
        <x:v>52</x:v>
      </x:c>
      <x:c r="M196" s="351" t="n">
        <x:v>20</x:v>
      </x:c>
      <x:c r="N196" s="352" t="n">
        <x:f>SUM(K196:M196)</x:f>
        <x:v>92</x:v>
      </x:c>
      <x:c r="O196" s="353" t="n">
        <x:f>N196/25</x:f>
        <x:v>3.68</x:v>
      </x:c>
      <x:c r="P196" s="351" t="str">
        <x:v>Aplicación desplegada: Backend y APIs REST.</x:v>
      </x:c>
      <x:c r="Q196" s="351" t="str">
        <x:v>S05; S18; S19; S22; S23</x:v>
      </x:c>
      <x:c r="R196" s="351" t="str">
        <x:v>No iniciado</x:v>
      </x:c>
      <x:c r="S196" s="354" t="n">
        <x:v>0</x:v>
      </x:c>
      <x:c r="T196" s="355"/>
      <x:c r="U196" s="355"/>
      <x:c r="V196" s="351" t="str">
        <x:v>Surge al escalar la programación desde programas individuales hacia productos complejos y mantenibles.</x:v>
      </x:c>
      <x:c r="W196" s="351" t="str">
        <x:v>Alta: práctica vigente</x:v>
      </x:c>
      <x:c r="X196" s="351" t="str">
        <x:v>Presente 2026 y corto (2027–2029)</x:v>
      </x:c>
      <x:c r="Y196" s="351" t="str">
        <x:v>Actual</x:v>
      </x:c>
      <x:c r="Z196" s="351" t="str">
        <x:v>12 meses</x:v>
      </x:c>
      <x:c r="AA196" s="351" t="str">
        <x:v>Ingeniería asistida por IA, agentes de desarrollo, plataformas internas, evidencia de calidad y cadena de suministro.</x:v>
      </x:c>
    </x:row>
    <x:row r="197" ht="58" customHeight="1">
      <x:c r="A197" s="366" t="str">
        <x:v>SWE-025</x:v>
      </x:c>
      <x:c r="B197" s="366" t="n">
        <x:v>3</x:v>
      </x:c>
      <x:c r="C197" s="366" t="str">
        <x:v>Sistemas e ingeniería</x:v>
      </x:c>
      <x:c r="D197" s="366" t="str">
        <x:v>Desarrollo de aplicaciones</x:v>
      </x:c>
      <x:c r="E197" s="366" t="str">
        <x:v>Ingeniería de software</x:v>
      </x:c>
      <x:c r="F197" s="366" t="str">
        <x:v>GraphQL y APIs orientadas a eventos</x:v>
      </x:c>
      <x:c r="G197" s="366" t="str">
        <x:v>GraphQL y APIs orientadas a eventos. Construcción, despliegue, observabilidad, seguridad y experiencia de usuario.</x:v>
      </x:c>
      <x:c r="H197" s="366" t="str">
        <x:v>SWE-024</x:v>
      </x:c>
      <x:c r="I197" s="366" t="str">
        <x:v>Dominio profesional</x:v>
      </x:c>
      <x:c r="J197" s="366" t="n">
        <x:v>2</x:v>
      </x:c>
      <x:c r="K197" s="366" t="n">
        <x:v>20</x:v>
      </x:c>
      <x:c r="L197" s="366" t="n">
        <x:v>52</x:v>
      </x:c>
      <x:c r="M197" s="366" t="n">
        <x:v>20</x:v>
      </x:c>
      <x:c r="N197" s="367" t="n">
        <x:f>SUM(K197:M197)</x:f>
        <x:v>92</x:v>
      </x:c>
      <x:c r="O197" s="368" t="n">
        <x:f>N197/25</x:f>
        <x:v>3.68</x:v>
      </x:c>
      <x:c r="P197" s="366" t="str">
        <x:v>Aplicación desplegada: GraphQL y APIs orientadas a eventos.</x:v>
      </x:c>
      <x:c r="Q197" s="366" t="str">
        <x:v>S05; S18; S19; S22; S23</x:v>
      </x:c>
      <x:c r="R197" s="366" t="str">
        <x:v>No iniciado</x:v>
      </x:c>
      <x:c r="S197" s="369" t="n">
        <x:v>0</x:v>
      </x:c>
      <x:c r="T197" s="370"/>
      <x:c r="U197" s="370"/>
      <x:c r="V197" s="366" t="str">
        <x:v>Surge al escalar la programación desde programas individuales hacia productos complejos y mantenibles.</x:v>
      </x:c>
      <x:c r="W197" s="366" t="str">
        <x:v>Alta: práctica vigente</x:v>
      </x:c>
      <x:c r="X197" s="366" t="str">
        <x:v>Presente 2026 y corto (2027–2029)</x:v>
      </x:c>
      <x:c r="Y197" s="366" t="str">
        <x:v>Actual</x:v>
      </x:c>
      <x:c r="Z197" s="366" t="str">
        <x:v>12 meses</x:v>
      </x:c>
      <x:c r="AA197" s="366" t="str">
        <x:v>Ingeniería asistida por IA, agentes de desarrollo, plataformas internas, evidencia de calidad y cadena de suministro.</x:v>
      </x:c>
    </x:row>
    <x:row r="198" ht="58" customHeight="1">
      <x:c r="A198" s="351" t="str">
        <x:v>SWE-026</x:v>
      </x:c>
      <x:c r="B198" s="351" t="n">
        <x:v>3</x:v>
      </x:c>
      <x:c r="C198" s="351" t="str">
        <x:v>Sistemas e ingeniería</x:v>
      </x:c>
      <x:c r="D198" s="351" t="str">
        <x:v>Desarrollo de aplicaciones</x:v>
      </x:c>
      <x:c r="E198" s="351" t="str">
        <x:v>Ingeniería de software</x:v>
      </x:c>
      <x:c r="F198" s="351" t="str">
        <x:v>Desarrollo full stack</x:v>
      </x:c>
      <x:c r="G198" s="351" t="str">
        <x:v>Desarrollo full stack. Construcción, despliegue, observabilidad, seguridad y experiencia de usuario.</x:v>
      </x:c>
      <x:c r="H198" s="351" t="str">
        <x:v>SWE-025</x:v>
      </x:c>
      <x:c r="I198" s="351" t="str">
        <x:v>Dominio profesional</x:v>
      </x:c>
      <x:c r="J198" s="351" t="n">
        <x:v>2</x:v>
      </x:c>
      <x:c r="K198" s="351" t="n">
        <x:v>20</x:v>
      </x:c>
      <x:c r="L198" s="351" t="n">
        <x:v>52</x:v>
      </x:c>
      <x:c r="M198" s="351" t="n">
        <x:v>20</x:v>
      </x:c>
      <x:c r="N198" s="352" t="n">
        <x:f>SUM(K198:M198)</x:f>
        <x:v>92</x:v>
      </x:c>
      <x:c r="O198" s="353" t="n">
        <x:f>N198/25</x:f>
        <x:v>3.68</x:v>
      </x:c>
      <x:c r="P198" s="351" t="str">
        <x:v>Aplicación desplegada: Desarrollo full stack.</x:v>
      </x:c>
      <x:c r="Q198" s="351" t="str">
        <x:v>S05; S18; S19; S22; S23</x:v>
      </x:c>
      <x:c r="R198" s="351" t="str">
        <x:v>No iniciado</x:v>
      </x:c>
      <x:c r="S198" s="354" t="n">
        <x:v>0</x:v>
      </x:c>
      <x:c r="T198" s="355"/>
      <x:c r="U198" s="355"/>
      <x:c r="V198" s="351" t="str">
        <x:v>Surge al escalar la programación desde programas individuales hacia productos complejos y mantenibles.</x:v>
      </x:c>
      <x:c r="W198" s="351" t="str">
        <x:v>Alta: práctica vigente</x:v>
      </x:c>
      <x:c r="X198" s="351" t="str">
        <x:v>Presente 2026 y corto (2027–2029)</x:v>
      </x:c>
      <x:c r="Y198" s="351" t="str">
        <x:v>Actual</x:v>
      </x:c>
      <x:c r="Z198" s="351" t="str">
        <x:v>12 meses</x:v>
      </x:c>
      <x:c r="AA198" s="351" t="str">
        <x:v>Ingeniería asistida por IA, agentes de desarrollo, plataformas internas, evidencia de calidad y cadena de suministro.</x:v>
      </x:c>
    </x:row>
    <x:row r="199" ht="58" customHeight="1">
      <x:c r="A199" s="366" t="str">
        <x:v>SWE-027</x:v>
      </x:c>
      <x:c r="B199" s="366" t="n">
        <x:v>3</x:v>
      </x:c>
      <x:c r="C199" s="366" t="str">
        <x:v>Sistemas e ingeniería</x:v>
      </x:c>
      <x:c r="D199" s="366" t="str">
        <x:v>Desarrollo de aplicaciones</x:v>
      </x:c>
      <x:c r="E199" s="366" t="str">
        <x:v>Ingeniería de software</x:v>
      </x:c>
      <x:c r="F199" s="366" t="str">
        <x:v>Desarrollo móvil Android</x:v>
      </x:c>
      <x:c r="G199" s="366" t="str">
        <x:v>Desarrollo móvil Android. Construcción, despliegue, observabilidad, seguridad y experiencia de usuario.</x:v>
      </x:c>
      <x:c r="H199" s="366" t="str">
        <x:v>SWE-026</x:v>
      </x:c>
      <x:c r="I199" s="366" t="str">
        <x:v>Dominio profesional</x:v>
      </x:c>
      <x:c r="J199" s="366" t="n">
        <x:v>2</x:v>
      </x:c>
      <x:c r="K199" s="366" t="n">
        <x:v>20</x:v>
      </x:c>
      <x:c r="L199" s="366" t="n">
        <x:v>52</x:v>
      </x:c>
      <x:c r="M199" s="366" t="n">
        <x:v>20</x:v>
      </x:c>
      <x:c r="N199" s="367" t="n">
        <x:f>SUM(K199:M199)</x:f>
        <x:v>92</x:v>
      </x:c>
      <x:c r="O199" s="368" t="n">
        <x:f>N199/25</x:f>
        <x:v>3.68</x:v>
      </x:c>
      <x:c r="P199" s="366" t="str">
        <x:v>Aplicación desplegada: Desarrollo móvil Android.</x:v>
      </x:c>
      <x:c r="Q199" s="366" t="str">
        <x:v>S05; S18; S19; S22; S23</x:v>
      </x:c>
      <x:c r="R199" s="366" t="str">
        <x:v>No iniciado</x:v>
      </x:c>
      <x:c r="S199" s="369" t="n">
        <x:v>0</x:v>
      </x:c>
      <x:c r="T199" s="370"/>
      <x:c r="U199" s="370"/>
      <x:c r="V199" s="366" t="str">
        <x:v>Surge al escalar la programación desde programas individuales hacia productos complejos y mantenibles.</x:v>
      </x:c>
      <x:c r="W199" s="366" t="str">
        <x:v>Alta: práctica vigente</x:v>
      </x:c>
      <x:c r="X199" s="366" t="str">
        <x:v>Presente 2026 y corto (2027–2029)</x:v>
      </x:c>
      <x:c r="Y199" s="366" t="str">
        <x:v>Actual</x:v>
      </x:c>
      <x:c r="Z199" s="366" t="str">
        <x:v>12 meses</x:v>
      </x:c>
      <x:c r="AA199" s="366" t="str">
        <x:v>Ingeniería asistida por IA, agentes de desarrollo, plataformas internas, evidencia de calidad y cadena de suministro.</x:v>
      </x:c>
    </x:row>
    <x:row r="200" ht="58" customHeight="1">
      <x:c r="A200" s="351" t="str">
        <x:v>CAP-011</x:v>
      </x:c>
      <x:c r="B200" s="351" t="n">
        <x:v>3</x:v>
      </x:c>
      <x:c r="C200" s="351" t="str">
        <x:v>Sistemas e ingeniería</x:v>
      </x:c>
      <x:c r="D200" s="351" t="str">
        <x:v>Investigación y profesión</x:v>
      </x:c>
      <x:c r="E200" s="351" t="str">
        <x:v>Investigación, profesión y capstones</x:v>
      </x:c>
      <x:c r="F200" s="351" t="str">
        <x:v>Innovación, patentes y transferencia tecnológica</x:v>
      </x:c>
      <x:c r="G200" s="351" t="str">
        <x:v>Innovación, patentes y transferencia tecnológica. Método científico, comunicación, colaboración, ética, impacto y evidencia pública.</x:v>
      </x:c>
      <x:c r="H200" s="351" t="str">
        <x:v>CAP-010</x:v>
      </x:c>
      <x:c r="I200" s="351" t="str">
        <x:v>Núcleo esencial</x:v>
      </x:c>
      <x:c r="J200" s="351" t="n">
        <x:v>1</x:v>
      </x:c>
      <x:c r="K200" s="351" t="n">
        <x:v>20</x:v>
      </x:c>
      <x:c r="L200" s="351" t="n">
        <x:v>24</x:v>
      </x:c>
      <x:c r="M200" s="351" t="n">
        <x:v>56</x:v>
      </x:c>
      <x:c r="N200" s="352" t="n">
        <x:f>SUM(K200:M200)</x:f>
        <x:v>100</x:v>
      </x:c>
      <x:c r="O200" s="353" t="n">
        <x:f>N200/25</x:f>
        <x:v>4</x:v>
      </x:c>
      <x:c r="P200" s="351" t="str">
        <x:v>Informe y defensa: Innovación, patentes y transferencia tecnológica.</x:v>
      </x:c>
      <x:c r="Q200" s="351" t="str">
        <x:v>S01; S03; S04; S07; S08</x:v>
      </x:c>
      <x:c r="R200" s="351" t="str">
        <x:v>No iniciado</x:v>
      </x:c>
      <x:c r="S200" s="354" t="n">
        <x:v>0</x:v>
      </x:c>
      <x:c r="T200" s="355"/>
      <x:c r="U200" s="355"/>
      <x:c r="V200" s="351" t="str">
        <x:v>Hereda método científico, ingeniería, revisión por pares, ética profesional e innovación.</x:v>
      </x:c>
      <x:c r="W200" s="351" t="str">
        <x:v>Muy alta: fundamento durable</x:v>
      </x:c>
      <x:c r="X200" s="351" t="str">
        <x:v>Transversal permanente</x:v>
      </x:c>
      <x:c r="Y200" s="351" t="str">
        <x:v>Consolidada</x:v>
      </x:c>
      <x:c r="Z200" s="351" t="str">
        <x:v>24 meses</x:v>
      </x:c>
      <x:c r="AA200" s="351" t="str">
        <x:v>Ciencia asistida por IA, inteligencia de patentes/estándares y actualización curricular basada en señales.</x:v>
      </x:c>
    </x:row>
    <x:row r="201" ht="58" customHeight="1">
      <x:c r="A201" s="366" t="str">
        <x:v>CAP-012</x:v>
      </x:c>
      <x:c r="B201" s="366" t="n">
        <x:v>3</x:v>
      </x:c>
      <x:c r="C201" s="366" t="str">
        <x:v>Sistemas e ingeniería</x:v>
      </x:c>
      <x:c r="D201" s="366" t="str">
        <x:v>Investigación y profesión</x:v>
      </x:c>
      <x:c r="E201" s="366" t="str">
        <x:v>Investigación, profesión y capstones</x:v>
      </x:c>
      <x:c r="F201" s="366" t="str">
        <x:v>Seminario de tendencias tecnológicas</x:v>
      </x:c>
      <x:c r="G201" s="366" t="str">
        <x:v>Seminario de tendencias tecnológicas. Método científico, comunicación, colaboración, ética, impacto y evidencia pública.</x:v>
      </x:c>
      <x:c r="H201" s="366" t="str">
        <x:v>CAP-011</x:v>
      </x:c>
      <x:c r="I201" s="366" t="str">
        <x:v>Núcleo esencial</x:v>
      </x:c>
      <x:c r="J201" s="366" t="n">
        <x:v>1</x:v>
      </x:c>
      <x:c r="K201" s="366" t="n">
        <x:v>20</x:v>
      </x:c>
      <x:c r="L201" s="366" t="n">
        <x:v>24</x:v>
      </x:c>
      <x:c r="M201" s="366" t="n">
        <x:v>56</x:v>
      </x:c>
      <x:c r="N201" s="367" t="n">
        <x:f>SUM(K201:M201)</x:f>
        <x:v>100</x:v>
      </x:c>
      <x:c r="O201" s="368" t="n">
        <x:f>N201/25</x:f>
        <x:v>4</x:v>
      </x:c>
      <x:c r="P201" s="366" t="str">
        <x:v>Informe y defensa: Seminario de tendencias tecnológicas.</x:v>
      </x:c>
      <x:c r="Q201" s="366" t="str">
        <x:v>S01; S03; S04; S07; S08</x:v>
      </x:c>
      <x:c r="R201" s="366" t="str">
        <x:v>No iniciado</x:v>
      </x:c>
      <x:c r="S201" s="369" t="n">
        <x:v>0</x:v>
      </x:c>
      <x:c r="T201" s="370"/>
      <x:c r="U201" s="370"/>
      <x:c r="V201" s="366" t="str">
        <x:v>Hereda método científico, ingeniería, revisión por pares, ética profesional e innovación.</x:v>
      </x:c>
      <x:c r="W201" s="366" t="str">
        <x:v>Muy alta: fundamento durable</x:v>
      </x:c>
      <x:c r="X201" s="366" t="str">
        <x:v>Transversal permanente</x:v>
      </x:c>
      <x:c r="Y201" s="366" t="str">
        <x:v>Consolidada</x:v>
      </x:c>
      <x:c r="Z201" s="366" t="str">
        <x:v>24 meses</x:v>
      </x:c>
      <x:c r="AA201" s="366" t="str">
        <x:v>Ciencia asistida por IA, inteligencia de patentes/estándares y actualización curricular basada en señales.</x:v>
      </x:c>
    </x:row>
    <x:row r="202" ht="58" customHeight="1">
      <x:c r="A202" s="351" t="str">
        <x:v>MAT-015</x:v>
      </x:c>
      <x:c r="B202" s="351" t="n">
        <x:v>3</x:v>
      </x:c>
      <x:c r="C202" s="351" t="str">
        <x:v>Sistemas e ingeniería</x:v>
      </x:c>
      <x:c r="D202" s="351" t="str">
        <x:v>Matemática fundamental</x:v>
      </x:c>
      <x:c r="E202" s="351" t="str">
        <x:v>Matemática y ciencias</x:v>
      </x:c>
      <x:c r="F202" s="351" t="str">
        <x:v>Métodos numéricos</x:v>
      </x:c>
      <x:c r="G202" s="351" t="str">
        <x:v>Métodos numéricos. Definiciones, demostraciones, cálculo manual, modelado y uso computacional.</x:v>
      </x:c>
      <x:c r="H202" s="351" t="str">
        <x:v>MAT-014</x:v>
      </x:c>
      <x:c r="I202" s="351" t="str">
        <x:v>Núcleo esencial</x:v>
      </x:c>
      <x:c r="J202" s="351" t="n">
        <x:v>1</x:v>
      </x:c>
      <x:c r="K202" s="351" t="n">
        <x:v>36</x:v>
      </x:c>
      <x:c r="L202" s="351" t="n">
        <x:v>42</x:v>
      </x:c>
      <x:c r="M202" s="351" t="n">
        <x:v>22</x:v>
      </x:c>
      <x:c r="N202" s="352" t="n">
        <x:f>SUM(K202:M202)</x:f>
        <x:v>100</x:v>
      </x:c>
      <x:c r="O202" s="353" t="n">
        <x:f>N202/25</x:f>
        <x:v>4</x:v>
      </x:c>
      <x:c r="P202" s="351" t="str">
        <x:v>Cuaderno de problemas y notebook reproducible: Métodos numéricos.</x:v>
      </x:c>
      <x:c r="Q202" s="351" t="str">
        <x:v>S01; S03; S04; S09; S11; S16</x:v>
      </x:c>
      <x:c r="R202" s="351" t="str">
        <x:v>No iniciado</x:v>
      </x:c>
      <x:c r="S202" s="354" t="n">
        <x:v>0</x:v>
      </x:c>
      <x:c r="T202" s="355"/>
      <x:c r="U202" s="355"/>
      <x:c r="V202" s="351" t="str">
        <x:v>Precede a la computación y aporta lógica, prueba, modelado, medición y límites físicos.</x:v>
      </x:c>
      <x:c r="W202" s="351" t="str">
        <x:v>Muy alta: fundamento durable</x:v>
      </x:c>
      <x:c r="X202" s="351" t="str">
        <x:v>Transversal permanente</x:v>
      </x:c>
      <x:c r="Y202" s="351" t="str">
        <x:v>Consolidada</x:v>
      </x:c>
      <x:c r="Z202" s="351" t="str">
        <x:v>24 meses</x:v>
      </x:c>
      <x:c r="AA202" s="351" t="str">
        <x:v>Prueba asistida, matemática formalizada, modelado multiescala y cálculo científico acelerado.</x:v>
      </x:c>
    </x:row>
    <x:row r="203" ht="58" customHeight="1">
      <x:c r="A203" s="366" t="str">
        <x:v>MAT-016</x:v>
      </x:c>
      <x:c r="B203" s="366" t="n">
        <x:v>3</x:v>
      </x:c>
      <x:c r="C203" s="366" t="str">
        <x:v>Sistemas e ingeniería</x:v>
      </x:c>
      <x:c r="D203" s="366" t="str">
        <x:v>Matemática fundamental</x:v>
      </x:c>
      <x:c r="E203" s="366" t="str">
        <x:v>Matemática y ciencias</x:v>
      </x:c>
      <x:c r="F203" s="366" t="str">
        <x:v>Optimización matemática</x:v>
      </x:c>
      <x:c r="G203" s="366" t="str">
        <x:v>Optimización matemática. Definiciones, demostraciones, cálculo manual, modelado y uso computacional.</x:v>
      </x:c>
      <x:c r="H203" s="366" t="str">
        <x:v>MAT-015</x:v>
      </x:c>
      <x:c r="I203" s="366" t="str">
        <x:v>Núcleo esencial</x:v>
      </x:c>
      <x:c r="J203" s="366" t="n">
        <x:v>1</x:v>
      </x:c>
      <x:c r="K203" s="366" t="n">
        <x:v>36</x:v>
      </x:c>
      <x:c r="L203" s="366" t="n">
        <x:v>42</x:v>
      </x:c>
      <x:c r="M203" s="366" t="n">
        <x:v>22</x:v>
      </x:c>
      <x:c r="N203" s="367" t="n">
        <x:f>SUM(K203:M203)</x:f>
        <x:v>100</x:v>
      </x:c>
      <x:c r="O203" s="368" t="n">
        <x:f>N203/25</x:f>
        <x:v>4</x:v>
      </x:c>
      <x:c r="P203" s="366" t="str">
        <x:v>Cuaderno de problemas y notebook reproducible: Optimización matemática.</x:v>
      </x:c>
      <x:c r="Q203" s="366" t="str">
        <x:v>S01; S03; S04; S09; S11; S16</x:v>
      </x:c>
      <x:c r="R203" s="366" t="str">
        <x:v>No iniciado</x:v>
      </x:c>
      <x:c r="S203" s="369" t="n">
        <x:v>0</x:v>
      </x:c>
      <x:c r="T203" s="370"/>
      <x:c r="U203" s="370"/>
      <x:c r="V203" s="366" t="str">
        <x:v>Precede a la computación y aporta lógica, prueba, modelado, medición y límites físicos.</x:v>
      </x:c>
      <x:c r="W203" s="366" t="str">
        <x:v>Muy alta: fundamento durable</x:v>
      </x:c>
      <x:c r="X203" s="366" t="str">
        <x:v>Transversal permanente</x:v>
      </x:c>
      <x:c r="Y203" s="366" t="str">
        <x:v>Consolidada</x:v>
      </x:c>
      <x:c r="Z203" s="366" t="str">
        <x:v>24 meses</x:v>
      </x:c>
      <x:c r="AA203" s="366" t="str">
        <x:v>Prueba asistida, matemática formalizada, modelado multiescala y cálculo científico acelerado.</x:v>
      </x:c>
    </x:row>
    <x:row r="204" ht="58" customHeight="1">
      <x:c r="A204" s="351" t="str">
        <x:v>MAT-017</x:v>
      </x:c>
      <x:c r="B204" s="351" t="n">
        <x:v>3</x:v>
      </x:c>
      <x:c r="C204" s="351" t="str">
        <x:v>Sistemas e ingeniería</x:v>
      </x:c>
      <x:c r="D204" s="351" t="str">
        <x:v>Matemática fundamental</x:v>
      </x:c>
      <x:c r="E204" s="351" t="str">
        <x:v>Matemática y ciencias</x:v>
      </x:c>
      <x:c r="F204" s="351" t="str">
        <x:v>Investigación de operaciones</x:v>
      </x:c>
      <x:c r="G204" s="351" t="str">
        <x:v>Investigación de operaciones. Definiciones, demostraciones, cálculo manual, modelado y uso computacional.</x:v>
      </x:c>
      <x:c r="H204" s="351" t="str">
        <x:v>MAT-016</x:v>
      </x:c>
      <x:c r="I204" s="351" t="str">
        <x:v>Núcleo esencial</x:v>
      </x:c>
      <x:c r="J204" s="351" t="n">
        <x:v>1</x:v>
      </x:c>
      <x:c r="K204" s="351" t="n">
        <x:v>36</x:v>
      </x:c>
      <x:c r="L204" s="351" t="n">
        <x:v>42</x:v>
      </x:c>
      <x:c r="M204" s="351" t="n">
        <x:v>22</x:v>
      </x:c>
      <x:c r="N204" s="352" t="n">
        <x:f>SUM(K204:M204)</x:f>
        <x:v>100</x:v>
      </x:c>
      <x:c r="O204" s="353" t="n">
        <x:f>N204/25</x:f>
        <x:v>4</x:v>
      </x:c>
      <x:c r="P204" s="351" t="str">
        <x:v>Cuaderno de problemas y notebook reproducible: Investigación de operaciones.</x:v>
      </x:c>
      <x:c r="Q204" s="351" t="str">
        <x:v>S01; S03; S04; S09; S11; S16</x:v>
      </x:c>
      <x:c r="R204" s="351" t="str">
        <x:v>No iniciado</x:v>
      </x:c>
      <x:c r="S204" s="354" t="n">
        <x:v>0</x:v>
      </x:c>
      <x:c r="T204" s="355"/>
      <x:c r="U204" s="355"/>
      <x:c r="V204" s="351" t="str">
        <x:v>Precede a la computación y aporta lógica, prueba, modelado, medición y límites físicos.</x:v>
      </x:c>
      <x:c r="W204" s="351" t="str">
        <x:v>Muy alta: fundamento durable</x:v>
      </x:c>
      <x:c r="X204" s="351" t="str">
        <x:v>Transversal permanente</x:v>
      </x:c>
      <x:c r="Y204" s="351" t="str">
        <x:v>Consolidada</x:v>
      </x:c>
      <x:c r="Z204" s="351" t="str">
        <x:v>24 meses</x:v>
      </x:c>
      <x:c r="AA204" s="351" t="str">
        <x:v>Prueba asistida, matemática formalizada, modelado multiescala y cálculo científico acelerado.</x:v>
      </x:c>
    </x:row>
    <x:row r="205" ht="58" customHeight="1">
      <x:c r="A205" s="366" t="str">
        <x:v>MAT-018</x:v>
      </x:c>
      <x:c r="B205" s="366" t="n">
        <x:v>3</x:v>
      </x:c>
      <x:c r="C205" s="366" t="str">
        <x:v>Sistemas e ingeniería</x:v>
      </x:c>
      <x:c r="D205" s="366" t="str">
        <x:v>Matemática fundamental</x:v>
      </x:c>
      <x:c r="E205" s="366" t="str">
        <x:v>Matemática y ciencias</x:v>
      </x:c>
      <x:c r="F205" s="366" t="str">
        <x:v>Teoría de grafos</x:v>
      </x:c>
      <x:c r="G205" s="366" t="str">
        <x:v>Teoría de grafos. Definiciones, demostraciones, cálculo manual, modelado y uso computacional.</x:v>
      </x:c>
      <x:c r="H205" s="366" t="str">
        <x:v>MAT-017</x:v>
      </x:c>
      <x:c r="I205" s="366" t="str">
        <x:v>Núcleo esencial</x:v>
      </x:c>
      <x:c r="J205" s="366" t="n">
        <x:v>1</x:v>
      </x:c>
      <x:c r="K205" s="366" t="n">
        <x:v>36</x:v>
      </x:c>
      <x:c r="L205" s="366" t="n">
        <x:v>42</x:v>
      </x:c>
      <x:c r="M205" s="366" t="n">
        <x:v>22</x:v>
      </x:c>
      <x:c r="N205" s="367" t="n">
        <x:f>SUM(K205:M205)</x:f>
        <x:v>100</x:v>
      </x:c>
      <x:c r="O205" s="368" t="n">
        <x:f>N205/25</x:f>
        <x:v>4</x:v>
      </x:c>
      <x:c r="P205" s="366" t="str">
        <x:v>Cuaderno de problemas y notebook reproducible: Teoría de grafos.</x:v>
      </x:c>
      <x:c r="Q205" s="366" t="str">
        <x:v>S01; S03; S04; S09; S11; S16</x:v>
      </x:c>
      <x:c r="R205" s="366" t="str">
        <x:v>No iniciado</x:v>
      </x:c>
      <x:c r="S205" s="369" t="n">
        <x:v>0</x:v>
      </x:c>
      <x:c r="T205" s="370"/>
      <x:c r="U205" s="370"/>
      <x:c r="V205" s="366" t="str">
        <x:v>Precede a la computación y aporta lógica, prueba, modelado, medición y límites físicos.</x:v>
      </x:c>
      <x:c r="W205" s="366" t="str">
        <x:v>Muy alta: fundamento durable</x:v>
      </x:c>
      <x:c r="X205" s="366" t="str">
        <x:v>Transversal permanente</x:v>
      </x:c>
      <x:c r="Y205" s="366" t="str">
        <x:v>Consolidada</x:v>
      </x:c>
      <x:c r="Z205" s="366" t="str">
        <x:v>24 meses</x:v>
      </x:c>
      <x:c r="AA205" s="366" t="str">
        <x:v>Prueba asistida, matemática formalizada, modelado multiescala y cálculo científico acelerado.</x:v>
      </x:c>
    </x:row>
    <x:row r="206" ht="58" customHeight="1">
      <x:c r="A206" s="351" t="str">
        <x:v>MAT-019</x:v>
      </x:c>
      <x:c r="B206" s="351" t="n">
        <x:v>3</x:v>
      </x:c>
      <x:c r="C206" s="351" t="str">
        <x:v>Sistemas e ingeniería</x:v>
      </x:c>
      <x:c r="D206" s="351" t="str">
        <x:v>Matemática fundamental</x:v>
      </x:c>
      <x:c r="E206" s="351" t="str">
        <x:v>Matemática y ciencias</x:v>
      </x:c>
      <x:c r="F206" s="351" t="str">
        <x:v>Teoría de la información</x:v>
      </x:c>
      <x:c r="G206" s="351" t="str">
        <x:v>Teoría de la información. Definiciones, demostraciones, cálculo manual, modelado y uso computacional.</x:v>
      </x:c>
      <x:c r="H206" s="351" t="str">
        <x:v>MAT-018</x:v>
      </x:c>
      <x:c r="I206" s="351" t="str">
        <x:v>Núcleo esencial</x:v>
      </x:c>
      <x:c r="J206" s="351" t="n">
        <x:v>1</x:v>
      </x:c>
      <x:c r="K206" s="351" t="n">
        <x:v>36</x:v>
      </x:c>
      <x:c r="L206" s="351" t="n">
        <x:v>42</x:v>
      </x:c>
      <x:c r="M206" s="351" t="n">
        <x:v>22</x:v>
      </x:c>
      <x:c r="N206" s="352" t="n">
        <x:f>SUM(K206:M206)</x:f>
        <x:v>100</x:v>
      </x:c>
      <x:c r="O206" s="353" t="n">
        <x:f>N206/25</x:f>
        <x:v>4</x:v>
      </x:c>
      <x:c r="P206" s="351" t="str">
        <x:v>Cuaderno de problemas y notebook reproducible: Teoría de la información.</x:v>
      </x:c>
      <x:c r="Q206" s="351" t="str">
        <x:v>S01; S03; S04; S09; S11; S16</x:v>
      </x:c>
      <x:c r="R206" s="351" t="str">
        <x:v>No iniciado</x:v>
      </x:c>
      <x:c r="S206" s="354" t="n">
        <x:v>0</x:v>
      </x:c>
      <x:c r="T206" s="355"/>
      <x:c r="U206" s="355"/>
      <x:c r="V206" s="351" t="str">
        <x:v>Precede a la computación y aporta lógica, prueba, modelado, medición y límites físicos.</x:v>
      </x:c>
      <x:c r="W206" s="351" t="str">
        <x:v>Muy alta: fundamento durable</x:v>
      </x:c>
      <x:c r="X206" s="351" t="str">
        <x:v>Transversal permanente</x:v>
      </x:c>
      <x:c r="Y206" s="351" t="str">
        <x:v>Consolidada</x:v>
      </x:c>
      <x:c r="Z206" s="351" t="str">
        <x:v>24 meses</x:v>
      </x:c>
      <x:c r="AA206" s="351" t="str">
        <x:v>Prueba asistida, matemática formalizada, modelado multiescala y cálculo científico acelerado.</x:v>
      </x:c>
    </x:row>
    <x:row r="207" ht="58" customHeight="1">
      <x:c r="A207" s="366" t="str">
        <x:v>MAT-020</x:v>
      </x:c>
      <x:c r="B207" s="366" t="n">
        <x:v>3</x:v>
      </x:c>
      <x:c r="C207" s="366" t="str">
        <x:v>Sistemas e ingeniería</x:v>
      </x:c>
      <x:c r="D207" s="366" t="str">
        <x:v>Matemática fundamental</x:v>
      </x:c>
      <x:c r="E207" s="366" t="str">
        <x:v>Matemática y ciencias</x:v>
      </x:c>
      <x:c r="F207" s="366" t="str">
        <x:v>Procesos estocásticos</x:v>
      </x:c>
      <x:c r="G207" s="366" t="str">
        <x:v>Procesos estocásticos. Definiciones, demostraciones, cálculo manual, modelado y uso computacional.</x:v>
      </x:c>
      <x:c r="H207" s="366" t="str">
        <x:v>MAT-019</x:v>
      </x:c>
      <x:c r="I207" s="366" t="str">
        <x:v>Núcleo esencial</x:v>
      </x:c>
      <x:c r="J207" s="366" t="n">
        <x:v>1</x:v>
      </x:c>
      <x:c r="K207" s="366" t="n">
        <x:v>36</x:v>
      </x:c>
      <x:c r="L207" s="366" t="n">
        <x:v>42</x:v>
      </x:c>
      <x:c r="M207" s="366" t="n">
        <x:v>22</x:v>
      </x:c>
      <x:c r="N207" s="367" t="n">
        <x:f>SUM(K207:M207)</x:f>
        <x:v>100</x:v>
      </x:c>
      <x:c r="O207" s="368" t="n">
        <x:f>N207/25</x:f>
        <x:v>4</x:v>
      </x:c>
      <x:c r="P207" s="366" t="str">
        <x:v>Cuaderno de problemas y notebook reproducible: Procesos estocásticos.</x:v>
      </x:c>
      <x:c r="Q207" s="366" t="str">
        <x:v>S01; S03; S04; S09; S11; S16</x:v>
      </x:c>
      <x:c r="R207" s="366" t="str">
        <x:v>No iniciado</x:v>
      </x:c>
      <x:c r="S207" s="369" t="n">
        <x:v>0</x:v>
      </x:c>
      <x:c r="T207" s="370"/>
      <x:c r="U207" s="370"/>
      <x:c r="V207" s="366" t="str">
        <x:v>Precede a la computación y aporta lógica, prueba, modelado, medición y límites físicos.</x:v>
      </x:c>
      <x:c r="W207" s="366" t="str">
        <x:v>Muy alta: fundamento durable</x:v>
      </x:c>
      <x:c r="X207" s="366" t="str">
        <x:v>Transversal permanente</x:v>
      </x:c>
      <x:c r="Y207" s="366" t="str">
        <x:v>Consolidada</x:v>
      </x:c>
      <x:c r="Z207" s="366" t="str">
        <x:v>24 meses</x:v>
      </x:c>
      <x:c r="AA207" s="366" t="str">
        <x:v>Prueba asistida, matemática formalizada, modelado multiescala y cálculo científico acelerado.</x:v>
      </x:c>
    </x:row>
    <x:row r="208" ht="58" customHeight="1">
      <x:c r="A208" s="351" t="str">
        <x:v>CST-013</x:v>
      </x:c>
      <x:c r="B208" s="351" t="n">
        <x:v>3</x:v>
      </x:c>
      <x:c r="C208" s="351" t="str">
        <x:v>Sistemas e ingeniería</x:v>
      </x:c>
      <x:c r="D208" s="351" t="str">
        <x:v>Programación</x:v>
      </x:c>
      <x:c r="E208" s="351" t="str">
        <x:v>Programación y teoría CS</x:v>
      </x:c>
      <x:c r="F208" s="351" t="str">
        <x:v>Programación de GPU</x:v>
      </x:c>
      <x:c r="G208" s="351" t="str">
        <x:v>Programación de GPU. Diseño de algoritmos, depuración, pruebas, estilo, complejidad y pequeños proyectos.</x:v>
      </x:c>
      <x:c r="H208" s="351" t="str">
        <x:v>CST-012</x:v>
      </x:c>
      <x:c r="I208" s="351" t="str">
        <x:v>Núcleo esencial</x:v>
      </x:c>
      <x:c r="J208" s="351" t="n">
        <x:v>1</x:v>
      </x:c>
      <x:c r="K208" s="351" t="n">
        <x:v>36</x:v>
      </x:c>
      <x:c r="L208" s="351" t="n">
        <x:v>42</x:v>
      </x:c>
      <x:c r="M208" s="351" t="n">
        <x:v>22</x:v>
      </x:c>
      <x:c r="N208" s="352" t="n">
        <x:f>SUM(K208:M208)</x:f>
        <x:v>100</x:v>
      </x:c>
      <x:c r="O208" s="353" t="n">
        <x:f>N208/25</x:f>
        <x:v>4</x:v>
      </x:c>
      <x:c r="P208" s="351" t="str">
        <x:v>Repositorio con pruebas: Programación de GPU.</x:v>
      </x:c>
      <x:c r="Q208" s="351" t="str">
        <x:v>S01; S09; S11; S14; S16; S18</x:v>
      </x:c>
      <x:c r="R208" s="351" t="str">
        <x:v>No iniciado</x:v>
      </x:c>
      <x:c r="S208" s="354" t="n">
        <x:v>0</x:v>
      </x:c>
      <x:c r="T208" s="355"/>
      <x:c r="U208" s="355"/>
      <x:c r="V208" s="351" t="str">
        <x:v>Conecta lógica matemática, máquinas computables, lenguajes, algoritmos y abstracción.</x:v>
      </x:c>
      <x:c r="W208" s="351" t="str">
        <x:v>Muy alta: fundamento durable</x:v>
      </x:c>
      <x:c r="X208" s="351" t="str">
        <x:v>Transversal permanente</x:v>
      </x:c>
      <x:c r="Y208" s="351" t="str">
        <x:v>Consolidada</x:v>
      </x:c>
      <x:c r="Z208" s="351" t="str">
        <x:v>24 meses</x:v>
      </x:c>
      <x:c r="AA208" s="351" t="str">
        <x:v>Lenguajes seguros, verificación, WebAssembly, cómputo heterogéneo y nuevas abstracciones para agentes.</x:v>
      </x:c>
    </x:row>
    <x:row r="209" ht="58" customHeight="1">
      <x:c r="A209" s="366" t="str">
        <x:v>CST-014</x:v>
      </x:c>
      <x:c r="B209" s="366" t="n">
        <x:v>3</x:v>
      </x:c>
      <x:c r="C209" s="366" t="str">
        <x:v>Sistemas e ingeniería</x:v>
      </x:c>
      <x:c r="D209" s="366" t="str">
        <x:v>Programación</x:v>
      </x:c>
      <x:c r="E209" s="366" t="str">
        <x:v>Programación y teoría CS</x:v>
      </x:c>
      <x:c r="F209" s="366" t="str">
        <x:v>Scripting con Bash y PowerShell</x:v>
      </x:c>
      <x:c r="G209" s="366" t="str">
        <x:v>Scripting con Bash y PowerShell. Diseño de algoritmos, depuración, pruebas, estilo, complejidad y pequeños proyectos.</x:v>
      </x:c>
      <x:c r="H209" s="366" t="str">
        <x:v>CST-013</x:v>
      </x:c>
      <x:c r="I209" s="366" t="str">
        <x:v>Núcleo esencial</x:v>
      </x:c>
      <x:c r="J209" s="366" t="n">
        <x:v>1</x:v>
      </x:c>
      <x:c r="K209" s="366" t="n">
        <x:v>36</x:v>
      </x:c>
      <x:c r="L209" s="366" t="n">
        <x:v>42</x:v>
      </x:c>
      <x:c r="M209" s="366" t="n">
        <x:v>22</x:v>
      </x:c>
      <x:c r="N209" s="367" t="n">
        <x:f>SUM(K209:M209)</x:f>
        <x:v>100</x:v>
      </x:c>
      <x:c r="O209" s="368" t="n">
        <x:f>N209/25</x:f>
        <x:v>4</x:v>
      </x:c>
      <x:c r="P209" s="366" t="str">
        <x:v>Repositorio con pruebas: Scripting con Bash y PowerShell.</x:v>
      </x:c>
      <x:c r="Q209" s="366" t="str">
        <x:v>S01; S09; S11; S14; S16; S18</x:v>
      </x:c>
      <x:c r="R209" s="366" t="str">
        <x:v>No iniciado</x:v>
      </x:c>
      <x:c r="S209" s="369" t="n">
        <x:v>0</x:v>
      </x:c>
      <x:c r="T209" s="370"/>
      <x:c r="U209" s="370"/>
      <x:c r="V209" s="366" t="str">
        <x:v>Conecta lógica matemática, máquinas computables, lenguajes, algoritmos y abstracción.</x:v>
      </x:c>
      <x:c r="W209" s="366" t="str">
        <x:v>Muy alta: fundamento durable</x:v>
      </x:c>
      <x:c r="X209" s="366" t="str">
        <x:v>Transversal permanente</x:v>
      </x:c>
      <x:c r="Y209" s="366" t="str">
        <x:v>Consolidada</x:v>
      </x:c>
      <x:c r="Z209" s="366" t="str">
        <x:v>24 meses</x:v>
      </x:c>
      <x:c r="AA209" s="366" t="str">
        <x:v>Lenguajes seguros, verificación, WebAssembly, cómputo heterogéneo y nuevas abstracciones para agentes.</x:v>
      </x:c>
    </x:row>
    <x:row r="210" ht="58" customHeight="1">
      <x:c r="A210" s="351" t="str">
        <x:v>CST-015</x:v>
      </x:c>
      <x:c r="B210" s="351" t="n">
        <x:v>3</x:v>
      </x:c>
      <x:c r="C210" s="351" t="str">
        <x:v>Sistemas e ingeniería</x:v>
      </x:c>
      <x:c r="D210" s="351" t="str">
        <x:v>Programación</x:v>
      </x:c>
      <x:c r="E210" s="351" t="str">
        <x:v>Programación y teoría CS</x:v>
      </x:c>
      <x:c r="F210" s="351" t="str">
        <x:v>Programación de bajo nivel y ensamblador</x:v>
      </x:c>
      <x:c r="G210" s="351" t="str">
        <x:v>Programación de bajo nivel y ensamblador. Diseño de algoritmos, depuración, pruebas, estilo, complejidad y pequeños proyectos.</x:v>
      </x:c>
      <x:c r="H210" s="351" t="str">
        <x:v>CST-014</x:v>
      </x:c>
      <x:c r="I210" s="351" t="str">
        <x:v>Núcleo esencial</x:v>
      </x:c>
      <x:c r="J210" s="351" t="n">
        <x:v>1</x:v>
      </x:c>
      <x:c r="K210" s="351" t="n">
        <x:v>36</x:v>
      </x:c>
      <x:c r="L210" s="351" t="n">
        <x:v>42</x:v>
      </x:c>
      <x:c r="M210" s="351" t="n">
        <x:v>22</x:v>
      </x:c>
      <x:c r="N210" s="352" t="n">
        <x:f>SUM(K210:M210)</x:f>
        <x:v>100</x:v>
      </x:c>
      <x:c r="O210" s="353" t="n">
        <x:f>N210/25</x:f>
        <x:v>4</x:v>
      </x:c>
      <x:c r="P210" s="351" t="str">
        <x:v>Repositorio con pruebas: Programación de bajo nivel y ensamblador.</x:v>
      </x:c>
      <x:c r="Q210" s="351" t="str">
        <x:v>S01; S09; S11; S14; S16; S18</x:v>
      </x:c>
      <x:c r="R210" s="351" t="str">
        <x:v>No iniciado</x:v>
      </x:c>
      <x:c r="S210" s="354" t="n">
        <x:v>0</x:v>
      </x:c>
      <x:c r="T210" s="355"/>
      <x:c r="U210" s="355"/>
      <x:c r="V210" s="351" t="str">
        <x:v>Conecta lógica matemática, máquinas computables, lenguajes, algoritmos y abstracción.</x:v>
      </x:c>
      <x:c r="W210" s="351" t="str">
        <x:v>Muy alta: fundamento durable</x:v>
      </x:c>
      <x:c r="X210" s="351" t="str">
        <x:v>Transversal permanente</x:v>
      </x:c>
      <x:c r="Y210" s="351" t="str">
        <x:v>Consolidada</x:v>
      </x:c>
      <x:c r="Z210" s="351" t="str">
        <x:v>24 meses</x:v>
      </x:c>
      <x:c r="AA210" s="351" t="str">
        <x:v>Lenguajes seguros, verificación, WebAssembly, cómputo heterogéneo y nuevas abstracciones para agentes.</x:v>
      </x:c>
    </x:row>
    <x:row r="211" ht="58" customHeight="1">
      <x:c r="A211" s="366" t="str">
        <x:v>CST-016</x:v>
      </x:c>
      <x:c r="B211" s="366" t="n">
        <x:v>3</x:v>
      </x:c>
      <x:c r="C211" s="366" t="str">
        <x:v>Sistemas e ingeniería</x:v>
      </x:c>
      <x:c r="D211" s="366" t="str">
        <x:v>Programación</x:v>
      </x:c>
      <x:c r="E211" s="366" t="str">
        <x:v>Programación y teoría CS</x:v>
      </x:c>
      <x:c r="F211" s="366" t="str">
        <x:v>C++ moderno</x:v>
      </x:c>
      <x:c r="G211" s="366" t="str">
        <x:v>C++ moderno. Diseño de algoritmos, depuración, pruebas, estilo, complejidad y pequeños proyectos.</x:v>
      </x:c>
      <x:c r="H211" s="366" t="str">
        <x:v>CST-015</x:v>
      </x:c>
      <x:c r="I211" s="366" t="str">
        <x:v>Núcleo esencial</x:v>
      </x:c>
      <x:c r="J211" s="366" t="n">
        <x:v>1</x:v>
      </x:c>
      <x:c r="K211" s="366" t="n">
        <x:v>36</x:v>
      </x:c>
      <x:c r="L211" s="366" t="n">
        <x:v>42</x:v>
      </x:c>
      <x:c r="M211" s="366" t="n">
        <x:v>22</x:v>
      </x:c>
      <x:c r="N211" s="367" t="n">
        <x:f>SUM(K211:M211)</x:f>
        <x:v>100</x:v>
      </x:c>
      <x:c r="O211" s="368" t="n">
        <x:f>N211/25</x:f>
        <x:v>4</x:v>
      </x:c>
      <x:c r="P211" s="366" t="str">
        <x:v>Repositorio con pruebas: C++ moderno.</x:v>
      </x:c>
      <x:c r="Q211" s="366" t="str">
        <x:v>S01; S09; S11; S14; S16; S18</x:v>
      </x:c>
      <x:c r="R211" s="366" t="str">
        <x:v>No iniciado</x:v>
      </x:c>
      <x:c r="S211" s="369" t="n">
        <x:v>0</x:v>
      </x:c>
      <x:c r="T211" s="370"/>
      <x:c r="U211" s="370"/>
      <x:c r="V211" s="366" t="str">
        <x:v>Conecta lógica matemática, máquinas computables, lenguajes, algoritmos y abstracción.</x:v>
      </x:c>
      <x:c r="W211" s="366" t="str">
        <x:v>Muy alta: fundamento durable</x:v>
      </x:c>
      <x:c r="X211" s="366" t="str">
        <x:v>Transversal permanente</x:v>
      </x:c>
      <x:c r="Y211" s="366" t="str">
        <x:v>Consolidada</x:v>
      </x:c>
      <x:c r="Z211" s="366" t="str">
        <x:v>24 meses</x:v>
      </x:c>
      <x:c r="AA211" s="366" t="str">
        <x:v>Lenguajes seguros, verificación, WebAssembly, cómputo heterogéneo y nuevas abstracciones para agentes.</x:v>
      </x:c>
    </x:row>
    <x:row r="212" ht="58" customHeight="1">
      <x:c r="A212" s="351" t="str">
        <x:v>CST-017</x:v>
      </x:c>
      <x:c r="B212" s="351" t="n">
        <x:v>3</x:v>
      </x:c>
      <x:c r="C212" s="351" t="str">
        <x:v>Sistemas e ingeniería</x:v>
      </x:c>
      <x:c r="D212" s="351" t="str">
        <x:v>Programación</x:v>
      </x:c>
      <x:c r="E212" s="351" t="str">
        <x:v>Programación y teoría CS</x:v>
      </x:c>
      <x:c r="F212" s="351" t="str">
        <x:v>Java y ecosistema JVM</x:v>
      </x:c>
      <x:c r="G212" s="351" t="str">
        <x:v>Java y ecosistema JVM. Diseño de algoritmos, depuración, pruebas, estilo, complejidad y pequeños proyectos.</x:v>
      </x:c>
      <x:c r="H212" s="351" t="str">
        <x:v>CST-016</x:v>
      </x:c>
      <x:c r="I212" s="351" t="str">
        <x:v>Núcleo esencial</x:v>
      </x:c>
      <x:c r="J212" s="351" t="n">
        <x:v>1</x:v>
      </x:c>
      <x:c r="K212" s="351" t="n">
        <x:v>36</x:v>
      </x:c>
      <x:c r="L212" s="351" t="n">
        <x:v>42</x:v>
      </x:c>
      <x:c r="M212" s="351" t="n">
        <x:v>22</x:v>
      </x:c>
      <x:c r="N212" s="352" t="n">
        <x:f>SUM(K212:M212)</x:f>
        <x:v>100</x:v>
      </x:c>
      <x:c r="O212" s="353" t="n">
        <x:f>N212/25</x:f>
        <x:v>4</x:v>
      </x:c>
      <x:c r="P212" s="351" t="str">
        <x:v>Repositorio con pruebas: Java y ecosistema JVM.</x:v>
      </x:c>
      <x:c r="Q212" s="351" t="str">
        <x:v>S01; S09; S11; S14; S16; S18</x:v>
      </x:c>
      <x:c r="R212" s="351" t="str">
        <x:v>No iniciado</x:v>
      </x:c>
      <x:c r="S212" s="354" t="n">
        <x:v>0</x:v>
      </x:c>
      <x:c r="T212" s="355"/>
      <x:c r="U212" s="355"/>
      <x:c r="V212" s="351" t="str">
        <x:v>Conecta lógica matemática, máquinas computables, lenguajes, algoritmos y abstracción.</x:v>
      </x:c>
      <x:c r="W212" s="351" t="str">
        <x:v>Muy alta: fundamento durable</x:v>
      </x:c>
      <x:c r="X212" s="351" t="str">
        <x:v>Transversal permanente</x:v>
      </x:c>
      <x:c r="Y212" s="351" t="str">
        <x:v>Consolidada</x:v>
      </x:c>
      <x:c r="Z212" s="351" t="str">
        <x:v>24 meses</x:v>
      </x:c>
      <x:c r="AA212" s="351" t="str">
        <x:v>Lenguajes seguros, verificación, WebAssembly, cómputo heterogéneo y nuevas abstracciones para agentes.</x:v>
      </x:c>
    </x:row>
    <x:row r="213" ht="58" customHeight="1">
      <x:c r="A213" s="366" t="str">
        <x:v>CST-018</x:v>
      </x:c>
      <x:c r="B213" s="366" t="n">
        <x:v>3</x:v>
      </x:c>
      <x:c r="C213" s="366" t="str">
        <x:v>Sistemas e ingeniería</x:v>
      </x:c>
      <x:c r="D213" s="366" t="str">
        <x:v>Programación</x:v>
      </x:c>
      <x:c r="E213" s="366" t="str">
        <x:v>Programación y teoría CS</x:v>
      </x:c>
      <x:c r="F213" s="366" t="str">
        <x:v>C# y plataforma .NET</x:v>
      </x:c>
      <x:c r="G213" s="366" t="str">
        <x:v>C# y plataforma .NET. Diseño de algoritmos, depuración, pruebas, estilo, complejidad y pequeños proyectos.</x:v>
      </x:c>
      <x:c r="H213" s="366" t="str">
        <x:v>CST-017</x:v>
      </x:c>
      <x:c r="I213" s="366" t="str">
        <x:v>Núcleo esencial</x:v>
      </x:c>
      <x:c r="J213" s="366" t="n">
        <x:v>1</x:v>
      </x:c>
      <x:c r="K213" s="366" t="n">
        <x:v>36</x:v>
      </x:c>
      <x:c r="L213" s="366" t="n">
        <x:v>42</x:v>
      </x:c>
      <x:c r="M213" s="366" t="n">
        <x:v>22</x:v>
      </x:c>
      <x:c r="N213" s="367" t="n">
        <x:f>SUM(K213:M213)</x:f>
        <x:v>100</x:v>
      </x:c>
      <x:c r="O213" s="368" t="n">
        <x:f>N213/25</x:f>
        <x:v>4</x:v>
      </x:c>
      <x:c r="P213" s="366" t="str">
        <x:v>Repositorio con pruebas: C# y plataforma .NET.</x:v>
      </x:c>
      <x:c r="Q213" s="366" t="str">
        <x:v>S01; S09; S11; S14; S16; S18</x:v>
      </x:c>
      <x:c r="R213" s="366" t="str">
        <x:v>No iniciado</x:v>
      </x:c>
      <x:c r="S213" s="369" t="n">
        <x:v>0</x:v>
      </x:c>
      <x:c r="T213" s="370"/>
      <x:c r="U213" s="370"/>
      <x:c r="V213" s="366" t="str">
        <x:v>Conecta lógica matemática, máquinas computables, lenguajes, algoritmos y abstracción.</x:v>
      </x:c>
      <x:c r="W213" s="366" t="str">
        <x:v>Muy alta: fundamento durable</x:v>
      </x:c>
      <x:c r="X213" s="366" t="str">
        <x:v>Transversal permanente</x:v>
      </x:c>
      <x:c r="Y213" s="366" t="str">
        <x:v>Consolidada</x:v>
      </x:c>
      <x:c r="Z213" s="366" t="str">
        <x:v>24 meses</x:v>
      </x:c>
      <x:c r="AA213" s="366" t="str">
        <x:v>Lenguajes seguros, verificación, WebAssembly, cómputo heterogéneo y nuevas abstracciones para agentes.</x:v>
      </x:c>
    </x:row>
    <x:row r="214" ht="58" customHeight="1">
      <x:c r="A214" s="351" t="str">
        <x:v>CST-028</x:v>
      </x:c>
      <x:c r="B214" s="351" t="n">
        <x:v>3</x:v>
      </x:c>
      <x:c r="C214" s="351" t="str">
        <x:v>Sistemas e ingeniería</x:v>
      </x:c>
      <x:c r="D214" s="351" t="str">
        <x:v>Teoría de la computación</x:v>
      </x:c>
      <x:c r="E214" s="351" t="str">
        <x:v>Programación y teoría CS</x:v>
      </x:c>
      <x:c r="F214" s="351" t="str">
        <x:v>Compiladores I</x:v>
      </x:c>
      <x:c r="G214" s="351" t="str">
        <x:v>Compiladores I. Modelos formales, límites de cómputo, semántica, construcción y verificación.</x:v>
      </x:c>
      <x:c r="H214" s="351" t="str">
        <x:v>CST-027</x:v>
      </x:c>
      <x:c r="I214" s="351" t="str">
        <x:v>Núcleo esencial</x:v>
      </x:c>
      <x:c r="J214" s="351" t="n">
        <x:v>1</x:v>
      </x:c>
      <x:c r="K214" s="351" t="n">
        <x:v>36</x:v>
      </x:c>
      <x:c r="L214" s="351" t="n">
        <x:v>42</x:v>
      </x:c>
      <x:c r="M214" s="351" t="n">
        <x:v>22</x:v>
      </x:c>
      <x:c r="N214" s="352" t="n">
        <x:f>SUM(K214:M214)</x:f>
        <x:v>100</x:v>
      </x:c>
      <x:c r="O214" s="353" t="n">
        <x:f>N214/25</x:f>
        <x:v>4</x:v>
      </x:c>
      <x:c r="P214" s="351" t="str">
        <x:v>Demostraciones y prototipo: Compiladores I.</x:v>
      </x:c>
      <x:c r="Q214" s="351" t="str">
        <x:v>S01; S09; S14; S16; S20</x:v>
      </x:c>
      <x:c r="R214" s="351" t="str">
        <x:v>No iniciado</x:v>
      </x:c>
      <x:c r="S214" s="354" t="n">
        <x:v>0</x:v>
      </x:c>
      <x:c r="T214" s="355"/>
      <x:c r="U214" s="355"/>
      <x:c r="V214" s="351" t="str">
        <x:v>Conecta lógica matemática, máquinas computables, lenguajes, algoritmos y abstracción.</x:v>
      </x:c>
      <x:c r="W214" s="351" t="str">
        <x:v>Muy alta: fundamento durable</x:v>
      </x:c>
      <x:c r="X214" s="351" t="str">
        <x:v>Transversal permanente</x:v>
      </x:c>
      <x:c r="Y214" s="351" t="str">
        <x:v>Consolidada</x:v>
      </x:c>
      <x:c r="Z214" s="351" t="str">
        <x:v>24 meses</x:v>
      </x:c>
      <x:c r="AA214" s="351" t="str">
        <x:v>Lenguajes seguros, verificación, WebAssembly, cómputo heterogéneo y nuevas abstracciones para agentes.</x:v>
      </x:c>
    </x:row>
    <x:row r="215" ht="58" customHeight="1">
      <x:c r="A215" s="366" t="str">
        <x:v>CST-029</x:v>
      </x:c>
      <x:c r="B215" s="366" t="n">
        <x:v>3</x:v>
      </x:c>
      <x:c r="C215" s="366" t="str">
        <x:v>Sistemas e ingeniería</x:v>
      </x:c>
      <x:c r="D215" s="366" t="str">
        <x:v>Teoría de la computación</x:v>
      </x:c>
      <x:c r="E215" s="366" t="str">
        <x:v>Programación y teoría CS</x:v>
      </x:c>
      <x:c r="F215" s="366" t="str">
        <x:v>Compiladores II y optimización</x:v>
      </x:c>
      <x:c r="G215" s="366" t="str">
        <x:v>Compiladores II y optimización. Modelos formales, límites de cómputo, semántica, construcción y verificación.</x:v>
      </x:c>
      <x:c r="H215" s="366" t="str">
        <x:v>CST-028</x:v>
      </x:c>
      <x:c r="I215" s="366" t="str">
        <x:v>Núcleo esencial</x:v>
      </x:c>
      <x:c r="J215" s="366" t="n">
        <x:v>1</x:v>
      </x:c>
      <x:c r="K215" s="366" t="n">
        <x:v>36</x:v>
      </x:c>
      <x:c r="L215" s="366" t="n">
        <x:v>42</x:v>
      </x:c>
      <x:c r="M215" s="366" t="n">
        <x:v>22</x:v>
      </x:c>
      <x:c r="N215" s="367" t="n">
        <x:f>SUM(K215:M215)</x:f>
        <x:v>100</x:v>
      </x:c>
      <x:c r="O215" s="368" t="n">
        <x:f>N215/25</x:f>
        <x:v>4</x:v>
      </x:c>
      <x:c r="P215" s="366" t="str">
        <x:v>Demostraciones y prototipo: Compiladores II y optimización.</x:v>
      </x:c>
      <x:c r="Q215" s="366" t="str">
        <x:v>S01; S09; S14; S16; S20</x:v>
      </x:c>
      <x:c r="R215" s="366" t="str">
        <x:v>No iniciado</x:v>
      </x:c>
      <x:c r="S215" s="369" t="n">
        <x:v>0</x:v>
      </x:c>
      <x:c r="T215" s="370"/>
      <x:c r="U215" s="370"/>
      <x:c r="V215" s="366" t="str">
        <x:v>Conecta lógica matemática, máquinas computables, lenguajes, algoritmos y abstracción.</x:v>
      </x:c>
      <x:c r="W215" s="366" t="str">
        <x:v>Muy alta: fundamento durable</x:v>
      </x:c>
      <x:c r="X215" s="366" t="str">
        <x:v>Transversal permanente</x:v>
      </x:c>
      <x:c r="Y215" s="366" t="str">
        <x:v>Consolidada</x:v>
      </x:c>
      <x:c r="Z215" s="366" t="str">
        <x:v>24 meses</x:v>
      </x:c>
      <x:c r="AA215" s="366" t="str">
        <x:v>Lenguajes seguros, verificación, WebAssembly, cómputo heterogéneo y nuevas abstracciones para agentes.</x:v>
      </x:c>
    </x:row>
    <x:row r="216" ht="58" customHeight="1">
      <x:c r="A216" s="351" t="str">
        <x:v>CST-030</x:v>
      </x:c>
      <x:c r="B216" s="351" t="n">
        <x:v>3</x:v>
      </x:c>
      <x:c r="C216" s="351" t="str">
        <x:v>Sistemas e ingeniería</x:v>
      </x:c>
      <x:c r="D216" s="351" t="str">
        <x:v>Teoría de la computación</x:v>
      </x:c>
      <x:c r="E216" s="351" t="str">
        <x:v>Programación y teoría CS</x:v>
      </x:c>
      <x:c r="F216" s="351" t="str">
        <x:v>Métodos formales</x:v>
      </x:c>
      <x:c r="G216" s="351" t="str">
        <x:v>Métodos formales. Modelos formales, límites de cómputo, semántica, construcción y verificación.</x:v>
      </x:c>
      <x:c r="H216" s="351" t="str">
        <x:v>CST-029</x:v>
      </x:c>
      <x:c r="I216" s="351" t="str">
        <x:v>Núcleo esencial</x:v>
      </x:c>
      <x:c r="J216" s="351" t="n">
        <x:v>1</x:v>
      </x:c>
      <x:c r="K216" s="351" t="n">
        <x:v>36</x:v>
      </x:c>
      <x:c r="L216" s="351" t="n">
        <x:v>42</x:v>
      </x:c>
      <x:c r="M216" s="351" t="n">
        <x:v>22</x:v>
      </x:c>
      <x:c r="N216" s="352" t="n">
        <x:f>SUM(K216:M216)</x:f>
        <x:v>100</x:v>
      </x:c>
      <x:c r="O216" s="353" t="n">
        <x:f>N216/25</x:f>
        <x:v>4</x:v>
      </x:c>
      <x:c r="P216" s="351" t="str">
        <x:v>Demostraciones y prototipo: Métodos formales.</x:v>
      </x:c>
      <x:c r="Q216" s="351" t="str">
        <x:v>S01; S09; S14; S16; S20</x:v>
      </x:c>
      <x:c r="R216" s="351" t="str">
        <x:v>No iniciado</x:v>
      </x:c>
      <x:c r="S216" s="354" t="n">
        <x:v>0</x:v>
      </x:c>
      <x:c r="T216" s="355"/>
      <x:c r="U216" s="355"/>
      <x:c r="V216" s="351" t="str">
        <x:v>Conecta lógica matemática, máquinas computables, lenguajes, algoritmos y abstracción.</x:v>
      </x:c>
      <x:c r="W216" s="351" t="str">
        <x:v>Muy alta: fundamento durable</x:v>
      </x:c>
      <x:c r="X216" s="351" t="str">
        <x:v>Transversal permanente</x:v>
      </x:c>
      <x:c r="Y216" s="351" t="str">
        <x:v>Consolidada</x:v>
      </x:c>
      <x:c r="Z216" s="351" t="str">
        <x:v>24 meses</x:v>
      </x:c>
      <x:c r="AA216" s="351" t="str">
        <x:v>Lenguajes seguros, verificación, WebAssembly, cómputo heterogéneo y nuevas abstracciones para agentes.</x:v>
      </x:c>
    </x:row>
    <x:row r="217" ht="58" customHeight="1">
      <x:c r="A217" s="366" t="str">
        <x:v>CST-031</x:v>
      </x:c>
      <x:c r="B217" s="366" t="n">
        <x:v>3</x:v>
      </x:c>
      <x:c r="C217" s="366" t="str">
        <x:v>Sistemas e ingeniería</x:v>
      </x:c>
      <x:c r="D217" s="366" t="str">
        <x:v>Teoría de la computación</x:v>
      </x:c>
      <x:c r="E217" s="366" t="str">
        <x:v>Programación y teoría CS</x:v>
      </x:c>
      <x:c r="F217" s="366" t="str">
        <x:v>Verificación y model checking</x:v>
      </x:c>
      <x:c r="G217" s="366" t="str">
        <x:v>Verificación y model checking. Modelos formales, límites de cómputo, semántica, construcción y verificación.</x:v>
      </x:c>
      <x:c r="H217" s="366" t="str">
        <x:v>CST-030</x:v>
      </x:c>
      <x:c r="I217" s="366" t="str">
        <x:v>Núcleo esencial</x:v>
      </x:c>
      <x:c r="J217" s="366" t="n">
        <x:v>1</x:v>
      </x:c>
      <x:c r="K217" s="366" t="n">
        <x:v>36</x:v>
      </x:c>
      <x:c r="L217" s="366" t="n">
        <x:v>42</x:v>
      </x:c>
      <x:c r="M217" s="366" t="n">
        <x:v>22</x:v>
      </x:c>
      <x:c r="N217" s="367" t="n">
        <x:f>SUM(K217:M217)</x:f>
        <x:v>100</x:v>
      </x:c>
      <x:c r="O217" s="368" t="n">
        <x:f>N217/25</x:f>
        <x:v>4</x:v>
      </x:c>
      <x:c r="P217" s="366" t="str">
        <x:v>Demostraciones y prototipo: Verificación y model checking.</x:v>
      </x:c>
      <x:c r="Q217" s="366" t="str">
        <x:v>S01; S09; S14; S16; S20</x:v>
      </x:c>
      <x:c r="R217" s="366" t="str">
        <x:v>No iniciado</x:v>
      </x:c>
      <x:c r="S217" s="369" t="n">
        <x:v>0</x:v>
      </x:c>
      <x:c r="T217" s="370"/>
      <x:c r="U217" s="370"/>
      <x:c r="V217" s="366" t="str">
        <x:v>Conecta lógica matemática, máquinas computables, lenguajes, algoritmos y abstracción.</x:v>
      </x:c>
      <x:c r="W217" s="366" t="str">
        <x:v>Muy alta: fundamento durable</x:v>
      </x:c>
      <x:c r="X217" s="366" t="str">
        <x:v>Transversal permanente</x:v>
      </x:c>
      <x:c r="Y217" s="366" t="str">
        <x:v>Consolidada</x:v>
      </x:c>
      <x:c r="Z217" s="366" t="str">
        <x:v>24 meses</x:v>
      </x:c>
      <x:c r="AA217" s="366" t="str">
        <x:v>Lenguajes seguros, verificación, WebAssembly, cómputo heterogéneo y nuevas abstracciones para agentes.</x:v>
      </x:c>
    </x:row>
    <x:row r="218" ht="58" customHeight="1">
      <x:c r="A218" s="351" t="str">
        <x:v>CST-032</x:v>
      </x:c>
      <x:c r="B218" s="351" t="n">
        <x:v>3</x:v>
      </x:c>
      <x:c r="C218" s="351" t="str">
        <x:v>Sistemas e ingeniería</x:v>
      </x:c>
      <x:c r="D218" s="351" t="str">
        <x:v>Teoría de la computación</x:v>
      </x:c>
      <x:c r="E218" s="351" t="str">
        <x:v>Programación y teoría CS</x:v>
      </x:c>
      <x:c r="F218" s="351" t="str">
        <x:v>Algoritmos aleatorizados y aproximación</x:v>
      </x:c>
      <x:c r="G218" s="351" t="str">
        <x:v>Algoritmos aleatorizados y aproximación. Modelos formales, límites de cómputo, semántica, construcción y verificación.</x:v>
      </x:c>
      <x:c r="H218" s="351" t="str">
        <x:v>CST-031</x:v>
      </x:c>
      <x:c r="I218" s="351" t="str">
        <x:v>Núcleo esencial</x:v>
      </x:c>
      <x:c r="J218" s="351" t="n">
        <x:v>1</x:v>
      </x:c>
      <x:c r="K218" s="351" t="n">
        <x:v>36</x:v>
      </x:c>
      <x:c r="L218" s="351" t="n">
        <x:v>42</x:v>
      </x:c>
      <x:c r="M218" s="351" t="n">
        <x:v>22</x:v>
      </x:c>
      <x:c r="N218" s="352" t="n">
        <x:f>SUM(K218:M218)</x:f>
        <x:v>100</x:v>
      </x:c>
      <x:c r="O218" s="353" t="n">
        <x:f>N218/25</x:f>
        <x:v>4</x:v>
      </x:c>
      <x:c r="P218" s="351" t="str">
        <x:v>Demostraciones y prototipo: Algoritmos aleatorizados y aproximación.</x:v>
      </x:c>
      <x:c r="Q218" s="351" t="str">
        <x:v>S01; S09; S14; S16; S20</x:v>
      </x:c>
      <x:c r="R218" s="351" t="str">
        <x:v>No iniciado</x:v>
      </x:c>
      <x:c r="S218" s="354" t="n">
        <x:v>0</x:v>
      </x:c>
      <x:c r="T218" s="355"/>
      <x:c r="U218" s="355"/>
      <x:c r="V218" s="351" t="str">
        <x:v>Conecta lógica matemática, máquinas computables, lenguajes, algoritmos y abstracción.</x:v>
      </x:c>
      <x:c r="W218" s="351" t="str">
        <x:v>Muy alta: fundamento durable</x:v>
      </x:c>
      <x:c r="X218" s="351" t="str">
        <x:v>Transversal permanente</x:v>
      </x:c>
      <x:c r="Y218" s="351" t="str">
        <x:v>Consolidada</x:v>
      </x:c>
      <x:c r="Z218" s="351" t="str">
        <x:v>24 meses</x:v>
      </x:c>
      <x:c r="AA218" s="351" t="str">
        <x:v>Lenguajes seguros, verificación, WebAssembly, cómputo heterogéneo y nuevas abstracciones para agentes.</x:v>
      </x:c>
    </x:row>
    <x:row r="219" ht="58" customHeight="1">
      <x:c r="A219" s="366" t="str">
        <x:v>NET-007</x:v>
      </x:c>
      <x:c r="B219" s="366" t="n">
        <x:v>3</x:v>
      </x:c>
      <x:c r="C219" s="366" t="str">
        <x:v>Sistemas e ingeniería</x:v>
      </x:c>
      <x:c r="D219" s="366" t="str">
        <x:v>Redes y telecomunicaciones</x:v>
      </x:c>
      <x:c r="E219" s="366" t="str">
        <x:v>Redes, telecom y cloud</x:v>
      </x:c>
      <x:c r="F219" s="366" t="str">
        <x:v>Diseño de redes empresariales</x:v>
      </x:c>
      <x:c r="G219" s="366" t="str">
        <x:v>Diseño de redes empresariales. Diseño, configuración, medición, automatización, disponibilidad y seguridad.</x:v>
      </x:c>
      <x:c r="H219" s="366" t="str">
        <x:v>NET-006</x:v>
      </x:c>
      <x:c r="I219" s="366" t="str">
        <x:v>Núcleo esencial</x:v>
      </x:c>
      <x:c r="J219" s="366" t="n">
        <x:v>1</x:v>
      </x:c>
      <x:c r="K219" s="366" t="n">
        <x:v>36</x:v>
      </x:c>
      <x:c r="L219" s="366" t="n">
        <x:v>42</x:v>
      </x:c>
      <x:c r="M219" s="366" t="n">
        <x:v>22</x:v>
      </x:c>
      <x:c r="N219" s="367" t="n">
        <x:f>SUM(K219:M219)</x:f>
        <x:v>100</x:v>
      </x:c>
      <x:c r="O219" s="368" t="n">
        <x:f>N219/25</x:f>
        <x:v>4</x:v>
      </x:c>
      <x:c r="P219" s="366" t="str">
        <x:v>Topología documentada y probada: Diseño de redes empresariales.</x:v>
      </x:c>
      <x:c r="Q219" s="366" t="str">
        <x:v>S03; S04; S17; S18; S27</x:v>
      </x:c>
      <x:c r="R219" s="366" t="str">
        <x:v>No iniciado</x:v>
      </x:c>
      <x:c r="S219" s="369" t="n">
        <x:v>0</x:v>
      </x:c>
      <x:c r="T219" s="370"/>
      <x:c r="U219" s="370"/>
      <x:c r="V219" s="366" t="str">
        <x:v>Integra telegrafía, telefonía, conmutación de paquetes, Internet, virtualización y nube.</x:v>
      </x:c>
      <x:c r="W219" s="366" t="str">
        <x:v>Muy alta: fundamento durable</x:v>
      </x:c>
      <x:c r="X219" s="366" t="str">
        <x:v>Transversal permanente</x:v>
      </x:c>
      <x:c r="Y219" s="366" t="str">
        <x:v>Consolidada</x:v>
      </x:c>
      <x:c r="Z219" s="366" t="str">
        <x:v>24 meses</x:v>
      </x:c>
      <x:c r="AA219" s="366" t="str">
        <x:v>5G-Advanced, IMT-2030/6G, edge, redes no terrestres, nube soberana y operación autónoma.</x:v>
      </x:c>
    </x:row>
    <x:row r="220" ht="58" customHeight="1">
      <x:c r="A220" s="351" t="str">
        <x:v>NET-008</x:v>
      </x:c>
      <x:c r="B220" s="351" t="n">
        <x:v>3</x:v>
      </x:c>
      <x:c r="C220" s="351" t="str">
        <x:v>Sistemas e ingeniería</x:v>
      </x:c>
      <x:c r="D220" s="351" t="str">
        <x:v>Redes y telecomunicaciones</x:v>
      </x:c>
      <x:c r="E220" s="351" t="str">
        <x:v>Redes, telecom y cloud</x:v>
      </x:c>
      <x:c r="F220" s="351" t="str">
        <x:v>WAN, SD-WAN y VPN</x:v>
      </x:c>
      <x:c r="G220" s="351" t="str">
        <x:v>WAN, SD-WAN y VPN. Diseño, configuración, medición, automatización, disponibilidad y seguridad.</x:v>
      </x:c>
      <x:c r="H220" s="351" t="str">
        <x:v>NET-007</x:v>
      </x:c>
      <x:c r="I220" s="351" t="str">
        <x:v>Núcleo esencial</x:v>
      </x:c>
      <x:c r="J220" s="351" t="n">
        <x:v>1</x:v>
      </x:c>
      <x:c r="K220" s="351" t="n">
        <x:v>36</x:v>
      </x:c>
      <x:c r="L220" s="351" t="n">
        <x:v>42</x:v>
      </x:c>
      <x:c r="M220" s="351" t="n">
        <x:v>22</x:v>
      </x:c>
      <x:c r="N220" s="352" t="n">
        <x:f>SUM(K220:M220)</x:f>
        <x:v>100</x:v>
      </x:c>
      <x:c r="O220" s="353" t="n">
        <x:f>N220/25</x:f>
        <x:v>4</x:v>
      </x:c>
      <x:c r="P220" s="351" t="str">
        <x:v>Topología documentada y probada: WAN, SD-WAN y VPN.</x:v>
      </x:c>
      <x:c r="Q220" s="351" t="str">
        <x:v>S03; S04; S17; S18; S27</x:v>
      </x:c>
      <x:c r="R220" s="351" t="str">
        <x:v>No iniciado</x:v>
      </x:c>
      <x:c r="S220" s="354" t="n">
        <x:v>0</x:v>
      </x:c>
      <x:c r="T220" s="355"/>
      <x:c r="U220" s="355"/>
      <x:c r="V220" s="351" t="str">
        <x:v>Integra telegrafía, telefonía, conmutación de paquetes, Internet, virtualización y nube.</x:v>
      </x:c>
      <x:c r="W220" s="351" t="str">
        <x:v>Muy alta: fundamento durable</x:v>
      </x:c>
      <x:c r="X220" s="351" t="str">
        <x:v>Transversal permanente</x:v>
      </x:c>
      <x:c r="Y220" s="351" t="str">
        <x:v>Consolidada</x:v>
      </x:c>
      <x:c r="Z220" s="351" t="str">
        <x:v>24 meses</x:v>
      </x:c>
      <x:c r="AA220" s="351" t="str">
        <x:v>5G-Advanced, IMT-2030/6G, edge, redes no terrestres, nube soberana y operación autónoma.</x:v>
      </x:c>
    </x:row>
    <x:row r="221" ht="58" customHeight="1">
      <x:c r="A221" s="366" t="str">
        <x:v>NET-009</x:v>
      </x:c>
      <x:c r="B221" s="366" t="n">
        <x:v>3</x:v>
      </x:c>
      <x:c r="C221" s="366" t="str">
        <x:v>Sistemas e ingeniería</x:v>
      </x:c>
      <x:c r="D221" s="366" t="str">
        <x:v>Redes y telecomunicaciones</x:v>
      </x:c>
      <x:c r="E221" s="366" t="str">
        <x:v>Redes, telecom y cloud</x:v>
      </x:c>
      <x:c r="F221" s="366" t="str">
        <x:v>Monitoreo y troubleshooting de redes</x:v>
      </x:c>
      <x:c r="G221" s="366" t="str">
        <x:v>Monitoreo y troubleshooting de redes. Diseño, configuración, medición, automatización, disponibilidad y seguridad.</x:v>
      </x:c>
      <x:c r="H221" s="366" t="str">
        <x:v>NET-008</x:v>
      </x:c>
      <x:c r="I221" s="366" t="str">
        <x:v>Núcleo esencial</x:v>
      </x:c>
      <x:c r="J221" s="366" t="n">
        <x:v>1</x:v>
      </x:c>
      <x:c r="K221" s="366" t="n">
        <x:v>36</x:v>
      </x:c>
      <x:c r="L221" s="366" t="n">
        <x:v>42</x:v>
      </x:c>
      <x:c r="M221" s="366" t="n">
        <x:v>22</x:v>
      </x:c>
      <x:c r="N221" s="367" t="n">
        <x:f>SUM(K221:M221)</x:f>
        <x:v>100</x:v>
      </x:c>
      <x:c r="O221" s="368" t="n">
        <x:f>N221/25</x:f>
        <x:v>4</x:v>
      </x:c>
      <x:c r="P221" s="366" t="str">
        <x:v>Topología documentada y probada: Monitoreo y troubleshooting de redes.</x:v>
      </x:c>
      <x:c r="Q221" s="366" t="str">
        <x:v>S03; S04; S17; S18; S27</x:v>
      </x:c>
      <x:c r="R221" s="366" t="str">
        <x:v>No iniciado</x:v>
      </x:c>
      <x:c r="S221" s="369" t="n">
        <x:v>0</x:v>
      </x:c>
      <x:c r="T221" s="370"/>
      <x:c r="U221" s="370"/>
      <x:c r="V221" s="366" t="str">
        <x:v>Integra telegrafía, telefonía, conmutación de paquetes, Internet, virtualización y nube.</x:v>
      </x:c>
      <x:c r="W221" s="366" t="str">
        <x:v>Muy alta: fundamento durable</x:v>
      </x:c>
      <x:c r="X221" s="366" t="str">
        <x:v>Transversal permanente</x:v>
      </x:c>
      <x:c r="Y221" s="366" t="str">
        <x:v>Consolidada</x:v>
      </x:c>
      <x:c r="Z221" s="366" t="str">
        <x:v>24 meses</x:v>
      </x:c>
      <x:c r="AA221" s="366" t="str">
        <x:v>5G-Advanced, IMT-2030/6G, edge, redes no terrestres, nube soberana y operación autónoma.</x:v>
      </x:c>
    </x:row>
    <x:row r="222" ht="58" customHeight="1">
      <x:c r="A222" s="351" t="str">
        <x:v>NET-010</x:v>
      </x:c>
      <x:c r="B222" s="351" t="n">
        <x:v>3</x:v>
      </x:c>
      <x:c r="C222" s="351" t="str">
        <x:v>Sistemas e ingeniería</x:v>
      </x:c>
      <x:c r="D222" s="351" t="str">
        <x:v>Redes y telecomunicaciones</x:v>
      </x:c>
      <x:c r="E222" s="351" t="str">
        <x:v>Redes, telecom y cloud</x:v>
      </x:c>
      <x:c r="F222" s="351" t="str">
        <x:v>Automatización y programabilidad de redes</x:v>
      </x:c>
      <x:c r="G222" s="351" t="str">
        <x:v>Automatización y programabilidad de redes. Diseño, configuración, medición, automatización, disponibilidad y seguridad.</x:v>
      </x:c>
      <x:c r="H222" s="351" t="str">
        <x:v>NET-009</x:v>
      </x:c>
      <x:c r="I222" s="351" t="str">
        <x:v>Núcleo esencial</x:v>
      </x:c>
      <x:c r="J222" s="351" t="n">
        <x:v>1</x:v>
      </x:c>
      <x:c r="K222" s="351" t="n">
        <x:v>36</x:v>
      </x:c>
      <x:c r="L222" s="351" t="n">
        <x:v>42</x:v>
      </x:c>
      <x:c r="M222" s="351" t="n">
        <x:v>22</x:v>
      </x:c>
      <x:c r="N222" s="352" t="n">
        <x:f>SUM(K222:M222)</x:f>
        <x:v>100</x:v>
      </x:c>
      <x:c r="O222" s="353" t="n">
        <x:f>N222/25</x:f>
        <x:v>4</x:v>
      </x:c>
      <x:c r="P222" s="351" t="str">
        <x:v>Topología documentada y probada: Automatización y programabilidad de redes.</x:v>
      </x:c>
      <x:c r="Q222" s="351" t="str">
        <x:v>S03; S04; S17; S18; S27</x:v>
      </x:c>
      <x:c r="R222" s="351" t="str">
        <x:v>No iniciado</x:v>
      </x:c>
      <x:c r="S222" s="354" t="n">
        <x:v>0</x:v>
      </x:c>
      <x:c r="T222" s="355"/>
      <x:c r="U222" s="355"/>
      <x:c r="V222" s="351" t="str">
        <x:v>Integra telegrafía, telefonía, conmutación de paquetes, Internet, virtualización y nube.</x:v>
      </x:c>
      <x:c r="W222" s="351" t="str">
        <x:v>Muy alta: fundamento durable</x:v>
      </x:c>
      <x:c r="X222" s="351" t="str">
        <x:v>Transversal permanente</x:v>
      </x:c>
      <x:c r="Y222" s="351" t="str">
        <x:v>Consolidada</x:v>
      </x:c>
      <x:c r="Z222" s="351" t="str">
        <x:v>24 meses</x:v>
      </x:c>
      <x:c r="AA222" s="351" t="str">
        <x:v>5G-Advanced, IMT-2030/6G, edge, redes no terrestres, nube soberana y operación autónoma.</x:v>
      </x:c>
    </x:row>
    <x:row r="223" ht="58" customHeight="1">
      <x:c r="A223" s="366" t="str">
        <x:v>NET-011</x:v>
      </x:c>
      <x:c r="B223" s="366" t="n">
        <x:v>3</x:v>
      </x:c>
      <x:c r="C223" s="366" t="str">
        <x:v>Sistemas e ingeniería</x:v>
      </x:c>
      <x:c r="D223" s="366" t="str">
        <x:v>Redes y telecomunicaciones</x:v>
      </x:c>
      <x:c r="E223" s="366" t="str">
        <x:v>Redes, telecom y cloud</x:v>
      </x:c>
      <x:c r="F223" s="366" t="str">
        <x:v>Redes definidas por software</x:v>
      </x:c>
      <x:c r="G223" s="366" t="str">
        <x:v>Redes definidas por software. Diseño, configuración, medición, automatización, disponibilidad y seguridad.</x:v>
      </x:c>
      <x:c r="H223" s="366" t="str">
        <x:v>NET-010</x:v>
      </x:c>
      <x:c r="I223" s="366" t="str">
        <x:v>Núcleo esencial</x:v>
      </x:c>
      <x:c r="J223" s="366" t="n">
        <x:v>1</x:v>
      </x:c>
      <x:c r="K223" s="366" t="n">
        <x:v>36</x:v>
      </x:c>
      <x:c r="L223" s="366" t="n">
        <x:v>42</x:v>
      </x:c>
      <x:c r="M223" s="366" t="n">
        <x:v>22</x:v>
      </x:c>
      <x:c r="N223" s="367" t="n">
        <x:f>SUM(K223:M223)</x:f>
        <x:v>100</x:v>
      </x:c>
      <x:c r="O223" s="368" t="n">
        <x:f>N223/25</x:f>
        <x:v>4</x:v>
      </x:c>
      <x:c r="P223" s="366" t="str">
        <x:v>Topología documentada y probada: Redes definidas por software.</x:v>
      </x:c>
      <x:c r="Q223" s="366" t="str">
        <x:v>S03; S04; S17; S18; S27</x:v>
      </x:c>
      <x:c r="R223" s="366" t="str">
        <x:v>No iniciado</x:v>
      </x:c>
      <x:c r="S223" s="369" t="n">
        <x:v>0</x:v>
      </x:c>
      <x:c r="T223" s="370"/>
      <x:c r="U223" s="370"/>
      <x:c r="V223" s="366" t="str">
        <x:v>Integra telegrafía, telefonía, conmutación de paquetes, Internet, virtualización y nube.</x:v>
      </x:c>
      <x:c r="W223" s="366" t="str">
        <x:v>Muy alta: fundamento durable</x:v>
      </x:c>
      <x:c r="X223" s="366" t="str">
        <x:v>Transversal permanente</x:v>
      </x:c>
      <x:c r="Y223" s="366" t="str">
        <x:v>Consolidada</x:v>
      </x:c>
      <x:c r="Z223" s="366" t="str">
        <x:v>24 meses</x:v>
      </x:c>
      <x:c r="AA223" s="366" t="str">
        <x:v>5G-Advanced, IMT-2030/6G, edge, redes no terrestres, nube soberana y operación autónoma.</x:v>
      </x:c>
    </x:row>
    <x:row r="224" ht="58" customHeight="1">
      <x:c r="A224" s="351" t="str">
        <x:v>NET-012</x:v>
      </x:c>
      <x:c r="B224" s="351" t="n">
        <x:v>3</x:v>
      </x:c>
      <x:c r="C224" s="351" t="str">
        <x:v>Sistemas e ingeniería</x:v>
      </x:c>
      <x:c r="D224" s="351" t="str">
        <x:v>Redes y telecomunicaciones</x:v>
      </x:c>
      <x:c r="E224" s="351" t="str">
        <x:v>Redes, telecom y cloud</x:v>
      </x:c>
      <x:c r="F224" s="351" t="str">
        <x:v>Teoría de comunicaciones</x:v>
      </x:c>
      <x:c r="G224" s="351" t="str">
        <x:v>Teoría de comunicaciones. Diseño, configuración, medición, automatización, disponibilidad y seguridad.</x:v>
      </x:c>
      <x:c r="H224" s="351" t="str">
        <x:v>NET-011</x:v>
      </x:c>
      <x:c r="I224" s="351" t="str">
        <x:v>Núcleo esencial</x:v>
      </x:c>
      <x:c r="J224" s="351" t="n">
        <x:v>1</x:v>
      </x:c>
      <x:c r="K224" s="351" t="n">
        <x:v>36</x:v>
      </x:c>
      <x:c r="L224" s="351" t="n">
        <x:v>42</x:v>
      </x:c>
      <x:c r="M224" s="351" t="n">
        <x:v>22</x:v>
      </x:c>
      <x:c r="N224" s="352" t="n">
        <x:f>SUM(K224:M224)</x:f>
        <x:v>100</x:v>
      </x:c>
      <x:c r="O224" s="353" t="n">
        <x:f>N224/25</x:f>
        <x:v>4</x:v>
      </x:c>
      <x:c r="P224" s="351" t="str">
        <x:v>Topología documentada y probada: Teoría de comunicaciones.</x:v>
      </x:c>
      <x:c r="Q224" s="351" t="str">
        <x:v>S03; S04; S17; S18; S27</x:v>
      </x:c>
      <x:c r="R224" s="351" t="str">
        <x:v>No iniciado</x:v>
      </x:c>
      <x:c r="S224" s="354" t="n">
        <x:v>0</x:v>
      </x:c>
      <x:c r="T224" s="355"/>
      <x:c r="U224" s="355"/>
      <x:c r="V224" s="351" t="str">
        <x:v>Integra telegrafía, telefonía, conmutación de paquetes, Internet, virtualización y nube.</x:v>
      </x:c>
      <x:c r="W224" s="351" t="str">
        <x:v>Muy alta: fundamento durable</x:v>
      </x:c>
      <x:c r="X224" s="351" t="str">
        <x:v>Transversal permanente</x:v>
      </x:c>
      <x:c r="Y224" s="351" t="str">
        <x:v>Consolidada</x:v>
      </x:c>
      <x:c r="Z224" s="351" t="str">
        <x:v>24 meses</x:v>
      </x:c>
      <x:c r="AA224" s="351" t="str">
        <x:v>5G-Advanced, IMT-2030/6G, edge, redes no terrestres, nube soberana y operación autónoma.</x:v>
      </x:c>
    </x:row>
    <x:row r="225" ht="58" customHeight="1">
      <x:c r="A225" s="366" t="str">
        <x:v>NET-020</x:v>
      </x:c>
      <x:c r="B225" s="366" t="n">
        <x:v>3</x:v>
      </x:c>
      <x:c r="C225" s="366" t="str">
        <x:v>Sistemas e ingeniería</x:v>
      </x:c>
      <x:c r="D225" s="366" t="str">
        <x:v>Administración de sistemas y nube</x:v>
      </x:c>
      <x:c r="E225" s="366" t="str">
        <x:v>Redes, telecom y cloud</x:v>
      </x:c>
      <x:c r="F225" s="366" t="str">
        <x:v>Administración Linux I</x:v>
      </x:c>
      <x:c r="G225" s="366" t="str">
        <x:v>Administración Linux I. Implementación, automatización, identidad, monitoreo, continuidad y optimización de costos.</x:v>
      </x:c>
      <x:c r="H225" s="366" t="str">
        <x:v>SYS-004</x:v>
      </x:c>
      <x:c r="I225" s="366" t="str">
        <x:v>Dominio profesional</x:v>
      </x:c>
      <x:c r="J225" s="366" t="n">
        <x:v>2</x:v>
      </x:c>
      <x:c r="K225" s="366" t="n">
        <x:v>20</x:v>
      </x:c>
      <x:c r="L225" s="366" t="n">
        <x:v>52</x:v>
      </x:c>
      <x:c r="M225" s="366" t="n">
        <x:v>20</x:v>
      </x:c>
      <x:c r="N225" s="367" t="n">
        <x:f>SUM(K225:M225)</x:f>
        <x:v>92</x:v>
      </x:c>
      <x:c r="O225" s="368" t="n">
        <x:f>N225/25</x:f>
        <x:v>3.68</x:v>
      </x:c>
      <x:c r="P225" s="366" t="str">
        <x:v>Infraestructura como código: Administración Linux I.</x:v>
      </x:c>
      <x:c r="Q225" s="366" t="str">
        <x:v>S03; S28; S29; S30; S31</x:v>
      </x:c>
      <x:c r="R225" s="366" t="str">
        <x:v>No iniciado</x:v>
      </x:c>
      <x:c r="S225" s="369" t="n">
        <x:v>0</x:v>
      </x:c>
      <x:c r="T225" s="370"/>
      <x:c r="U225" s="370"/>
      <x:c r="V225" s="366" t="str">
        <x:v>Integra telegrafía, telefonía, conmutación de paquetes, Internet, virtualización y nube.</x:v>
      </x:c>
      <x:c r="W225" s="366" t="str">
        <x:v>Alta: práctica vigente</x:v>
      </x:c>
      <x:c r="X225" s="366" t="str">
        <x:v>Presente 2026 y corto (2027–2029)</x:v>
      </x:c>
      <x:c r="Y225" s="366" t="str">
        <x:v>Actual</x:v>
      </x:c>
      <x:c r="Z225" s="366" t="str">
        <x:v>12 meses</x:v>
      </x:c>
      <x:c r="AA225" s="366" t="str">
        <x:v>5G-Advanced, IMT-2030/6G, edge, redes no terrestres, nube soberana y operación autónoma.</x:v>
      </x:c>
    </x:row>
    <x:row r="226" ht="58" customHeight="1">
      <x:c r="A226" s="351" t="str">
        <x:v>NET-021</x:v>
      </x:c>
      <x:c r="B226" s="351" t="n">
        <x:v>3</x:v>
      </x:c>
      <x:c r="C226" s="351" t="str">
        <x:v>Sistemas e ingeniería</x:v>
      </x:c>
      <x:c r="D226" s="351" t="str">
        <x:v>Administración de sistemas y nube</x:v>
      </x:c>
      <x:c r="E226" s="351" t="str">
        <x:v>Redes, telecom y cloud</x:v>
      </x:c>
      <x:c r="F226" s="351" t="str">
        <x:v>Administración Linux II</x:v>
      </x:c>
      <x:c r="G226" s="351" t="str">
        <x:v>Administración Linux II. Implementación, automatización, identidad, monitoreo, continuidad y optimización de costos.</x:v>
      </x:c>
      <x:c r="H226" s="351" t="str">
        <x:v>NET-020</x:v>
      </x:c>
      <x:c r="I226" s="351" t="str">
        <x:v>Dominio profesional</x:v>
      </x:c>
      <x:c r="J226" s="351" t="n">
        <x:v>2</x:v>
      </x:c>
      <x:c r="K226" s="351" t="n">
        <x:v>20</x:v>
      </x:c>
      <x:c r="L226" s="351" t="n">
        <x:v>52</x:v>
      </x:c>
      <x:c r="M226" s="351" t="n">
        <x:v>20</x:v>
      </x:c>
      <x:c r="N226" s="352" t="n">
        <x:f>SUM(K226:M226)</x:f>
        <x:v>92</x:v>
      </x:c>
      <x:c r="O226" s="353" t="n">
        <x:f>N226/25</x:f>
        <x:v>3.68</x:v>
      </x:c>
      <x:c r="P226" s="351" t="str">
        <x:v>Infraestructura como código: Administración Linux II.</x:v>
      </x:c>
      <x:c r="Q226" s="351" t="str">
        <x:v>S03; S28; S29; S30; S31</x:v>
      </x:c>
      <x:c r="R226" s="351" t="str">
        <x:v>No iniciado</x:v>
      </x:c>
      <x:c r="S226" s="354" t="n">
        <x:v>0</x:v>
      </x:c>
      <x:c r="T226" s="355"/>
      <x:c r="U226" s="355"/>
      <x:c r="V226" s="351" t="str">
        <x:v>Integra telegrafía, telefonía, conmutación de paquetes, Internet, virtualización y nube.</x:v>
      </x:c>
      <x:c r="W226" s="351" t="str">
        <x:v>Alta: práctica vigente</x:v>
      </x:c>
      <x:c r="X226" s="351" t="str">
        <x:v>Presente 2026 y corto (2027–2029)</x:v>
      </x:c>
      <x:c r="Y226" s="351" t="str">
        <x:v>Actual</x:v>
      </x:c>
      <x:c r="Z226" s="351" t="str">
        <x:v>12 meses</x:v>
      </x:c>
      <x:c r="AA226" s="351" t="str">
        <x:v>5G-Advanced, IMT-2030/6G, edge, redes no terrestres, nube soberana y operación autónoma.</x:v>
      </x:c>
    </x:row>
    <x:row r="227" ht="58" customHeight="1">
      <x:c r="A227" s="366" t="str">
        <x:v>NET-022</x:v>
      </x:c>
      <x:c r="B227" s="366" t="n">
        <x:v>3</x:v>
      </x:c>
      <x:c r="C227" s="366" t="str">
        <x:v>Sistemas e ingeniería</x:v>
      </x:c>
      <x:c r="D227" s="366" t="str">
        <x:v>Administración de sistemas y nube</x:v>
      </x:c>
      <x:c r="E227" s="366" t="str">
        <x:v>Redes, telecom y cloud</x:v>
      </x:c>
      <x:c r="F227" s="366" t="str">
        <x:v>Administración Windows Server I</x:v>
      </x:c>
      <x:c r="G227" s="366" t="str">
        <x:v>Administración Windows Server I. Implementación, automatización, identidad, monitoreo, continuidad y optimización de costos.</x:v>
      </x:c>
      <x:c r="H227" s="366" t="str">
        <x:v>NET-021</x:v>
      </x:c>
      <x:c r="I227" s="366" t="str">
        <x:v>Dominio profesional</x:v>
      </x:c>
      <x:c r="J227" s="366" t="n">
        <x:v>2</x:v>
      </x:c>
      <x:c r="K227" s="366" t="n">
        <x:v>20</x:v>
      </x:c>
      <x:c r="L227" s="366" t="n">
        <x:v>52</x:v>
      </x:c>
      <x:c r="M227" s="366" t="n">
        <x:v>20</x:v>
      </x:c>
      <x:c r="N227" s="367" t="n">
        <x:f>SUM(K227:M227)</x:f>
        <x:v>92</x:v>
      </x:c>
      <x:c r="O227" s="368" t="n">
        <x:f>N227/25</x:f>
        <x:v>3.68</x:v>
      </x:c>
      <x:c r="P227" s="366" t="str">
        <x:v>Infraestructura como código: Administración Windows Server I.</x:v>
      </x:c>
      <x:c r="Q227" s="366" t="str">
        <x:v>S03; S28; S29; S30; S31</x:v>
      </x:c>
      <x:c r="R227" s="366" t="str">
        <x:v>No iniciado</x:v>
      </x:c>
      <x:c r="S227" s="369" t="n">
        <x:v>0</x:v>
      </x:c>
      <x:c r="T227" s="370"/>
      <x:c r="U227" s="370"/>
      <x:c r="V227" s="366" t="str">
        <x:v>Integra telegrafía, telefonía, conmutación de paquetes, Internet, virtualización y nube.</x:v>
      </x:c>
      <x:c r="W227" s="366" t="str">
        <x:v>Alta: práctica vigente</x:v>
      </x:c>
      <x:c r="X227" s="366" t="str">
        <x:v>Presente 2026 y corto (2027–2029)</x:v>
      </x:c>
      <x:c r="Y227" s="366" t="str">
        <x:v>Actual</x:v>
      </x:c>
      <x:c r="Z227" s="366" t="str">
        <x:v>12 meses</x:v>
      </x:c>
      <x:c r="AA227" s="366" t="str">
        <x:v>5G-Advanced, IMT-2030/6G, edge, redes no terrestres, nube soberana y operación autónoma.</x:v>
      </x:c>
    </x:row>
    <x:row r="228" ht="58" customHeight="1">
      <x:c r="A228" s="351" t="str">
        <x:v>NET-023</x:v>
      </x:c>
      <x:c r="B228" s="351" t="n">
        <x:v>3</x:v>
      </x:c>
      <x:c r="C228" s="351" t="str">
        <x:v>Sistemas e ingeniería</x:v>
      </x:c>
      <x:c r="D228" s="351" t="str">
        <x:v>Administración de sistemas y nube</x:v>
      </x:c>
      <x:c r="E228" s="351" t="str">
        <x:v>Redes, telecom y cloud</x:v>
      </x:c>
      <x:c r="F228" s="351" t="str">
        <x:v>Administración Windows Server II</x:v>
      </x:c>
      <x:c r="G228" s="351" t="str">
        <x:v>Administración Windows Server II. Implementación, automatización, identidad, monitoreo, continuidad y optimización de costos.</x:v>
      </x:c>
      <x:c r="H228" s="351" t="str">
        <x:v>NET-022</x:v>
      </x:c>
      <x:c r="I228" s="351" t="str">
        <x:v>Dominio profesional</x:v>
      </x:c>
      <x:c r="J228" s="351" t="n">
        <x:v>2</x:v>
      </x:c>
      <x:c r="K228" s="351" t="n">
        <x:v>20</x:v>
      </x:c>
      <x:c r="L228" s="351" t="n">
        <x:v>52</x:v>
      </x:c>
      <x:c r="M228" s="351" t="n">
        <x:v>20</x:v>
      </x:c>
      <x:c r="N228" s="352" t="n">
        <x:f>SUM(K228:M228)</x:f>
        <x:v>92</x:v>
      </x:c>
      <x:c r="O228" s="353" t="n">
        <x:f>N228/25</x:f>
        <x:v>3.68</x:v>
      </x:c>
      <x:c r="P228" s="351" t="str">
        <x:v>Infraestructura como código: Administración Windows Server II.</x:v>
      </x:c>
      <x:c r="Q228" s="351" t="str">
        <x:v>S03; S28; S29; S30; S31</x:v>
      </x:c>
      <x:c r="R228" s="351" t="str">
        <x:v>No iniciado</x:v>
      </x:c>
      <x:c r="S228" s="354" t="n">
        <x:v>0</x:v>
      </x:c>
      <x:c r="T228" s="355"/>
      <x:c r="U228" s="355"/>
      <x:c r="V228" s="351" t="str">
        <x:v>Integra telegrafía, telefonía, conmutación de paquetes, Internet, virtualización y nube.</x:v>
      </x:c>
      <x:c r="W228" s="351" t="str">
        <x:v>Alta: práctica vigente</x:v>
      </x:c>
      <x:c r="X228" s="351" t="str">
        <x:v>Presente 2026 y corto (2027–2029)</x:v>
      </x:c>
      <x:c r="Y228" s="351" t="str">
        <x:v>Actual</x:v>
      </x:c>
      <x:c r="Z228" s="351" t="str">
        <x:v>12 meses</x:v>
      </x:c>
      <x:c r="AA228" s="351" t="str">
        <x:v>5G-Advanced, IMT-2030/6G, edge, redes no terrestres, nube soberana y operación autónoma.</x:v>
      </x:c>
    </x:row>
    <x:row r="229" ht="58" customHeight="1">
      <x:c r="A229" s="366" t="str">
        <x:v>NET-024</x:v>
      </x:c>
      <x:c r="B229" s="366" t="n">
        <x:v>3</x:v>
      </x:c>
      <x:c r="C229" s="366" t="str">
        <x:v>Sistemas e ingeniería</x:v>
      </x:c>
      <x:c r="D229" s="366" t="str">
        <x:v>Administración de sistemas y nube</x:v>
      </x:c>
      <x:c r="E229" s="366" t="str">
        <x:v>Redes, telecom y cloud</x:v>
      </x:c>
      <x:c r="F229" s="366" t="str">
        <x:v>Active Directory, Entra ID e identidad híbrida</x:v>
      </x:c>
      <x:c r="G229" s="366" t="str">
        <x:v>Active Directory, Entra ID e identidad híbrida. Implementación, automatización, identidad, monitoreo, continuidad y optimización de costos.</x:v>
      </x:c>
      <x:c r="H229" s="366" t="str">
        <x:v>NET-023</x:v>
      </x:c>
      <x:c r="I229" s="366" t="str">
        <x:v>Dominio profesional</x:v>
      </x:c>
      <x:c r="J229" s="366" t="n">
        <x:v>2</x:v>
      </x:c>
      <x:c r="K229" s="366" t="n">
        <x:v>20</x:v>
      </x:c>
      <x:c r="L229" s="366" t="n">
        <x:v>52</x:v>
      </x:c>
      <x:c r="M229" s="366" t="n">
        <x:v>20</x:v>
      </x:c>
      <x:c r="N229" s="367" t="n">
        <x:f>SUM(K229:M229)</x:f>
        <x:v>92</x:v>
      </x:c>
      <x:c r="O229" s="368" t="n">
        <x:f>N229/25</x:f>
        <x:v>3.68</x:v>
      </x:c>
      <x:c r="P229" s="366" t="str">
        <x:v>Infraestructura como código: Active Directory, Entra ID e identidad híbrida.</x:v>
      </x:c>
      <x:c r="Q229" s="366" t="str">
        <x:v>S03; S28; S29; S30; S31</x:v>
      </x:c>
      <x:c r="R229" s="366" t="str">
        <x:v>No iniciado</x:v>
      </x:c>
      <x:c r="S229" s="369" t="n">
        <x:v>0</x:v>
      </x:c>
      <x:c r="T229" s="370"/>
      <x:c r="U229" s="370"/>
      <x:c r="V229" s="366" t="str">
        <x:v>Integra telegrafía, telefonía, conmutación de paquetes, Internet, virtualización y nube.</x:v>
      </x:c>
      <x:c r="W229" s="366" t="str">
        <x:v>Alta: práctica vigente</x:v>
      </x:c>
      <x:c r="X229" s="366" t="str">
        <x:v>Presente 2026 y corto (2027–2029)</x:v>
      </x:c>
      <x:c r="Y229" s="366" t="str">
        <x:v>Actual</x:v>
      </x:c>
      <x:c r="Z229" s="366" t="str">
        <x:v>12 meses</x:v>
      </x:c>
      <x:c r="AA229" s="366" t="str">
        <x:v>5G-Advanced, IMT-2030/6G, edge, redes no terrestres, nube soberana y operación autónoma.</x:v>
      </x:c>
    </x:row>
    <x:row r="230" ht="58" customHeight="1">
      <x:c r="A230" s="351" t="str">
        <x:v>NET-025</x:v>
      </x:c>
      <x:c r="B230" s="351" t="n">
        <x:v>3</x:v>
      </x:c>
      <x:c r="C230" s="351" t="str">
        <x:v>Sistemas e ingeniería</x:v>
      </x:c>
      <x:c r="D230" s="351" t="str">
        <x:v>Administración de sistemas y nube</x:v>
      </x:c>
      <x:c r="E230" s="351" t="str">
        <x:v>Redes, telecom y cloud</x:v>
      </x:c>
      <x:c r="F230" s="351" t="str">
        <x:v>Automatización de sistemas con PowerShell</x:v>
      </x:c>
      <x:c r="G230" s="351" t="str">
        <x:v>Automatización de sistemas con PowerShell. Implementación, automatización, identidad, monitoreo, continuidad y optimización de costos.</x:v>
      </x:c>
      <x:c r="H230" s="351" t="str">
        <x:v>NET-024</x:v>
      </x:c>
      <x:c r="I230" s="351" t="str">
        <x:v>Dominio profesional</x:v>
      </x:c>
      <x:c r="J230" s="351" t="n">
        <x:v>2</x:v>
      </x:c>
      <x:c r="K230" s="351" t="n">
        <x:v>20</x:v>
      </x:c>
      <x:c r="L230" s="351" t="n">
        <x:v>52</x:v>
      </x:c>
      <x:c r="M230" s="351" t="n">
        <x:v>20</x:v>
      </x:c>
      <x:c r="N230" s="352" t="n">
        <x:f>SUM(K230:M230)</x:f>
        <x:v>92</x:v>
      </x:c>
      <x:c r="O230" s="353" t="n">
        <x:f>N230/25</x:f>
        <x:v>3.68</x:v>
      </x:c>
      <x:c r="P230" s="351" t="str">
        <x:v>Infraestructura como código: Automatización de sistemas con PowerShell.</x:v>
      </x:c>
      <x:c r="Q230" s="351" t="str">
        <x:v>S03; S28; S29; S30; S31</x:v>
      </x:c>
      <x:c r="R230" s="351" t="str">
        <x:v>No iniciado</x:v>
      </x:c>
      <x:c r="S230" s="354" t="n">
        <x:v>0</x:v>
      </x:c>
      <x:c r="T230" s="355"/>
      <x:c r="U230" s="355"/>
      <x:c r="V230" s="351" t="str">
        <x:v>Integra telegrafía, telefonía, conmutación de paquetes, Internet, virtualización y nube.</x:v>
      </x:c>
      <x:c r="W230" s="351" t="str">
        <x:v>Alta: práctica vigente</x:v>
      </x:c>
      <x:c r="X230" s="351" t="str">
        <x:v>Presente 2026 y corto (2027–2029)</x:v>
      </x:c>
      <x:c r="Y230" s="351" t="str">
        <x:v>Actual</x:v>
      </x:c>
      <x:c r="Z230" s="351" t="str">
        <x:v>12 meses</x:v>
      </x:c>
      <x:c r="AA230" s="351" t="str">
        <x:v>5G-Advanced, IMT-2030/6G, edge, redes no terrestres, nube soberana y operación autónoma.</x:v>
      </x:c>
    </x:row>
    <x:row r="231" ht="58" customHeight="1">
      <x:c r="A231" s="366" t="str">
        <x:v>NET-026</x:v>
      </x:c>
      <x:c r="B231" s="366" t="n">
        <x:v>3</x:v>
      </x:c>
      <x:c r="C231" s="366" t="str">
        <x:v>Sistemas e ingeniería</x:v>
      </x:c>
      <x:c r="D231" s="366" t="str">
        <x:v>Administración de sistemas y nube</x:v>
      </x:c>
      <x:c r="E231" s="366" t="str">
        <x:v>Redes, telecom y cloud</x:v>
      </x:c>
      <x:c r="F231" s="366" t="str">
        <x:v>Automatización de sistemas con Ansible</x:v>
      </x:c>
      <x:c r="G231" s="366" t="str">
        <x:v>Automatización de sistemas con Ansible. Implementación, automatización, identidad, monitoreo, continuidad y optimización de costos.</x:v>
      </x:c>
      <x:c r="H231" s="366" t="str">
        <x:v>NET-025</x:v>
      </x:c>
      <x:c r="I231" s="366" t="str">
        <x:v>Dominio profesional</x:v>
      </x:c>
      <x:c r="J231" s="366" t="n">
        <x:v>2</x:v>
      </x:c>
      <x:c r="K231" s="366" t="n">
        <x:v>20</x:v>
      </x:c>
      <x:c r="L231" s="366" t="n">
        <x:v>52</x:v>
      </x:c>
      <x:c r="M231" s="366" t="n">
        <x:v>20</x:v>
      </x:c>
      <x:c r="N231" s="367" t="n">
        <x:f>SUM(K231:M231)</x:f>
        <x:v>92</x:v>
      </x:c>
      <x:c r="O231" s="368" t="n">
        <x:f>N231/25</x:f>
        <x:v>3.68</x:v>
      </x:c>
      <x:c r="P231" s="366" t="str">
        <x:v>Infraestructura como código: Automatización de sistemas con Ansible.</x:v>
      </x:c>
      <x:c r="Q231" s="366" t="str">
        <x:v>S03; S28; S29; S30; S31</x:v>
      </x:c>
      <x:c r="R231" s="366" t="str">
        <x:v>No iniciado</x:v>
      </x:c>
      <x:c r="S231" s="369" t="n">
        <x:v>0</x:v>
      </x:c>
      <x:c r="T231" s="370"/>
      <x:c r="U231" s="370"/>
      <x:c r="V231" s="366" t="str">
        <x:v>Integra telegrafía, telefonía, conmutación de paquetes, Internet, virtualización y nube.</x:v>
      </x:c>
      <x:c r="W231" s="366" t="str">
        <x:v>Alta: práctica vigente</x:v>
      </x:c>
      <x:c r="X231" s="366" t="str">
        <x:v>Presente 2026 y corto (2027–2029)</x:v>
      </x:c>
      <x:c r="Y231" s="366" t="str">
        <x:v>Actual</x:v>
      </x:c>
      <x:c r="Z231" s="366" t="str">
        <x:v>12 meses</x:v>
      </x:c>
      <x:c r="AA231" s="366" t="str">
        <x:v>5G-Advanced, IMT-2030/6G, edge, redes no terrestres, nube soberana y operación autónoma.</x:v>
      </x:c>
    </x:row>
    <x:row r="232" ht="58" customHeight="1">
      <x:c r="A232" s="351" t="str">
        <x:v>ROB-001</x:v>
      </x:c>
      <x:c r="B232" s="351" t="n">
        <x:v>3</x:v>
      </x:c>
      <x:c r="C232" s="351" t="str">
        <x:v>Sistemas e ingeniería</x:v>
      </x:c>
      <x:c r="D232" s="351" t="str">
        <x:v>Mecatrónica, control y automatización</x:v>
      </x:c>
      <x:c r="E232" s="351" t="str">
        <x:v>Robótica y mecatrónica</x:v>
      </x:c>
      <x:c r="F232" s="351" t="str">
        <x:v>Estática y resistencia de materiales</x:v>
      </x:c>
      <x:c r="G232" s="351" t="str">
        <x:v>Estática y resistencia de materiales. Modelado físico, diseño, fabricación, control y pruebas seguras.</x:v>
      </x:c>
      <x:c r="H232" s="351" t="str">
        <x:v>MAT-021</x:v>
      </x:c>
      <x:c r="I232" s="351" t="str">
        <x:v>Dominio profesional</x:v>
      </x:c>
      <x:c r="J232" s="351" t="n">
        <x:v>2</x:v>
      </x:c>
      <x:c r="K232" s="351" t="n">
        <x:v>20</x:v>
      </x:c>
      <x:c r="L232" s="351" t="n">
        <x:v>52</x:v>
      </x:c>
      <x:c r="M232" s="351" t="n">
        <x:v>20</x:v>
      </x:c>
      <x:c r="N232" s="352" t="n">
        <x:f>SUM(K232:M232)</x:f>
        <x:v>92</x:v>
      </x:c>
      <x:c r="O232" s="353" t="n">
        <x:f>N232/25</x:f>
        <x:v>3.68</x:v>
      </x:c>
      <x:c r="P232" s="351" t="str">
        <x:v>Prototipo mecatrónico: Estática y resistencia de materiales.</x:v>
      </x:c>
      <x:c r="Q232" s="351" t="str">
        <x:v>S04; S24; S25; S48</x:v>
      </x:c>
      <x:c r="R232" s="351" t="str">
        <x:v>No iniciado</x:v>
      </x:c>
      <x:c r="S232" s="354" t="n">
        <x:v>0</x:v>
      </x:c>
      <x:c r="T232" s="355"/>
      <x:c r="U232" s="355"/>
      <x:c r="V232" s="351" t="str">
        <x:v>Converge mecánica, control, electrónica, percepción, planificación e inteligencia artificial.</x:v>
      </x:c>
      <x:c r="W232" s="351" t="str">
        <x:v>Alta: práctica vigente</x:v>
      </x:c>
      <x:c r="X232" s="351" t="str">
        <x:v>Presente 2026 y corto (2027–2029)</x:v>
      </x:c>
      <x:c r="Y232" s="351" t="str">
        <x:v>Actual</x:v>
      </x:c>
      <x:c r="Z232" s="351" t="str">
        <x:v>12 meses</x:v>
      </x:c>
      <x:c r="AA232" s="351" t="str">
        <x:v>IA corporeizada, robots colaborativos, autonomía, enjambres, robótica blanda y seguridad física.</x:v>
      </x:c>
    </x:row>
    <x:row r="233" ht="58" customHeight="1">
      <x:c r="A233" s="366" t="str">
        <x:v>ROB-002</x:v>
      </x:c>
      <x:c r="B233" s="366" t="n">
        <x:v>3</x:v>
      </x:c>
      <x:c r="C233" s="366" t="str">
        <x:v>Sistemas e ingeniería</x:v>
      </x:c>
      <x:c r="D233" s="366" t="str">
        <x:v>Mecatrónica, control y automatización</x:v>
      </x:c>
      <x:c r="E233" s="366" t="str">
        <x:v>Robótica y mecatrónica</x:v>
      </x:c>
      <x:c r="F233" s="366" t="str">
        <x:v>Dinámica y mecanismos</x:v>
      </x:c>
      <x:c r="G233" s="366" t="str">
        <x:v>Dinámica y mecanismos. Modelado físico, diseño, fabricación, control y pruebas seguras.</x:v>
      </x:c>
      <x:c r="H233" s="366" t="str">
        <x:v>ROB-001</x:v>
      </x:c>
      <x:c r="I233" s="366" t="str">
        <x:v>Dominio profesional</x:v>
      </x:c>
      <x:c r="J233" s="366" t="n">
        <x:v>2</x:v>
      </x:c>
      <x:c r="K233" s="366" t="n">
        <x:v>20</x:v>
      </x:c>
      <x:c r="L233" s="366" t="n">
        <x:v>52</x:v>
      </x:c>
      <x:c r="M233" s="366" t="n">
        <x:v>20</x:v>
      </x:c>
      <x:c r="N233" s="367" t="n">
        <x:f>SUM(K233:M233)</x:f>
        <x:v>92</x:v>
      </x:c>
      <x:c r="O233" s="368" t="n">
        <x:f>N233/25</x:f>
        <x:v>3.68</x:v>
      </x:c>
      <x:c r="P233" s="366" t="str">
        <x:v>Prototipo mecatrónico: Dinámica y mecanismos.</x:v>
      </x:c>
      <x:c r="Q233" s="366" t="str">
        <x:v>S04; S24; S25; S48</x:v>
      </x:c>
      <x:c r="R233" s="366" t="str">
        <x:v>No iniciado</x:v>
      </x:c>
      <x:c r="S233" s="369" t="n">
        <x:v>0</x:v>
      </x:c>
      <x:c r="T233" s="370"/>
      <x:c r="U233" s="370"/>
      <x:c r="V233" s="366" t="str">
        <x:v>Converge mecánica, control, electrónica, percepción, planificación e inteligencia artificial.</x:v>
      </x:c>
      <x:c r="W233" s="366" t="str">
        <x:v>Alta: práctica vigente</x:v>
      </x:c>
      <x:c r="X233" s="366" t="str">
        <x:v>Presente 2026 y corto (2027–2029)</x:v>
      </x:c>
      <x:c r="Y233" s="366" t="str">
        <x:v>Actual</x:v>
      </x:c>
      <x:c r="Z233" s="366" t="str">
        <x:v>12 meses</x:v>
      </x:c>
      <x:c r="AA233" s="366" t="str">
        <x:v>IA corporeizada, robots colaborativos, autonomía, enjambres, robótica blanda y seguridad física.</x:v>
      </x:c>
    </x:row>
    <x:row r="234" ht="58" customHeight="1">
      <x:c r="A234" s="351" t="str">
        <x:v>ROB-003</x:v>
      </x:c>
      <x:c r="B234" s="351" t="n">
        <x:v>3</x:v>
      </x:c>
      <x:c r="C234" s="351" t="str">
        <x:v>Sistemas e ingeniería</x:v>
      </x:c>
      <x:c r="D234" s="351" t="str">
        <x:v>Mecatrónica, control y automatización</x:v>
      </x:c>
      <x:c r="E234" s="351" t="str">
        <x:v>Robótica y mecatrónica</x:v>
      </x:c>
      <x:c r="F234" s="351" t="str">
        <x:v>Diseño mecánico y CAD</x:v>
      </x:c>
      <x:c r="G234" s="351" t="str">
        <x:v>Diseño mecánico y CAD. Modelado físico, diseño, fabricación, control y pruebas seguras.</x:v>
      </x:c>
      <x:c r="H234" s="351" t="str">
        <x:v>ROB-002</x:v>
      </x:c>
      <x:c r="I234" s="351" t="str">
        <x:v>Dominio profesional</x:v>
      </x:c>
      <x:c r="J234" s="351" t="n">
        <x:v>2</x:v>
      </x:c>
      <x:c r="K234" s="351" t="n">
        <x:v>20</x:v>
      </x:c>
      <x:c r="L234" s="351" t="n">
        <x:v>52</x:v>
      </x:c>
      <x:c r="M234" s="351" t="n">
        <x:v>20</x:v>
      </x:c>
      <x:c r="N234" s="352" t="n">
        <x:f>SUM(K234:M234)</x:f>
        <x:v>92</x:v>
      </x:c>
      <x:c r="O234" s="353" t="n">
        <x:f>N234/25</x:f>
        <x:v>3.68</x:v>
      </x:c>
      <x:c r="P234" s="351" t="str">
        <x:v>Prototipo mecatrónico: Diseño mecánico y CAD.</x:v>
      </x:c>
      <x:c r="Q234" s="351" t="str">
        <x:v>S04; S24; S25; S48</x:v>
      </x:c>
      <x:c r="R234" s="351" t="str">
        <x:v>No iniciado</x:v>
      </x:c>
      <x:c r="S234" s="354" t="n">
        <x:v>0</x:v>
      </x:c>
      <x:c r="T234" s="355"/>
      <x:c r="U234" s="355"/>
      <x:c r="V234" s="351" t="str">
        <x:v>Converge mecánica, control, electrónica, percepción, planificación e inteligencia artificial.</x:v>
      </x:c>
      <x:c r="W234" s="351" t="str">
        <x:v>Alta: práctica vigente</x:v>
      </x:c>
      <x:c r="X234" s="351" t="str">
        <x:v>Presente 2026 y corto (2027–2029)</x:v>
      </x:c>
      <x:c r="Y234" s="351" t="str">
        <x:v>Actual</x:v>
      </x:c>
      <x:c r="Z234" s="351" t="str">
        <x:v>12 meses</x:v>
      </x:c>
      <x:c r="AA234" s="351" t="str">
        <x:v>IA corporeizada, robots colaborativos, autonomía, enjambres, robótica blanda y seguridad física.</x:v>
      </x:c>
    </x:row>
    <x:row r="235" ht="58" customHeight="1">
      <x:c r="A235" s="366" t="str">
        <x:v>ROB-004</x:v>
      </x:c>
      <x:c r="B235" s="366" t="n">
        <x:v>3</x:v>
      </x:c>
      <x:c r="C235" s="366" t="str">
        <x:v>Sistemas e ingeniería</x:v>
      </x:c>
      <x:c r="D235" s="366" t="str">
        <x:v>Mecatrónica, control y automatización</x:v>
      </x:c>
      <x:c r="E235" s="366" t="str">
        <x:v>Robótica y mecatrónica</x:v>
      </x:c>
      <x:c r="F235" s="366" t="str">
        <x:v>Manufactura digital e impresión 3D</x:v>
      </x:c>
      <x:c r="G235" s="366" t="str">
        <x:v>Manufactura digital e impresión 3D. Modelado físico, diseño, fabricación, control y pruebas seguras.</x:v>
      </x:c>
      <x:c r="H235" s="366" t="str">
        <x:v>ROB-003</x:v>
      </x:c>
      <x:c r="I235" s="366" t="str">
        <x:v>Dominio profesional</x:v>
      </x:c>
      <x:c r="J235" s="366" t="n">
        <x:v>2</x:v>
      </x:c>
      <x:c r="K235" s="366" t="n">
        <x:v>20</x:v>
      </x:c>
      <x:c r="L235" s="366" t="n">
        <x:v>52</x:v>
      </x:c>
      <x:c r="M235" s="366" t="n">
        <x:v>20</x:v>
      </x:c>
      <x:c r="N235" s="367" t="n">
        <x:f>SUM(K235:M235)</x:f>
        <x:v>92</x:v>
      </x:c>
      <x:c r="O235" s="368" t="n">
        <x:f>N235/25</x:f>
        <x:v>3.68</x:v>
      </x:c>
      <x:c r="P235" s="366" t="str">
        <x:v>Prototipo mecatrónico: Manufactura digital e impresión 3D.</x:v>
      </x:c>
      <x:c r="Q235" s="366" t="str">
        <x:v>S04; S24; S25; S48</x:v>
      </x:c>
      <x:c r="R235" s="366" t="str">
        <x:v>No iniciado</x:v>
      </x:c>
      <x:c r="S235" s="369" t="n">
        <x:v>0</x:v>
      </x:c>
      <x:c r="T235" s="370"/>
      <x:c r="U235" s="370"/>
      <x:c r="V235" s="366" t="str">
        <x:v>Converge mecánica, control, electrónica, percepción, planificación e inteligencia artificial.</x:v>
      </x:c>
      <x:c r="W235" s="366" t="str">
        <x:v>Alta: práctica vigente</x:v>
      </x:c>
      <x:c r="X235" s="366" t="str">
        <x:v>Presente 2026 y corto (2027–2029)</x:v>
      </x:c>
      <x:c r="Y235" s="366" t="str">
        <x:v>Actual</x:v>
      </x:c>
      <x:c r="Z235" s="366" t="str">
        <x:v>12 meses</x:v>
      </x:c>
      <x:c r="AA235" s="366" t="str">
        <x:v>IA corporeizada, robots colaborativos, autonomía, enjambres, robótica blanda y seguridad física.</x:v>
      </x:c>
    </x:row>
    <x:row r="236" ht="58" customHeight="1">
      <x:c r="A236" s="351" t="str">
        <x:v>ROB-005</x:v>
      </x:c>
      <x:c r="B236" s="351" t="n">
        <x:v>3</x:v>
      </x:c>
      <x:c r="C236" s="351" t="str">
        <x:v>Sistemas e ingeniería</x:v>
      </x:c>
      <x:c r="D236" s="351" t="str">
        <x:v>Mecatrónica, control y automatización</x:v>
      </x:c>
      <x:c r="E236" s="351" t="str">
        <x:v>Robótica y mecatrónica</x:v>
      </x:c>
      <x:c r="F236" s="351" t="str">
        <x:v>Control automático I</x:v>
      </x:c>
      <x:c r="G236" s="351" t="str">
        <x:v>Control automático I. Modelado físico, diseño, fabricación, control y pruebas seguras.</x:v>
      </x:c>
      <x:c r="H236" s="351" t="str">
        <x:v>ROB-004</x:v>
      </x:c>
      <x:c r="I236" s="351" t="str">
        <x:v>Dominio profesional</x:v>
      </x:c>
      <x:c r="J236" s="351" t="n">
        <x:v>2</x:v>
      </x:c>
      <x:c r="K236" s="351" t="n">
        <x:v>20</x:v>
      </x:c>
      <x:c r="L236" s="351" t="n">
        <x:v>52</x:v>
      </x:c>
      <x:c r="M236" s="351" t="n">
        <x:v>20</x:v>
      </x:c>
      <x:c r="N236" s="352" t="n">
        <x:f>SUM(K236:M236)</x:f>
        <x:v>92</x:v>
      </x:c>
      <x:c r="O236" s="353" t="n">
        <x:f>N236/25</x:f>
        <x:v>3.68</x:v>
      </x:c>
      <x:c r="P236" s="351" t="str">
        <x:v>Prototipo mecatrónico: Control automático I.</x:v>
      </x:c>
      <x:c r="Q236" s="351" t="str">
        <x:v>S04; S24; S25; S48</x:v>
      </x:c>
      <x:c r="R236" s="351" t="str">
        <x:v>No iniciado</x:v>
      </x:c>
      <x:c r="S236" s="354" t="n">
        <x:v>0</x:v>
      </x:c>
      <x:c r="T236" s="355"/>
      <x:c r="U236" s="355"/>
      <x:c r="V236" s="351" t="str">
        <x:v>Converge mecánica, control, electrónica, percepción, planificación e inteligencia artificial.</x:v>
      </x:c>
      <x:c r="W236" s="351" t="str">
        <x:v>Alta: práctica vigente</x:v>
      </x:c>
      <x:c r="X236" s="351" t="str">
        <x:v>Presente 2026 y corto (2027–2029)</x:v>
      </x:c>
      <x:c r="Y236" s="351" t="str">
        <x:v>Actual</x:v>
      </x:c>
      <x:c r="Z236" s="351" t="str">
        <x:v>12 meses</x:v>
      </x:c>
      <x:c r="AA236" s="351" t="str">
        <x:v>IA corporeizada, robots colaborativos, autonomía, enjambres, robótica blanda y seguridad física.</x:v>
      </x:c>
    </x:row>
    <x:row r="237" ht="58" customHeight="1">
      <x:c r="A237" s="366" t="str">
        <x:v>ROB-006</x:v>
      </x:c>
      <x:c r="B237" s="366" t="n">
        <x:v>3</x:v>
      </x:c>
      <x:c r="C237" s="366" t="str">
        <x:v>Sistemas e ingeniería</x:v>
      </x:c>
      <x:c r="D237" s="366" t="str">
        <x:v>Mecatrónica, control y automatización</x:v>
      </x:c>
      <x:c r="E237" s="366" t="str">
        <x:v>Robótica y mecatrónica</x:v>
      </x:c>
      <x:c r="F237" s="366" t="str">
        <x:v>Control automático II</x:v>
      </x:c>
      <x:c r="G237" s="366" t="str">
        <x:v>Control automático II. Modelado físico, diseño, fabricación, control y pruebas seguras.</x:v>
      </x:c>
      <x:c r="H237" s="366" t="str">
        <x:v>ROB-005</x:v>
      </x:c>
      <x:c r="I237" s="366" t="str">
        <x:v>Dominio profesional</x:v>
      </x:c>
      <x:c r="J237" s="366" t="n">
        <x:v>2</x:v>
      </x:c>
      <x:c r="K237" s="366" t="n">
        <x:v>20</x:v>
      </x:c>
      <x:c r="L237" s="366" t="n">
        <x:v>52</x:v>
      </x:c>
      <x:c r="M237" s="366" t="n">
        <x:v>20</x:v>
      </x:c>
      <x:c r="N237" s="367" t="n">
        <x:f>SUM(K237:M237)</x:f>
        <x:v>92</x:v>
      </x:c>
      <x:c r="O237" s="368" t="n">
        <x:f>N237/25</x:f>
        <x:v>3.68</x:v>
      </x:c>
      <x:c r="P237" s="366" t="str">
        <x:v>Prototipo mecatrónico: Control automático II.</x:v>
      </x:c>
      <x:c r="Q237" s="366" t="str">
        <x:v>S04; S24; S25; S48</x:v>
      </x:c>
      <x:c r="R237" s="366" t="str">
        <x:v>No iniciado</x:v>
      </x:c>
      <x:c r="S237" s="369" t="n">
        <x:v>0</x:v>
      </x:c>
      <x:c r="T237" s="370"/>
      <x:c r="U237" s="370"/>
      <x:c r="V237" s="366" t="str">
        <x:v>Converge mecánica, control, electrónica, percepción, planificación e inteligencia artificial.</x:v>
      </x:c>
      <x:c r="W237" s="366" t="str">
        <x:v>Alta: práctica vigente</x:v>
      </x:c>
      <x:c r="X237" s="366" t="str">
        <x:v>Presente 2026 y corto (2027–2029)</x:v>
      </x:c>
      <x:c r="Y237" s="366" t="str">
        <x:v>Actual</x:v>
      </x:c>
      <x:c r="Z237" s="366" t="str">
        <x:v>12 meses</x:v>
      </x:c>
      <x:c r="AA237" s="366" t="str">
        <x:v>IA corporeizada, robots colaborativos, autonomía, enjambres, robótica blanda y seguridad física.</x:v>
      </x:c>
    </x:row>
    <x:row r="238" ht="58" customHeight="1">
      <x:c r="A238" s="351" t="str">
        <x:v>ISM-008</x:v>
      </x:c>
      <x:c r="B238" s="351" t="n">
        <x:v>3</x:v>
      </x:c>
      <x:c r="C238" s="351" t="str">
        <x:v>Sistemas e ingeniería</x:v>
      </x:c>
      <x:c r="D238" s="351" t="str">
        <x:v>Sistemas empresariales y gestión</x:v>
      </x:c>
      <x:c r="E238" s="351" t="str">
        <x:v>Sistemas de información y gestión TI</x:v>
      </x:c>
      <x:c r="F238" s="351" t="str">
        <x:v>ERP</x:v>
      </x:c>
      <x:c r="G238" s="351" t="str">
        <x:v>ERP. Alineación negocio–tecnología, procesos, arquitectura, control, servicio y transformación.</x:v>
      </x:c>
      <x:c r="H238" s="351" t="str">
        <x:v>ISM-007</x:v>
      </x:c>
      <x:c r="I238" s="351" t="str">
        <x:v>Dominio profesional</x:v>
      </x:c>
      <x:c r="J238" s="351" t="n">
        <x:v>2</x:v>
      </x:c>
      <x:c r="K238" s="351" t="n">
        <x:v>28</x:v>
      </x:c>
      <x:c r="L238" s="351" t="n">
        <x:v>36</x:v>
      </x:c>
      <x:c r="M238" s="351" t="n">
        <x:v>20</x:v>
      </x:c>
      <x:c r="N238" s="352" t="n">
        <x:f>SUM(K238:M238)</x:f>
        <x:v>84</x:v>
      </x:c>
      <x:c r="O238" s="353" t="n">
        <x:f>N238/25</x:f>
        <x:v>3.36</x:v>
      </x:c>
      <x:c r="P238" s="351" t="str">
        <x:v>Caso empresarial y arquitectura: ERP.</x:v>
      </x:c>
      <x:c r="Q238" s="351" t="str">
        <x:v>S02; S03; S05; S06; S22; S34</x:v>
      </x:c>
      <x:c r="R238" s="351" t="str">
        <x:v>No iniciado</x:v>
      </x:c>
      <x:c r="S238" s="354" t="n">
        <x:v>0</x:v>
      </x:c>
      <x:c r="T238" s="355"/>
      <x:c r="U238" s="355"/>
      <x:c r="V238" s="351" t="str">
        <x:v>Evoluciona desde contabilidad y procesamiento de datos hacia ERP, plataformas y gobierno digital.</x:v>
      </x:c>
      <x:c r="W238" s="351" t="str">
        <x:v>Alta: práctica vigente</x:v>
      </x:c>
      <x:c r="X238" s="351" t="str">
        <x:v>Presente 2026 y corto (2027–2029)</x:v>
      </x:c>
      <x:c r="Y238" s="351" t="str">
        <x:v>Actual</x:v>
      </x:c>
      <x:c r="Z238" s="351" t="str">
        <x:v>12 meses</x:v>
      </x:c>
      <x:c r="AA238" s="351" t="str">
        <x:v>AIOps, FinOps/GreenOps, process mining, organizaciones aumentadas y gobierno de agentes.</x:v>
      </x:c>
    </x:row>
    <x:row r="239" ht="58" customHeight="1">
      <x:c r="A239" s="366" t="str">
        <x:v>ISM-009</x:v>
      </x:c>
      <x:c r="B239" s="366" t="n">
        <x:v>3</x:v>
      </x:c>
      <x:c r="C239" s="366" t="str">
        <x:v>Sistemas e ingeniería</x:v>
      </x:c>
      <x:c r="D239" s="366" t="str">
        <x:v>Sistemas empresariales y gestión</x:v>
      </x:c>
      <x:c r="E239" s="366" t="str">
        <x:v>Sistemas de información y gestión TI</x:v>
      </x:c>
      <x:c r="F239" s="366" t="str">
        <x:v>CRM</x:v>
      </x:c>
      <x:c r="G239" s="366" t="str">
        <x:v>CRM. Alineación negocio–tecnología, procesos, arquitectura, control, servicio y transformación.</x:v>
      </x:c>
      <x:c r="H239" s="366" t="str">
        <x:v>ISM-008</x:v>
      </x:c>
      <x:c r="I239" s="366" t="str">
        <x:v>Dominio profesional</x:v>
      </x:c>
      <x:c r="J239" s="366" t="n">
        <x:v>2</x:v>
      </x:c>
      <x:c r="K239" s="366" t="n">
        <x:v>28</x:v>
      </x:c>
      <x:c r="L239" s="366" t="n">
        <x:v>36</x:v>
      </x:c>
      <x:c r="M239" s="366" t="n">
        <x:v>20</x:v>
      </x:c>
      <x:c r="N239" s="367" t="n">
        <x:f>SUM(K239:M239)</x:f>
        <x:v>84</x:v>
      </x:c>
      <x:c r="O239" s="368" t="n">
        <x:f>N239/25</x:f>
        <x:v>3.36</x:v>
      </x:c>
      <x:c r="P239" s="366" t="str">
        <x:v>Caso empresarial y arquitectura: CRM.</x:v>
      </x:c>
      <x:c r="Q239" s="366" t="str">
        <x:v>S02; S03; S05; S06; S22; S34</x:v>
      </x:c>
      <x:c r="R239" s="366" t="str">
        <x:v>No iniciado</x:v>
      </x:c>
      <x:c r="S239" s="369" t="n">
        <x:v>0</x:v>
      </x:c>
      <x:c r="T239" s="370"/>
      <x:c r="U239" s="370"/>
      <x:c r="V239" s="366" t="str">
        <x:v>Evoluciona desde contabilidad y procesamiento de datos hacia ERP, plataformas y gobierno digital.</x:v>
      </x:c>
      <x:c r="W239" s="366" t="str">
        <x:v>Alta: práctica vigente</x:v>
      </x:c>
      <x:c r="X239" s="366" t="str">
        <x:v>Presente 2026 y corto (2027–2029)</x:v>
      </x:c>
      <x:c r="Y239" s="366" t="str">
        <x:v>Actual</x:v>
      </x:c>
      <x:c r="Z239" s="366" t="str">
        <x:v>12 meses</x:v>
      </x:c>
      <x:c r="AA239" s="366" t="str">
        <x:v>AIOps, FinOps/GreenOps, process mining, organizaciones aumentadas y gobierno de agentes.</x:v>
      </x:c>
    </x:row>
    <x:row r="240" ht="58" customHeight="1">
      <x:c r="A240" s="351" t="str">
        <x:v>ISM-010</x:v>
      </x:c>
      <x:c r="B240" s="351" t="n">
        <x:v>3</x:v>
      </x:c>
      <x:c r="C240" s="351" t="str">
        <x:v>Sistemas e ingeniería</x:v>
      </x:c>
      <x:c r="D240" s="351" t="str">
        <x:v>Sistemas empresariales y gestión</x:v>
      </x:c>
      <x:c r="E240" s="351" t="str">
        <x:v>Sistemas de información y gestión TI</x:v>
      </x:c>
      <x:c r="F240" s="351" t="str">
        <x:v>SCM y logística digital</x:v>
      </x:c>
      <x:c r="G240" s="351" t="str">
        <x:v>SCM y logística digital. Alineación negocio–tecnología, procesos, arquitectura, control, servicio y transformación.</x:v>
      </x:c>
      <x:c r="H240" s="351" t="str">
        <x:v>ISM-009</x:v>
      </x:c>
      <x:c r="I240" s="351" t="str">
        <x:v>Dominio profesional</x:v>
      </x:c>
      <x:c r="J240" s="351" t="n">
        <x:v>2</x:v>
      </x:c>
      <x:c r="K240" s="351" t="n">
        <x:v>28</x:v>
      </x:c>
      <x:c r="L240" s="351" t="n">
        <x:v>36</x:v>
      </x:c>
      <x:c r="M240" s="351" t="n">
        <x:v>20</x:v>
      </x:c>
      <x:c r="N240" s="352" t="n">
        <x:f>SUM(K240:M240)</x:f>
        <x:v>84</x:v>
      </x:c>
      <x:c r="O240" s="353" t="n">
        <x:f>N240/25</x:f>
        <x:v>3.36</x:v>
      </x:c>
      <x:c r="P240" s="351" t="str">
        <x:v>Caso empresarial y arquitectura: SCM y logística digital.</x:v>
      </x:c>
      <x:c r="Q240" s="351" t="str">
        <x:v>S02; S03; S05; S06; S22; S34</x:v>
      </x:c>
      <x:c r="R240" s="351" t="str">
        <x:v>No iniciado</x:v>
      </x:c>
      <x:c r="S240" s="354" t="n">
        <x:v>0</x:v>
      </x:c>
      <x:c r="T240" s="355"/>
      <x:c r="U240" s="355"/>
      <x:c r="V240" s="351" t="str">
        <x:v>Evoluciona desde contabilidad y procesamiento de datos hacia ERP, plataformas y gobierno digital.</x:v>
      </x:c>
      <x:c r="W240" s="351" t="str">
        <x:v>Alta: práctica vigente</x:v>
      </x:c>
      <x:c r="X240" s="351" t="str">
        <x:v>Presente 2026 y corto (2027–2029)</x:v>
      </x:c>
      <x:c r="Y240" s="351" t="str">
        <x:v>Actual</x:v>
      </x:c>
      <x:c r="Z240" s="351" t="str">
        <x:v>12 meses</x:v>
      </x:c>
      <x:c r="AA240" s="351" t="str">
        <x:v>AIOps, FinOps/GreenOps, process mining, organizaciones aumentadas y gobierno de agentes.</x:v>
      </x:c>
    </x:row>
    <x:row r="241" ht="58" customHeight="1">
      <x:c r="A241" s="366" t="str">
        <x:v>ISM-011</x:v>
      </x:c>
      <x:c r="B241" s="366" t="n">
        <x:v>3</x:v>
      </x:c>
      <x:c r="C241" s="366" t="str">
        <x:v>Sistemas e ingeniería</x:v>
      </x:c>
      <x:c r="D241" s="366" t="str">
        <x:v>Sistemas empresariales y gestión</x:v>
      </x:c>
      <x:c r="E241" s="366" t="str">
        <x:v>Sistemas de información y gestión TI</x:v>
      </x:c>
      <x:c r="F241" s="366" t="str">
        <x:v>Arquitectura empresarial</x:v>
      </x:c>
      <x:c r="G241" s="366" t="str">
        <x:v>Arquitectura empresarial. Alineación negocio–tecnología, procesos, arquitectura, control, servicio y transformación.</x:v>
      </x:c>
      <x:c r="H241" s="366" t="str">
        <x:v>ISM-010</x:v>
      </x:c>
      <x:c r="I241" s="366" t="str">
        <x:v>Dominio profesional</x:v>
      </x:c>
      <x:c r="J241" s="366" t="n">
        <x:v>2</x:v>
      </x:c>
      <x:c r="K241" s="366" t="n">
        <x:v>28</x:v>
      </x:c>
      <x:c r="L241" s="366" t="n">
        <x:v>36</x:v>
      </x:c>
      <x:c r="M241" s="366" t="n">
        <x:v>20</x:v>
      </x:c>
      <x:c r="N241" s="367" t="n">
        <x:f>SUM(K241:M241)</x:f>
        <x:v>84</x:v>
      </x:c>
      <x:c r="O241" s="368" t="n">
        <x:f>N241/25</x:f>
        <x:v>3.36</x:v>
      </x:c>
      <x:c r="P241" s="366" t="str">
        <x:v>Caso empresarial y arquitectura: Arquitectura empresarial.</x:v>
      </x:c>
      <x:c r="Q241" s="366" t="str">
        <x:v>S02; S03; S05; S06; S22; S34</x:v>
      </x:c>
      <x:c r="R241" s="366" t="str">
        <x:v>No iniciado</x:v>
      </x:c>
      <x:c r="S241" s="369" t="n">
        <x:v>0</x:v>
      </x:c>
      <x:c r="T241" s="370"/>
      <x:c r="U241" s="370"/>
      <x:c r="V241" s="366" t="str">
        <x:v>Evoluciona desde contabilidad y procesamiento de datos hacia ERP, plataformas y gobierno digital.</x:v>
      </x:c>
      <x:c r="W241" s="366" t="str">
        <x:v>Alta: práctica vigente</x:v>
      </x:c>
      <x:c r="X241" s="366" t="str">
        <x:v>Presente 2026 y corto (2027–2029)</x:v>
      </x:c>
      <x:c r="Y241" s="366" t="str">
        <x:v>Actual</x:v>
      </x:c>
      <x:c r="Z241" s="366" t="str">
        <x:v>12 meses</x:v>
      </x:c>
      <x:c r="AA241" s="366" t="str">
        <x:v>AIOps, FinOps/GreenOps, process mining, organizaciones aumentadas y gobierno de agentes.</x:v>
      </x:c>
    </x:row>
    <x:row r="242" ht="58" customHeight="1">
      <x:c r="A242" s="351" t="str">
        <x:v>ISM-012</x:v>
      </x:c>
      <x:c r="B242" s="351" t="n">
        <x:v>3</x:v>
      </x:c>
      <x:c r="C242" s="351" t="str">
        <x:v>Sistemas e ingeniería</x:v>
      </x:c>
      <x:c r="D242" s="351" t="str">
        <x:v>Sistemas empresariales y gestión</x:v>
      </x:c>
      <x:c r="E242" s="351" t="str">
        <x:v>Sistemas de información y gestión TI</x:v>
      </x:c>
      <x:c r="F242" s="351" t="str">
        <x:v>Gobierno de TI</x:v>
      </x:c>
      <x:c r="G242" s="351" t="str">
        <x:v>Gobierno de TI. Alineación negocio–tecnología, procesos, arquitectura, control, servicio y transformación.</x:v>
      </x:c>
      <x:c r="H242" s="351" t="str">
        <x:v>ISM-011</x:v>
      </x:c>
      <x:c r="I242" s="351" t="str">
        <x:v>Dominio profesional</x:v>
      </x:c>
      <x:c r="J242" s="351" t="n">
        <x:v>2</x:v>
      </x:c>
      <x:c r="K242" s="351" t="n">
        <x:v>28</x:v>
      </x:c>
      <x:c r="L242" s="351" t="n">
        <x:v>36</x:v>
      </x:c>
      <x:c r="M242" s="351" t="n">
        <x:v>20</x:v>
      </x:c>
      <x:c r="N242" s="352" t="n">
        <x:f>SUM(K242:M242)</x:f>
        <x:v>84</x:v>
      </x:c>
      <x:c r="O242" s="353" t="n">
        <x:f>N242/25</x:f>
        <x:v>3.36</x:v>
      </x:c>
      <x:c r="P242" s="351" t="str">
        <x:v>Caso empresarial y arquitectura: Gobierno de TI.</x:v>
      </x:c>
      <x:c r="Q242" s="351" t="str">
        <x:v>S02; S03; S05; S06; S22; S34</x:v>
      </x:c>
      <x:c r="R242" s="351" t="str">
        <x:v>No iniciado</x:v>
      </x:c>
      <x:c r="S242" s="354" t="n">
        <x:v>0</x:v>
      </x:c>
      <x:c r="T242" s="355"/>
      <x:c r="U242" s="355"/>
      <x:c r="V242" s="351" t="str">
        <x:v>Evoluciona desde contabilidad y procesamiento de datos hacia ERP, plataformas y gobierno digital.</x:v>
      </x:c>
      <x:c r="W242" s="351" t="str">
        <x:v>Alta: práctica vigente</x:v>
      </x:c>
      <x:c r="X242" s="351" t="str">
        <x:v>Presente 2026 y corto (2027–2029)</x:v>
      </x:c>
      <x:c r="Y242" s="351" t="str">
        <x:v>Actual</x:v>
      </x:c>
      <x:c r="Z242" s="351" t="str">
        <x:v>12 meses</x:v>
      </x:c>
      <x:c r="AA242" s="351" t="str">
        <x:v>AIOps, FinOps/GreenOps, process mining, organizaciones aumentadas y gobierno de agentes.</x:v>
      </x:c>
    </x:row>
    <x:row r="243" ht="58" customHeight="1">
      <x:c r="A243" s="366" t="str">
        <x:v>ISM-013</x:v>
      </x:c>
      <x:c r="B243" s="366" t="n">
        <x:v>3</x:v>
      </x:c>
      <x:c r="C243" s="366" t="str">
        <x:v>Sistemas e ingeniería</x:v>
      </x:c>
      <x:c r="D243" s="366" t="str">
        <x:v>Sistemas empresariales y gestión</x:v>
      </x:c>
      <x:c r="E243" s="366" t="str">
        <x:v>Sistemas de información y gestión TI</x:v>
      </x:c>
      <x:c r="F243" s="366" t="str">
        <x:v>ITIL y gestión de servicios</x:v>
      </x:c>
      <x:c r="G243" s="366" t="str">
        <x:v>ITIL y gestión de servicios. Alineación negocio–tecnología, procesos, arquitectura, control, servicio y transformación.</x:v>
      </x:c>
      <x:c r="H243" s="366" t="str">
        <x:v>ISM-012</x:v>
      </x:c>
      <x:c r="I243" s="366" t="str">
        <x:v>Dominio profesional</x:v>
      </x:c>
      <x:c r="J243" s="366" t="n">
        <x:v>2</x:v>
      </x:c>
      <x:c r="K243" s="366" t="n">
        <x:v>28</x:v>
      </x:c>
      <x:c r="L243" s="366" t="n">
        <x:v>36</x:v>
      </x:c>
      <x:c r="M243" s="366" t="n">
        <x:v>20</x:v>
      </x:c>
      <x:c r="N243" s="367" t="n">
        <x:f>SUM(K243:M243)</x:f>
        <x:v>84</x:v>
      </x:c>
      <x:c r="O243" s="368" t="n">
        <x:f>N243/25</x:f>
        <x:v>3.36</x:v>
      </x:c>
      <x:c r="P243" s="366" t="str">
        <x:v>Caso empresarial y arquitectura: ITIL y gestión de servicios.</x:v>
      </x:c>
      <x:c r="Q243" s="366" t="str">
        <x:v>S02; S03; S05; S06; S22; S34</x:v>
      </x:c>
      <x:c r="R243" s="366" t="str">
        <x:v>No iniciado</x:v>
      </x:c>
      <x:c r="S243" s="369" t="n">
        <x:v>0</x:v>
      </x:c>
      <x:c r="T243" s="370"/>
      <x:c r="U243" s="370"/>
      <x:c r="V243" s="366" t="str">
        <x:v>Evoluciona desde contabilidad y procesamiento de datos hacia ERP, plataformas y gobierno digital.</x:v>
      </x:c>
      <x:c r="W243" s="366" t="str">
        <x:v>Alta: práctica vigente</x:v>
      </x:c>
      <x:c r="X243" s="366" t="str">
        <x:v>Presente 2026 y corto (2027–2029)</x:v>
      </x:c>
      <x:c r="Y243" s="366" t="str">
        <x:v>Actual</x:v>
      </x:c>
      <x:c r="Z243" s="366" t="str">
        <x:v>12 meses</x:v>
      </x:c>
      <x:c r="AA243" s="366" t="str">
        <x:v>AIOps, FinOps/GreenOps, process mining, organizaciones aumentadas y gobierno de agentes.</x:v>
      </x:c>
    </x:row>
    <x:row r="244" ht="58" customHeight="1">
      <x:c r="A244" s="351" t="str">
        <x:v>ISM-014</x:v>
      </x:c>
      <x:c r="B244" s="351" t="n">
        <x:v>3</x:v>
      </x:c>
      <x:c r="C244" s="351" t="str">
        <x:v>Sistemas e ingeniería</x:v>
      </x:c>
      <x:c r="D244" s="351" t="str">
        <x:v>Sistemas empresariales y gestión</x:v>
      </x:c>
      <x:c r="E244" s="351" t="str">
        <x:v>Sistemas de información y gestión TI</x:v>
      </x:c>
      <x:c r="F244" s="351" t="str">
        <x:v>Help Desk, incidentes y problemas</x:v>
      </x:c>
      <x:c r="G244" s="351" t="str">
        <x:v>Help Desk, incidentes y problemas. Alineación negocio–tecnología, procesos, arquitectura, control, servicio y transformación.</x:v>
      </x:c>
      <x:c r="H244" s="351" t="str">
        <x:v>ISM-013</x:v>
      </x:c>
      <x:c r="I244" s="351" t="str">
        <x:v>Dominio profesional</x:v>
      </x:c>
      <x:c r="J244" s="351" t="n">
        <x:v>2</x:v>
      </x:c>
      <x:c r="K244" s="351" t="n">
        <x:v>28</x:v>
      </x:c>
      <x:c r="L244" s="351" t="n">
        <x:v>36</x:v>
      </x:c>
      <x:c r="M244" s="351" t="n">
        <x:v>20</x:v>
      </x:c>
      <x:c r="N244" s="352" t="n">
        <x:f>SUM(K244:M244)</x:f>
        <x:v>84</x:v>
      </x:c>
      <x:c r="O244" s="353" t="n">
        <x:f>N244/25</x:f>
        <x:v>3.36</x:v>
      </x:c>
      <x:c r="P244" s="351" t="str">
        <x:v>Caso empresarial y arquitectura: Help Desk, incidentes y problemas.</x:v>
      </x:c>
      <x:c r="Q244" s="351" t="str">
        <x:v>S02; S03; S05; S06; S22; S34</x:v>
      </x:c>
      <x:c r="R244" s="351" t="str">
        <x:v>No iniciado</x:v>
      </x:c>
      <x:c r="S244" s="354" t="n">
        <x:v>0</x:v>
      </x:c>
      <x:c r="T244" s="355"/>
      <x:c r="U244" s="355"/>
      <x:c r="V244" s="351" t="str">
        <x:v>Evoluciona desde contabilidad y procesamiento de datos hacia ERP, plataformas y gobierno digital.</x:v>
      </x:c>
      <x:c r="W244" s="351" t="str">
        <x:v>Alta: práctica vigente</x:v>
      </x:c>
      <x:c r="X244" s="351" t="str">
        <x:v>Presente 2026 y corto (2027–2029)</x:v>
      </x:c>
      <x:c r="Y244" s="351" t="str">
        <x:v>Actual</x:v>
      </x:c>
      <x:c r="Z244" s="351" t="str">
        <x:v>12 meses</x:v>
      </x:c>
      <x:c r="AA244" s="351" t="str">
        <x:v>AIOps, FinOps/GreenOps, process mining, organizaciones aumentadas y gobierno de agentes.</x:v>
      </x:c>
    </x:row>
    <x:row r="245" ht="58" customHeight="1">
      <x:c r="A245" s="366" t="str">
        <x:v>SYS-007</x:v>
      </x:c>
      <x:c r="B245" s="366" t="n">
        <x:v>3</x:v>
      </x:c>
      <x:c r="C245" s="366" t="str">
        <x:v>Sistemas e ingeniería</x:v>
      </x:c>
      <x:c r="D245" s="366" t="str">
        <x:v>Sistemas computacionales</x:v>
      </x:c>
      <x:c r="E245" s="366" t="str">
        <x:v>Sistemas y arquitectura</x:v>
      </x:c>
      <x:c r="F245" s="366" t="str">
        <x:v>Virtualización e hipervisores</x:v>
      </x:c>
      <x:c r="G245" s="366" t="str">
        <x:v>Virtualización e hipervisores. Funcionamiento interno, diseño, medición de rendimiento y laboratorios reproducibles.</x:v>
      </x:c>
      <x:c r="H245" s="366" t="str">
        <x:v>SYS-006</x:v>
      </x:c>
      <x:c r="I245" s="366" t="str">
        <x:v>Núcleo esencial</x:v>
      </x:c>
      <x:c r="J245" s="366" t="n">
        <x:v>1</x:v>
      </x:c>
      <x:c r="K245" s="366" t="n">
        <x:v>36</x:v>
      </x:c>
      <x:c r="L245" s="366" t="n">
        <x:v>42</x:v>
      </x:c>
      <x:c r="M245" s="366" t="n">
        <x:v>22</x:v>
      </x:c>
      <x:c r="N245" s="367" t="n">
        <x:f>SUM(K245:M245)</x:f>
        <x:v>100</x:v>
      </x:c>
      <x:c r="O245" s="368" t="n">
        <x:f>N245/25</x:f>
        <x:v>4</x:v>
      </x:c>
      <x:c r="P245" s="366" t="str">
        <x:v>Laboratorio de sistema: Virtualización e hipervisores.</x:v>
      </x:c>
      <x:c r="Q245" s="366" t="str">
        <x:v>S01; S02; S09; S13; S16; S17; S20</x:v>
      </x:c>
      <x:c r="R245" s="366" t="str">
        <x:v>No iniciado</x:v>
      </x:c>
      <x:c r="S245" s="369" t="n">
        <x:v>0</x:v>
      </x:c>
      <x:c r="T245" s="370"/>
      <x:c r="U245" s="370"/>
      <x:c r="V245" s="366" t="str">
        <x:v>Evoluciona desde relés y válvulas hacia transistores, circuitos integrados y sistemas heterogéneos.</x:v>
      </x:c>
      <x:c r="W245" s="366" t="str">
        <x:v>Muy alta: fundamento durable</x:v>
      </x:c>
      <x:c r="X245" s="366" t="str">
        <x:v>Transversal permanente</x:v>
      </x:c>
      <x:c r="Y245" s="366" t="str">
        <x:v>Consolidada</x:v>
      </x:c>
      <x:c r="Z245" s="366" t="str">
        <x:v>24 meses</x:v>
      </x:c>
      <x:c r="AA245" s="366" t="str">
        <x:v>Chiplets, RISC-V, memoria desagregada, aceleradores, fotónica, neuromórfica y eficiencia energética.</x:v>
      </x:c>
    </x:row>
    <x:row r="246" ht="58" customHeight="1">
      <x:c r="A246" s="351" t="str">
        <x:v>SYS-008</x:v>
      </x:c>
      <x:c r="B246" s="351" t="n">
        <x:v>3</x:v>
      </x:c>
      <x:c r="C246" s="351" t="str">
        <x:v>Sistemas e ingeniería</x:v>
      </x:c>
      <x:c r="D246" s="351" t="str">
        <x:v>Sistemas computacionales</x:v>
      </x:c>
      <x:c r="E246" s="351" t="str">
        <x:v>Sistemas y arquitectura</x:v>
      </x:c>
      <x:c r="F246" s="351" t="str">
        <x:v>Contenedores desde fundamentos</x:v>
      </x:c>
      <x:c r="G246" s="351" t="str">
        <x:v>Contenedores desde fundamentos. Funcionamiento interno, diseño, medición de rendimiento y laboratorios reproducibles.</x:v>
      </x:c>
      <x:c r="H246" s="351" t="str">
        <x:v>SYS-007</x:v>
      </x:c>
      <x:c r="I246" s="351" t="str">
        <x:v>Núcleo esencial</x:v>
      </x:c>
      <x:c r="J246" s="351" t="n">
        <x:v>1</x:v>
      </x:c>
      <x:c r="K246" s="351" t="n">
        <x:v>36</x:v>
      </x:c>
      <x:c r="L246" s="351" t="n">
        <x:v>42</x:v>
      </x:c>
      <x:c r="M246" s="351" t="n">
        <x:v>22</x:v>
      </x:c>
      <x:c r="N246" s="352" t="n">
        <x:f>SUM(K246:M246)</x:f>
        <x:v>100</x:v>
      </x:c>
      <x:c r="O246" s="353" t="n">
        <x:f>N246/25</x:f>
        <x:v>4</x:v>
      </x:c>
      <x:c r="P246" s="351" t="str">
        <x:v>Laboratorio de sistema: Contenedores desde fundamentos.</x:v>
      </x:c>
      <x:c r="Q246" s="351" t="str">
        <x:v>S01; S02; S09; S13; S16; S17; S20</x:v>
      </x:c>
      <x:c r="R246" s="351" t="str">
        <x:v>No iniciado</x:v>
      </x:c>
      <x:c r="S246" s="354" t="n">
        <x:v>0</x:v>
      </x:c>
      <x:c r="T246" s="355"/>
      <x:c r="U246" s="355"/>
      <x:c r="V246" s="351" t="str">
        <x:v>Evoluciona desde relés y válvulas hacia transistores, circuitos integrados y sistemas heterogéneos.</x:v>
      </x:c>
      <x:c r="W246" s="351" t="str">
        <x:v>Muy alta: fundamento durable</x:v>
      </x:c>
      <x:c r="X246" s="351" t="str">
        <x:v>Transversal permanente</x:v>
      </x:c>
      <x:c r="Y246" s="351" t="str">
        <x:v>Consolidada</x:v>
      </x:c>
      <x:c r="Z246" s="351" t="str">
        <x:v>24 meses</x:v>
      </x:c>
      <x:c r="AA246" s="351" t="str">
        <x:v>Chiplets, RISC-V, memoria desagregada, aceleradores, fotónica, neuromórfica y eficiencia energética.</x:v>
      </x:c>
    </x:row>
    <x:row r="247" ht="58" customHeight="1">
      <x:c r="A247" s="366" t="str">
        <x:v>SYS-009</x:v>
      </x:c>
      <x:c r="B247" s="366" t="n">
        <x:v>3</x:v>
      </x:c>
      <x:c r="C247" s="366" t="str">
        <x:v>Sistemas e ingeniería</x:v>
      </x:c>
      <x:c r="D247" s="366" t="str">
        <x:v>Sistemas computacionales</x:v>
      </x:c>
      <x:c r="E247" s="366" t="str">
        <x:v>Sistemas y arquitectura</x:v>
      </x:c>
      <x:c r="F247" s="366" t="str">
        <x:v>Sistemas distribuidos I</x:v>
      </x:c>
      <x:c r="G247" s="366" t="str">
        <x:v>Sistemas distribuidos I. Funcionamiento interno, diseño, medición de rendimiento y laboratorios reproducibles.</x:v>
      </x:c>
      <x:c r="H247" s="366" t="str">
        <x:v>SYS-008</x:v>
      </x:c>
      <x:c r="I247" s="366" t="str">
        <x:v>Núcleo esencial</x:v>
      </x:c>
      <x:c r="J247" s="366" t="n">
        <x:v>1</x:v>
      </x:c>
      <x:c r="K247" s="366" t="n">
        <x:v>36</x:v>
      </x:c>
      <x:c r="L247" s="366" t="n">
        <x:v>42</x:v>
      </x:c>
      <x:c r="M247" s="366" t="n">
        <x:v>22</x:v>
      </x:c>
      <x:c r="N247" s="367" t="n">
        <x:f>SUM(K247:M247)</x:f>
        <x:v>100</x:v>
      </x:c>
      <x:c r="O247" s="368" t="n">
        <x:f>N247/25</x:f>
        <x:v>4</x:v>
      </x:c>
      <x:c r="P247" s="366" t="str">
        <x:v>Laboratorio de sistema: Sistemas distribuidos I.</x:v>
      </x:c>
      <x:c r="Q247" s="366" t="str">
        <x:v>S01; S02; S09; S13; S16; S17; S20</x:v>
      </x:c>
      <x:c r="R247" s="366" t="str">
        <x:v>No iniciado</x:v>
      </x:c>
      <x:c r="S247" s="369" t="n">
        <x:v>0</x:v>
      </x:c>
      <x:c r="T247" s="370"/>
      <x:c r="U247" s="370"/>
      <x:c r="V247" s="366" t="str">
        <x:v>Evoluciona desde relés y válvulas hacia transistores, circuitos integrados y sistemas heterogéneos.</x:v>
      </x:c>
      <x:c r="W247" s="366" t="str">
        <x:v>Muy alta: fundamento durable</x:v>
      </x:c>
      <x:c r="X247" s="366" t="str">
        <x:v>Transversal permanente</x:v>
      </x:c>
      <x:c r="Y247" s="366" t="str">
        <x:v>Consolidada</x:v>
      </x:c>
      <x:c r="Z247" s="366" t="str">
        <x:v>24 meses</x:v>
      </x:c>
      <x:c r="AA247" s="366" t="str">
        <x:v>Chiplets, RISC-V, memoria desagregada, aceleradores, fotónica, neuromórfica y eficiencia energética.</x:v>
      </x:c>
    </x:row>
    <x:row r="248" ht="58" customHeight="1">
      <x:c r="A248" s="351" t="str">
        <x:v>SYS-010</x:v>
      </x:c>
      <x:c r="B248" s="351" t="n">
        <x:v>3</x:v>
      </x:c>
      <x:c r="C248" s="351" t="str">
        <x:v>Sistemas e ingeniería</x:v>
      </x:c>
      <x:c r="D248" s="351" t="str">
        <x:v>Sistemas computacionales</x:v>
      </x:c>
      <x:c r="E248" s="351" t="str">
        <x:v>Sistemas y arquitectura</x:v>
      </x:c>
      <x:c r="F248" s="351" t="str">
        <x:v>Sistemas distribuidos II</x:v>
      </x:c>
      <x:c r="G248" s="351" t="str">
        <x:v>Sistemas distribuidos II. Funcionamiento interno, diseño, medición de rendimiento y laboratorios reproducibles.</x:v>
      </x:c>
      <x:c r="H248" s="351" t="str">
        <x:v>SYS-009</x:v>
      </x:c>
      <x:c r="I248" s="351" t="str">
        <x:v>Núcleo esencial</x:v>
      </x:c>
      <x:c r="J248" s="351" t="n">
        <x:v>1</x:v>
      </x:c>
      <x:c r="K248" s="351" t="n">
        <x:v>36</x:v>
      </x:c>
      <x:c r="L248" s="351" t="n">
        <x:v>42</x:v>
      </x:c>
      <x:c r="M248" s="351" t="n">
        <x:v>22</x:v>
      </x:c>
      <x:c r="N248" s="352" t="n">
        <x:f>SUM(K248:M248)</x:f>
        <x:v>100</x:v>
      </x:c>
      <x:c r="O248" s="353" t="n">
        <x:f>N248/25</x:f>
        <x:v>4</x:v>
      </x:c>
      <x:c r="P248" s="351" t="str">
        <x:v>Laboratorio de sistema: Sistemas distribuidos II.</x:v>
      </x:c>
      <x:c r="Q248" s="351" t="str">
        <x:v>S01; S02; S09; S13; S16; S17; S20</x:v>
      </x:c>
      <x:c r="R248" s="351" t="str">
        <x:v>No iniciado</x:v>
      </x:c>
      <x:c r="S248" s="354" t="n">
        <x:v>0</x:v>
      </x:c>
      <x:c r="T248" s="355"/>
      <x:c r="U248" s="355"/>
      <x:c r="V248" s="351" t="str">
        <x:v>Evoluciona desde relés y válvulas hacia transistores, circuitos integrados y sistemas heterogéneos.</x:v>
      </x:c>
      <x:c r="W248" s="351" t="str">
        <x:v>Muy alta: fundamento durable</x:v>
      </x:c>
      <x:c r="X248" s="351" t="str">
        <x:v>Transversal permanente</x:v>
      </x:c>
      <x:c r="Y248" s="351" t="str">
        <x:v>Consolidada</x:v>
      </x:c>
      <x:c r="Z248" s="351" t="str">
        <x:v>24 meses</x:v>
      </x:c>
      <x:c r="AA248" s="351" t="str">
        <x:v>Chiplets, RISC-V, memoria desagregada, aceleradores, fotónica, neuromórfica y eficiencia energética.</x:v>
      </x:c>
    </x:row>
    <x:row r="249" ht="58" customHeight="1">
      <x:c r="A249" s="366" t="str">
        <x:v>SYS-011</x:v>
      </x:c>
      <x:c r="B249" s="366" t="n">
        <x:v>3</x:v>
      </x:c>
      <x:c r="C249" s="366" t="str">
        <x:v>Sistemas e ingeniería</x:v>
      </x:c>
      <x:c r="D249" s="366" t="str">
        <x:v>Sistemas computacionales</x:v>
      </x:c>
      <x:c r="E249" s="366" t="str">
        <x:v>Sistemas y arquitectura</x:v>
      </x:c>
      <x:c r="F249" s="366" t="str">
        <x:v>Sistemas en tiempo real</x:v>
      </x:c>
      <x:c r="G249" s="366" t="str">
        <x:v>Sistemas en tiempo real. Funcionamiento interno, diseño, medición de rendimiento y laboratorios reproducibles.</x:v>
      </x:c>
      <x:c r="H249" s="366" t="str">
        <x:v>SYS-010</x:v>
      </x:c>
      <x:c r="I249" s="366" t="str">
        <x:v>Núcleo esencial</x:v>
      </x:c>
      <x:c r="J249" s="366" t="n">
        <x:v>1</x:v>
      </x:c>
      <x:c r="K249" s="366" t="n">
        <x:v>36</x:v>
      </x:c>
      <x:c r="L249" s="366" t="n">
        <x:v>42</x:v>
      </x:c>
      <x:c r="M249" s="366" t="n">
        <x:v>22</x:v>
      </x:c>
      <x:c r="N249" s="367" t="n">
        <x:f>SUM(K249:M249)</x:f>
        <x:v>100</x:v>
      </x:c>
      <x:c r="O249" s="368" t="n">
        <x:f>N249/25</x:f>
        <x:v>4</x:v>
      </x:c>
      <x:c r="P249" s="366" t="str">
        <x:v>Laboratorio de sistema: Sistemas en tiempo real.</x:v>
      </x:c>
      <x:c r="Q249" s="366" t="str">
        <x:v>S01; S02; S09; S13; S16; S17; S20</x:v>
      </x:c>
      <x:c r="R249" s="366" t="str">
        <x:v>No iniciado</x:v>
      </x:c>
      <x:c r="S249" s="369" t="n">
        <x:v>0</x:v>
      </x:c>
      <x:c r="T249" s="370"/>
      <x:c r="U249" s="370"/>
      <x:c r="V249" s="366" t="str">
        <x:v>Evoluciona desde relés y válvulas hacia transistores, circuitos integrados y sistemas heterogéneos.</x:v>
      </x:c>
      <x:c r="W249" s="366" t="str">
        <x:v>Muy alta: fundamento durable</x:v>
      </x:c>
      <x:c r="X249" s="366" t="str">
        <x:v>Transversal permanente</x:v>
      </x:c>
      <x:c r="Y249" s="366" t="str">
        <x:v>Consolidada</x:v>
      </x:c>
      <x:c r="Z249" s="366" t="str">
        <x:v>24 meses</x:v>
      </x:c>
      <x:c r="AA249" s="366" t="str">
        <x:v>Chiplets, RISC-V, memoria desagregada, aceleradores, fotónica, neuromórfica y eficiencia energética.</x:v>
      </x:c>
    </x:row>
    <x:row r="250" ht="58" customHeight="1">
      <x:c r="A250" s="351" t="str">
        <x:v>SYS-012</x:v>
      </x:c>
      <x:c r="B250" s="351" t="n">
        <x:v>3</x:v>
      </x:c>
      <x:c r="C250" s="351" t="str">
        <x:v>Sistemas e ingeniería</x:v>
      </x:c>
      <x:c r="D250" s="351" t="str">
        <x:v>Sistemas computacionales</x:v>
      </x:c>
      <x:c r="E250" s="351" t="str">
        <x:v>Sistemas y arquitectura</x:v>
      </x:c>
      <x:c r="F250" s="351" t="str">
        <x:v>Sistemas embebidos</x:v>
      </x:c>
      <x:c r="G250" s="351" t="str">
        <x:v>Sistemas embebidos. Funcionamiento interno, diseño, medición de rendimiento y laboratorios reproducibles.</x:v>
      </x:c>
      <x:c r="H250" s="351" t="str">
        <x:v>SYS-011</x:v>
      </x:c>
      <x:c r="I250" s="351" t="str">
        <x:v>Núcleo esencial</x:v>
      </x:c>
      <x:c r="J250" s="351" t="n">
        <x:v>1</x:v>
      </x:c>
      <x:c r="K250" s="351" t="n">
        <x:v>36</x:v>
      </x:c>
      <x:c r="L250" s="351" t="n">
        <x:v>42</x:v>
      </x:c>
      <x:c r="M250" s="351" t="n">
        <x:v>22</x:v>
      </x:c>
      <x:c r="N250" s="352" t="n">
        <x:f>SUM(K250:M250)</x:f>
        <x:v>100</x:v>
      </x:c>
      <x:c r="O250" s="353" t="n">
        <x:f>N250/25</x:f>
        <x:v>4</x:v>
      </x:c>
      <x:c r="P250" s="351" t="str">
        <x:v>Laboratorio de sistema: Sistemas embebidos.</x:v>
      </x:c>
      <x:c r="Q250" s="351" t="str">
        <x:v>S01; S02; S09; S13; S16; S17; S20</x:v>
      </x:c>
      <x:c r="R250" s="351" t="str">
        <x:v>No iniciado</x:v>
      </x:c>
      <x:c r="S250" s="354" t="n">
        <x:v>0</x:v>
      </x:c>
      <x:c r="T250" s="355"/>
      <x:c r="U250" s="355"/>
      <x:c r="V250" s="351" t="str">
        <x:v>Evoluciona desde relés y válvulas hacia transistores, circuitos integrados y sistemas heterogéneos.</x:v>
      </x:c>
      <x:c r="W250" s="351" t="str">
        <x:v>Muy alta: fundamento durable</x:v>
      </x:c>
      <x:c r="X250" s="351" t="str">
        <x:v>Transversal permanente</x:v>
      </x:c>
      <x:c r="Y250" s="351" t="str">
        <x:v>Consolidada</x:v>
      </x:c>
      <x:c r="Z250" s="351" t="str">
        <x:v>24 meses</x:v>
      </x:c>
      <x:c r="AA250" s="351" t="str">
        <x:v>Chiplets, RISC-V, memoria desagregada, aceleradores, fotónica, neuromórfica y eficiencia energética.</x:v>
      </x:c>
    </x:row>
    <x:row r="251" ht="58" customHeight="1">
      <x:c r="A251" s="366" t="str">
        <x:v>REP-015</x:v>
      </x:c>
      <x:c r="B251" s="366" t="n">
        <x:v>3</x:v>
      </x:c>
      <x:c r="C251" s="366" t="str">
        <x:v>Sistemas e ingeniería</x:v>
      </x:c>
      <x:c r="D251" s="366" t="str">
        <x:v>Soporte técnico y reparación</x:v>
      </x:c>
      <x:c r="E251" s="366" t="str">
        <x:v>Soporte y reparación</x:v>
      </x:c>
      <x:c r="F251" s="366" t="str">
        <x:v>Firmware, BIOS/UEFI y flasheo seguro</x:v>
      </x:c>
      <x:c r="G251" s="366" t="str">
        <x:v>Firmware, BIOS/UEFI y flasheo seguro. Diagnóstico sistemático, ESD, herramientas correctas, documentación, datos y seguridad del usuario.</x:v>
      </x:c>
      <x:c r="H251" s="366" t="str">
        <x:v>REP-014</x:v>
      </x:c>
      <x:c r="I251" s="366" t="str">
        <x:v>Dominio profesional</x:v>
      </x:c>
      <x:c r="J251" s="366" t="n">
        <x:v>2</x:v>
      </x:c>
      <x:c r="K251" s="366" t="n">
        <x:v>20</x:v>
      </x:c>
      <x:c r="L251" s="366" t="n">
        <x:v>52</x:v>
      </x:c>
      <x:c r="M251" s="366" t="n">
        <x:v>20</x:v>
      </x:c>
      <x:c r="N251" s="367" t="n">
        <x:f>SUM(K251:M251)</x:f>
        <x:v>92</x:v>
      </x:c>
      <x:c r="O251" s="368" t="n">
        <x:f>N251/25</x:f>
        <x:v>3.68</x:v>
      </x:c>
      <x:c r="P251" s="366" t="str">
        <x:v>Orden de servicio con pruebas antes/después: Firmware, BIOS/UEFI y flasheo seguro.</x:v>
      </x:c>
      <x:c r="Q251" s="366" t="str">
        <x:v>S03; S47; S48</x:v>
      </x:c>
      <x:c r="R251" s="366" t="str">
        <x:v>No iniciado</x:v>
      </x:c>
      <x:c r="S251" s="369" t="n">
        <x:v>0</x:v>
      </x:c>
      <x:c r="T251" s="370"/>
      <x:c r="U251" s="370"/>
      <x:c r="V251" s="366" t="str">
        <x:v>Nace del mantenimiento electromecánico y electrónico y se adapta a dispositivos integrados y móviles.</x:v>
      </x:c>
      <x:c r="W251" s="366" t="str">
        <x:v>Alta: práctica vigente</x:v>
      </x:c>
      <x:c r="X251" s="366" t="str">
        <x:v>Presente 2026 y corto (2027–2029)</x:v>
      </x:c>
      <x:c r="Y251" s="366" t="str">
        <x:v>Actual</x:v>
      </x:c>
      <x:c r="Z251" s="366" t="str">
        <x:v>12 meses</x:v>
      </x:c>
      <x:c r="AA251" s="366" t="str">
        <x:v>Diagnóstico asistido, modularidad, derecho a reparar, circularidad, baterías y reparación de alta integración.</x:v>
      </x:c>
    </x:row>
    <x:row r="252" ht="58" customHeight="1">
      <x:c r="A252" s="351" t="str">
        <x:v>REP-016</x:v>
      </x:c>
      <x:c r="B252" s="351" t="n">
        <x:v>3</x:v>
      </x:c>
      <x:c r="C252" s="351" t="str">
        <x:v>Sistemas e ingeniería</x:v>
      </x:c>
      <x:c r="D252" s="351" t="str">
        <x:v>Soporte técnico y reparación</x:v>
      </x:c>
      <x:c r="E252" s="351" t="str">
        <x:v>Soporte y reparación</x:v>
      </x:c>
      <x:c r="F252" s="351" t="str">
        <x:v>Gestión de repuestos, garantías y calidad</x:v>
      </x:c>
      <x:c r="G252" s="351" t="str">
        <x:v>Gestión de repuestos, garantías y calidad. Diagnóstico sistemático, ESD, herramientas correctas, documentación, datos y seguridad del usuario.</x:v>
      </x:c>
      <x:c r="H252" s="351" t="str">
        <x:v>REP-015</x:v>
      </x:c>
      <x:c r="I252" s="351" t="str">
        <x:v>Dominio profesional</x:v>
      </x:c>
      <x:c r="J252" s="351" t="n">
        <x:v>2</x:v>
      </x:c>
      <x:c r="K252" s="351" t="n">
        <x:v>20</x:v>
      </x:c>
      <x:c r="L252" s="351" t="n">
        <x:v>52</x:v>
      </x:c>
      <x:c r="M252" s="351" t="n">
        <x:v>20</x:v>
      </x:c>
      <x:c r="N252" s="352" t="n">
        <x:f>SUM(K252:M252)</x:f>
        <x:v>92</x:v>
      </x:c>
      <x:c r="O252" s="353" t="n">
        <x:f>N252/25</x:f>
        <x:v>3.68</x:v>
      </x:c>
      <x:c r="P252" s="351" t="str">
        <x:v>Orden de servicio con pruebas antes/después: Gestión de repuestos, garantías y calidad.</x:v>
      </x:c>
      <x:c r="Q252" s="351" t="str">
        <x:v>S03; S47; S48</x:v>
      </x:c>
      <x:c r="R252" s="351" t="str">
        <x:v>No iniciado</x:v>
      </x:c>
      <x:c r="S252" s="354" t="n">
        <x:v>0</x:v>
      </x:c>
      <x:c r="T252" s="355"/>
      <x:c r="U252" s="355"/>
      <x:c r="V252" s="351" t="str">
        <x:v>Nace del mantenimiento electromecánico y electrónico y se adapta a dispositivos integrados y móviles.</x:v>
      </x:c>
      <x:c r="W252" s="351" t="str">
        <x:v>Alta: práctica vigente</x:v>
      </x:c>
      <x:c r="X252" s="351" t="str">
        <x:v>Presente 2026 y corto (2027–2029)</x:v>
      </x:c>
      <x:c r="Y252" s="351" t="str">
        <x:v>Actual</x:v>
      </x:c>
      <x:c r="Z252" s="351" t="str">
        <x:v>12 meses</x:v>
      </x:c>
      <x:c r="AA252" s="351" t="str">
        <x:v>Diagnóstico asistido, modularidad, derecho a reparar, circularidad, baterías y reparación de alta integración.</x:v>
      </x:c>
    </x:row>
    <x:row r="253" ht="58" customHeight="1">
      <x:c r="A253" s="366" t="str">
        <x:v>REP-017</x:v>
      </x:c>
      <x:c r="B253" s="366" t="n">
        <x:v>3</x:v>
      </x:c>
      <x:c r="C253" s="366" t="str">
        <x:v>Sistemas e ingeniería</x:v>
      </x:c>
      <x:c r="D253" s="366" t="str">
        <x:v>Soporte técnico y reparación</x:v>
      </x:c>
      <x:c r="E253" s="366" t="str">
        <x:v>Soporte y reparación</x:v>
      </x:c>
      <x:c r="F253" s="366" t="str">
        <x:v>Seguridad ESD, baterías y residuos electrónicos</x:v>
      </x:c>
      <x:c r="G253" s="366" t="str">
        <x:v>Seguridad ESD, baterías y residuos electrónicos. Diagnóstico sistemático, ESD, herramientas correctas, documentación, datos y seguridad del usuario.</x:v>
      </x:c>
      <x:c r="H253" s="366" t="str">
        <x:v>REP-016</x:v>
      </x:c>
      <x:c r="I253" s="366" t="str">
        <x:v>Dominio profesional</x:v>
      </x:c>
      <x:c r="J253" s="366" t="n">
        <x:v>2</x:v>
      </x:c>
      <x:c r="K253" s="366" t="n">
        <x:v>20</x:v>
      </x:c>
      <x:c r="L253" s="366" t="n">
        <x:v>52</x:v>
      </x:c>
      <x:c r="M253" s="366" t="n">
        <x:v>20</x:v>
      </x:c>
      <x:c r="N253" s="367" t="n">
        <x:f>SUM(K253:M253)</x:f>
        <x:v>92</x:v>
      </x:c>
      <x:c r="O253" s="368" t="n">
        <x:f>N253/25</x:f>
        <x:v>3.68</x:v>
      </x:c>
      <x:c r="P253" s="366" t="str">
        <x:v>Orden de servicio con pruebas antes/después: Seguridad ESD, baterías y residuos electrónicos.</x:v>
      </x:c>
      <x:c r="Q253" s="366" t="str">
        <x:v>S03; S47; S48</x:v>
      </x:c>
      <x:c r="R253" s="366" t="str">
        <x:v>No iniciado</x:v>
      </x:c>
      <x:c r="S253" s="369" t="n">
        <x:v>0</x:v>
      </x:c>
      <x:c r="T253" s="370"/>
      <x:c r="U253" s="370"/>
      <x:c r="V253" s="366" t="str">
        <x:v>Nace del mantenimiento electromecánico y electrónico y se adapta a dispositivos integrados y móviles.</x:v>
      </x:c>
      <x:c r="W253" s="366" t="str">
        <x:v>Alta: práctica vigente</x:v>
      </x:c>
      <x:c r="X253" s="366" t="str">
        <x:v>Presente 2026 y corto (2027–2029)</x:v>
      </x:c>
      <x:c r="Y253" s="366" t="str">
        <x:v>Actual</x:v>
      </x:c>
      <x:c r="Z253" s="366" t="str">
        <x:v>12 meses</x:v>
      </x:c>
      <x:c r="AA253" s="366" t="str">
        <x:v>Diagnóstico asistido, modularidad, derecho a reparar, circularidad, baterías y reparación de alta integración.</x:v>
      </x:c>
    </x:row>
    <x:row r="254" ht="58" customHeight="1">
      <x:c r="A254" s="351" t="str">
        <x:v>REP-018</x:v>
      </x:c>
      <x:c r="B254" s="351" t="n">
        <x:v>3</x:v>
      </x:c>
      <x:c r="C254" s="351" t="str">
        <x:v>Sistemas e ingeniería</x:v>
      </x:c>
      <x:c r="D254" s="351" t="str">
        <x:v>Soporte técnico y reparación</x:v>
      </x:c>
      <x:c r="E254" s="351" t="str">
        <x:v>Soporte y reparación</x:v>
      </x:c>
      <x:c r="F254" s="351" t="str">
        <x:v>Atención al cliente y documentación técnica</x:v>
      </x:c>
      <x:c r="G254" s="351" t="str">
        <x:v>Atención al cliente y documentación técnica. Diagnóstico sistemático, ESD, herramientas correctas, documentación, datos y seguridad del usuario.</x:v>
      </x:c>
      <x:c r="H254" s="351" t="str">
        <x:v>REP-017</x:v>
      </x:c>
      <x:c r="I254" s="351" t="str">
        <x:v>Dominio profesional</x:v>
      </x:c>
      <x:c r="J254" s="351" t="n">
        <x:v>2</x:v>
      </x:c>
      <x:c r="K254" s="351" t="n">
        <x:v>20</x:v>
      </x:c>
      <x:c r="L254" s="351" t="n">
        <x:v>52</x:v>
      </x:c>
      <x:c r="M254" s="351" t="n">
        <x:v>20</x:v>
      </x:c>
      <x:c r="N254" s="352" t="n">
        <x:f>SUM(K254:M254)</x:f>
        <x:v>92</x:v>
      </x:c>
      <x:c r="O254" s="353" t="n">
        <x:f>N254/25</x:f>
        <x:v>3.68</x:v>
      </x:c>
      <x:c r="P254" s="351" t="str">
        <x:v>Orden de servicio con pruebas antes/después: Atención al cliente y documentación técnica.</x:v>
      </x:c>
      <x:c r="Q254" s="351" t="str">
        <x:v>S03; S47; S48</x:v>
      </x:c>
      <x:c r="R254" s="351" t="str">
        <x:v>No iniciado</x:v>
      </x:c>
      <x:c r="S254" s="354" t="n">
        <x:v>0</x:v>
      </x:c>
      <x:c r="T254" s="355"/>
      <x:c r="U254" s="355"/>
      <x:c r="V254" s="351" t="str">
        <x:v>Nace del mantenimiento electromecánico y electrónico y se adapta a dispositivos integrados y móviles.</x:v>
      </x:c>
      <x:c r="W254" s="351" t="str">
        <x:v>Alta: práctica vigente</x:v>
      </x:c>
      <x:c r="X254" s="351" t="str">
        <x:v>Presente 2026 y corto (2027–2029)</x:v>
      </x:c>
      <x:c r="Y254" s="351" t="str">
        <x:v>Actual</x:v>
      </x:c>
      <x:c r="Z254" s="351" t="str">
        <x:v>12 meses</x:v>
      </x:c>
      <x:c r="AA254" s="351" t="str">
        <x:v>Diagnóstico asistido, modularidad, derecho a reparar, circularidad, baterías y reparación de alta integración.</x:v>
      </x:c>
    </x:row>
    <x:row r="255" ht="58" customHeight="1">
      <x:c r="A255" s="366" t="str">
        <x:v>REP-019</x:v>
      </x:c>
      <x:c r="B255" s="366" t="n">
        <x:v>3</x:v>
      </x:c>
      <x:c r="C255" s="366" t="str">
        <x:v>Sistemas e ingeniería</x:v>
      </x:c>
      <x:c r="D255" s="366" t="str">
        <x:v>Soporte técnico y reparación</x:v>
      </x:c>
      <x:c r="E255" s="366" t="str">
        <x:v>Soporte y reparación</x:v>
      </x:c>
      <x:c r="F255" s="366" t="str">
        <x:v>Soporte remoto y administración de endpoints</x:v>
      </x:c>
      <x:c r="G255" s="366" t="str">
        <x:v>Soporte remoto y administración de endpoints. Diagnóstico sistemático, ESD, herramientas correctas, documentación, datos y seguridad del usuario.</x:v>
      </x:c>
      <x:c r="H255" s="366" t="str">
        <x:v>REP-018</x:v>
      </x:c>
      <x:c r="I255" s="366" t="str">
        <x:v>Dominio profesional</x:v>
      </x:c>
      <x:c r="J255" s="366" t="n">
        <x:v>2</x:v>
      </x:c>
      <x:c r="K255" s="366" t="n">
        <x:v>20</x:v>
      </x:c>
      <x:c r="L255" s="366" t="n">
        <x:v>52</x:v>
      </x:c>
      <x:c r="M255" s="366" t="n">
        <x:v>20</x:v>
      </x:c>
      <x:c r="N255" s="367" t="n">
        <x:f>SUM(K255:M255)</x:f>
        <x:v>92</x:v>
      </x:c>
      <x:c r="O255" s="368" t="n">
        <x:f>N255/25</x:f>
        <x:v>3.68</x:v>
      </x:c>
      <x:c r="P255" s="366" t="str">
        <x:v>Orden de servicio con pruebas antes/después: Soporte remoto y administración de endpoints.</x:v>
      </x:c>
      <x:c r="Q255" s="366" t="str">
        <x:v>S03; S47; S48</x:v>
      </x:c>
      <x:c r="R255" s="366" t="str">
        <x:v>No iniciado</x:v>
      </x:c>
      <x:c r="S255" s="369" t="n">
        <x:v>0</x:v>
      </x:c>
      <x:c r="T255" s="370"/>
      <x:c r="U255" s="370"/>
      <x:c r="V255" s="366" t="str">
        <x:v>Nace del mantenimiento electromecánico y electrónico y se adapta a dispositivos integrados y móviles.</x:v>
      </x:c>
      <x:c r="W255" s="366" t="str">
        <x:v>Alta: práctica vigente</x:v>
      </x:c>
      <x:c r="X255" s="366" t="str">
        <x:v>Presente 2026 y corto (2027–2029)</x:v>
      </x:c>
      <x:c r="Y255" s="366" t="str">
        <x:v>Actual</x:v>
      </x:c>
      <x:c r="Z255" s="366" t="str">
        <x:v>12 meses</x:v>
      </x:c>
      <x:c r="AA255" s="366" t="str">
        <x:v>Diagnóstico asistido, modularidad, derecho a reparar, circularidad, baterías y reparación de alta integración.</x:v>
      </x:c>
    </x:row>
    <x:row r="256" ht="58" customHeight="1">
      <x:c r="A256" s="351" t="str">
        <x:v>REP-020</x:v>
      </x:c>
      <x:c r="B256" s="351" t="n">
        <x:v>3</x:v>
      </x:c>
      <x:c r="C256" s="351" t="str">
        <x:v>Sistemas e ingeniería</x:v>
      </x:c>
      <x:c r="D256" s="351" t="str">
        <x:v>Soporte técnico y reparación</x:v>
      </x:c>
      <x:c r="E256" s="351" t="str">
        <x:v>Soporte y reparación</x:v>
      </x:c>
      <x:c r="F256" s="351" t="str">
        <x:v>Laboratorio integral de reparación multimarca</x:v>
      </x:c>
      <x:c r="G256" s="351" t="str">
        <x:v>Laboratorio integral de reparación multimarca. Diagnóstico sistemático, ESD, herramientas correctas, documentación, datos y seguridad del usuario.</x:v>
      </x:c>
      <x:c r="H256" s="351" t="str">
        <x:v>REP-019</x:v>
      </x:c>
      <x:c r="I256" s="351" t="str">
        <x:v>Dominio profesional</x:v>
      </x:c>
      <x:c r="J256" s="351" t="n">
        <x:v>2</x:v>
      </x:c>
      <x:c r="K256" s="351" t="n">
        <x:v>20</x:v>
      </x:c>
      <x:c r="L256" s="351" t="n">
        <x:v>52</x:v>
      </x:c>
      <x:c r="M256" s="351" t="n">
        <x:v>20</x:v>
      </x:c>
      <x:c r="N256" s="352" t="n">
        <x:f>SUM(K256:M256)</x:f>
        <x:v>92</x:v>
      </x:c>
      <x:c r="O256" s="353" t="n">
        <x:f>N256/25</x:f>
        <x:v>3.68</x:v>
      </x:c>
      <x:c r="P256" s="351" t="str">
        <x:v>Orden de servicio con pruebas antes/después: Laboratorio integral de reparación multimarca.</x:v>
      </x:c>
      <x:c r="Q256" s="351" t="str">
        <x:v>S03; S47; S48</x:v>
      </x:c>
      <x:c r="R256" s="351" t="str">
        <x:v>No iniciado</x:v>
      </x:c>
      <x:c r="S256" s="354" t="n">
        <x:v>0</x:v>
      </x:c>
      <x:c r="T256" s="355"/>
      <x:c r="U256" s="355"/>
      <x:c r="V256" s="351" t="str">
        <x:v>Nace del mantenimiento electromecánico y electrónico y se adapta a dispositivos integrados y móviles.</x:v>
      </x:c>
      <x:c r="W256" s="351" t="str">
        <x:v>Alta: práctica vigente</x:v>
      </x:c>
      <x:c r="X256" s="351" t="str">
        <x:v>Presente 2026 y corto (2027–2029)</x:v>
      </x:c>
      <x:c r="Y256" s="351" t="str">
        <x:v>Actual</x:v>
      </x:c>
      <x:c r="Z256" s="351" t="str">
        <x:v>12 meses</x:v>
      </x:c>
      <x:c r="AA256" s="351" t="str">
        <x:v>Diagnóstico asistido, modularidad, derecho a reparar, circularidad, baterías y reparación de alta integración.</x:v>
      </x:c>
    </x:row>
    <x:row r="257" ht="58" customHeight="1">
      <x:c r="A257" s="366" t="str">
        <x:v>CYB-008</x:v>
      </x:c>
      <x:c r="B257" s="366" t="n">
        <x:v>4</x:v>
      </x:c>
      <x:c r="C257" s="366" t="str">
        <x:v>Integración profesional</x:v>
      </x:c>
      <x:c r="D257" s="366" t="str">
        <x:v>Seguridad defensiva y gobierno</x:v>
      </x:c>
      <x:c r="E257" s="366" t="str">
        <x:v>Ciberseguridad, forense y auditoría</x:v>
      </x:c>
      <x:c r="F257" s="366" t="str">
        <x:v>Seguridad web y APIs</x:v>
      </x:c>
      <x:c r="G257" s="366" t="str">
        <x:v>Seguridad web y APIs. Diseño de controles, laboratorios aislados, gestión de riesgo y evidencia auditable.</x:v>
      </x:c>
      <x:c r="H257" s="366" t="str">
        <x:v>CYB-007</x:v>
      </x:c>
      <x:c r="I257" s="366" t="str">
        <x:v>Dominio profesional</x:v>
      </x:c>
      <x:c r="J257" s="366" t="n">
        <x:v>2</x:v>
      </x:c>
      <x:c r="K257" s="366" t="n">
        <x:v>28</x:v>
      </x:c>
      <x:c r="L257" s="366" t="n">
        <x:v>36</x:v>
      </x:c>
      <x:c r="M257" s="366" t="n">
        <x:v>20</x:v>
      </x:c>
      <x:c r="N257" s="367" t="n">
        <x:f>SUM(K257:M257)</x:f>
        <x:v>84</x:v>
      </x:c>
      <x:c r="O257" s="368" t="n">
        <x:f>N257/25</x:f>
        <x:v>3.36</x:v>
      </x:c>
      <x:c r="P257" s="366" t="str">
        <x:v>Evaluación defensiva: Seguridad web y APIs.</x:v>
      </x:c>
      <x:c r="Q257" s="366" t="str">
        <x:v>S03; S05; S08; S33; S34; S36</x:v>
      </x:c>
      <x:c r="R257" s="366" t="str">
        <x:v>No iniciado</x:v>
      </x:c>
      <x:c r="S257" s="369" t="n">
        <x:v>0</x:v>
      </x:c>
      <x:c r="T257" s="370"/>
      <x:c r="U257" s="370"/>
      <x:c r="V257" s="366" t="str">
        <x:v>Evoluciona con sistemas multiusuario, criptografía, delitos digitales, regulación y gestión del riesgo.</x:v>
      </x:c>
      <x:c r="W257" s="366" t="str">
        <x:v>Alta: práctica vigente</x:v>
      </x:c>
      <x:c r="X257" s="366" t="str">
        <x:v>Presente 2026 y corto (2027–2029)</x:v>
      </x:c>
      <x:c r="Y257" s="366" t="str">
        <x:v>Actual</x:v>
      </x:c>
      <x:c r="Z257" s="366" t="str">
        <x:v>12 meses</x:v>
      </x:c>
      <x:c r="AA257" s="366" t="str">
        <x:v>Migración poscuántica, seguridad de IA, explotación activa, identidad, privacidad y resiliencia de proveedores.</x:v>
      </x:c>
    </x:row>
    <x:row r="258" ht="58" customHeight="1">
      <x:c r="A258" s="351" t="str">
        <x:v>CYB-009</x:v>
      </x:c>
      <x:c r="B258" s="351" t="n">
        <x:v>4</x:v>
      </x:c>
      <x:c r="C258" s="351" t="str">
        <x:v>Integración profesional</x:v>
      </x:c>
      <x:c r="D258" s="351" t="str">
        <x:v>Seguridad defensiva y gobierno</x:v>
      </x:c>
      <x:c r="E258" s="351" t="str">
        <x:v>Ciberseguridad, forense y auditoría</x:v>
      </x:c>
      <x:c r="F258" s="351" t="str">
        <x:v>Seguridad móvil</x:v>
      </x:c>
      <x:c r="G258" s="351" t="str">
        <x:v>Seguridad móvil. Diseño de controles, laboratorios aislados, gestión de riesgo y evidencia auditable.</x:v>
      </x:c>
      <x:c r="H258" s="351" t="str">
        <x:v>CYB-008</x:v>
      </x:c>
      <x:c r="I258" s="351" t="str">
        <x:v>Dominio profesional</x:v>
      </x:c>
      <x:c r="J258" s="351" t="n">
        <x:v>2</x:v>
      </x:c>
      <x:c r="K258" s="351" t="n">
        <x:v>28</x:v>
      </x:c>
      <x:c r="L258" s="351" t="n">
        <x:v>36</x:v>
      </x:c>
      <x:c r="M258" s="351" t="n">
        <x:v>20</x:v>
      </x:c>
      <x:c r="N258" s="352" t="n">
        <x:f>SUM(K258:M258)</x:f>
        <x:v>84</x:v>
      </x:c>
      <x:c r="O258" s="353" t="n">
        <x:f>N258/25</x:f>
        <x:v>3.36</x:v>
      </x:c>
      <x:c r="P258" s="351" t="str">
        <x:v>Evaluación defensiva: Seguridad móvil.</x:v>
      </x:c>
      <x:c r="Q258" s="351" t="str">
        <x:v>S03; S05; S08; S33; S34; S36</x:v>
      </x:c>
      <x:c r="R258" s="351" t="str">
        <x:v>No iniciado</x:v>
      </x:c>
      <x:c r="S258" s="354" t="n">
        <x:v>0</x:v>
      </x:c>
      <x:c r="T258" s="355"/>
      <x:c r="U258" s="355"/>
      <x:c r="V258" s="351" t="str">
        <x:v>Evoluciona con sistemas multiusuario, criptografía, delitos digitales, regulación y gestión del riesgo.</x:v>
      </x:c>
      <x:c r="W258" s="351" t="str">
        <x:v>Alta: práctica vigente</x:v>
      </x:c>
      <x:c r="X258" s="351" t="str">
        <x:v>Presente 2026 y corto (2027–2029)</x:v>
      </x:c>
      <x:c r="Y258" s="351" t="str">
        <x:v>Actual</x:v>
      </x:c>
      <x:c r="Z258" s="351" t="str">
        <x:v>12 meses</x:v>
      </x:c>
      <x:c r="AA258" s="351" t="str">
        <x:v>Migración poscuántica, seguridad de IA, explotación activa, identidad, privacidad y resiliencia de proveedores.</x:v>
      </x:c>
    </x:row>
    <x:row r="259" ht="58" customHeight="1">
      <x:c r="A259" s="366" t="str">
        <x:v>CYB-010</x:v>
      </x:c>
      <x:c r="B259" s="366" t="n">
        <x:v>4</x:v>
      </x:c>
      <x:c r="C259" s="366" t="str">
        <x:v>Integración profesional</x:v>
      </x:c>
      <x:c r="D259" s="366" t="str">
        <x:v>Seguridad defensiva y gobierno</x:v>
      </x:c>
      <x:c r="E259" s="366" t="str">
        <x:v>Ciberseguridad, forense y auditoría</x:v>
      </x:c>
      <x:c r="F259" s="366" t="str">
        <x:v>Seguridad cloud</x:v>
      </x:c>
      <x:c r="G259" s="366" t="str">
        <x:v>Seguridad cloud. Diseño de controles, laboratorios aislados, gestión de riesgo y evidencia auditable.</x:v>
      </x:c>
      <x:c r="H259" s="366" t="str">
        <x:v>CYB-009</x:v>
      </x:c>
      <x:c r="I259" s="366" t="str">
        <x:v>Dominio profesional</x:v>
      </x:c>
      <x:c r="J259" s="366" t="n">
        <x:v>2</x:v>
      </x:c>
      <x:c r="K259" s="366" t="n">
        <x:v>28</x:v>
      </x:c>
      <x:c r="L259" s="366" t="n">
        <x:v>36</x:v>
      </x:c>
      <x:c r="M259" s="366" t="n">
        <x:v>20</x:v>
      </x:c>
      <x:c r="N259" s="367" t="n">
        <x:f>SUM(K259:M259)</x:f>
        <x:v>84</x:v>
      </x:c>
      <x:c r="O259" s="368" t="n">
        <x:f>N259/25</x:f>
        <x:v>3.36</x:v>
      </x:c>
      <x:c r="P259" s="366" t="str">
        <x:v>Evaluación defensiva: Seguridad cloud.</x:v>
      </x:c>
      <x:c r="Q259" s="366" t="str">
        <x:v>S03; S05; S08; S33; S34; S36</x:v>
      </x:c>
      <x:c r="R259" s="366" t="str">
        <x:v>No iniciado</x:v>
      </x:c>
      <x:c r="S259" s="369" t="n">
        <x:v>0</x:v>
      </x:c>
      <x:c r="T259" s="370"/>
      <x:c r="U259" s="370"/>
      <x:c r="V259" s="366" t="str">
        <x:v>Evoluciona con sistemas multiusuario, criptografía, delitos digitales, regulación y gestión del riesgo.</x:v>
      </x:c>
      <x:c r="W259" s="366" t="str">
        <x:v>Alta: práctica vigente</x:v>
      </x:c>
      <x:c r="X259" s="366" t="str">
        <x:v>Presente 2026 y corto (2027–2029)</x:v>
      </x:c>
      <x:c r="Y259" s="366" t="str">
        <x:v>Actual</x:v>
      </x:c>
      <x:c r="Z259" s="366" t="str">
        <x:v>12 meses</x:v>
      </x:c>
      <x:c r="AA259" s="366" t="str">
        <x:v>Migración poscuántica, seguridad de IA, explotación activa, identidad, privacidad y resiliencia de proveedores.</x:v>
      </x:c>
    </x:row>
    <x:row r="260" ht="58" customHeight="1">
      <x:c r="A260" s="351" t="str">
        <x:v>CYB-011</x:v>
      </x:c>
      <x:c r="B260" s="351" t="n">
        <x:v>4</x:v>
      </x:c>
      <x:c r="C260" s="351" t="str">
        <x:v>Integración profesional</x:v>
      </x:c>
      <x:c r="D260" s="351" t="str">
        <x:v>Seguridad defensiva y gobierno</x:v>
      </x:c>
      <x:c r="E260" s="351" t="str">
        <x:v>Ciberseguridad, forense y auditoría</x:v>
      </x:c>
      <x:c r="F260" s="351" t="str">
        <x:v>Seguridad de contenedores y Kubernetes</x:v>
      </x:c>
      <x:c r="G260" s="351" t="str">
        <x:v>Seguridad de contenedores y Kubernetes. Diseño de controles, laboratorios aislados, gestión de riesgo y evidencia auditable.</x:v>
      </x:c>
      <x:c r="H260" s="351" t="str">
        <x:v>CYB-010</x:v>
      </x:c>
      <x:c r="I260" s="351" t="str">
        <x:v>Dominio profesional</x:v>
      </x:c>
      <x:c r="J260" s="351" t="n">
        <x:v>2</x:v>
      </x:c>
      <x:c r="K260" s="351" t="n">
        <x:v>28</x:v>
      </x:c>
      <x:c r="L260" s="351" t="n">
        <x:v>36</x:v>
      </x:c>
      <x:c r="M260" s="351" t="n">
        <x:v>20</x:v>
      </x:c>
      <x:c r="N260" s="352" t="n">
        <x:f>SUM(K260:M260)</x:f>
        <x:v>84</x:v>
      </x:c>
      <x:c r="O260" s="353" t="n">
        <x:f>N260/25</x:f>
        <x:v>3.36</x:v>
      </x:c>
      <x:c r="P260" s="351" t="str">
        <x:v>Evaluación defensiva: Seguridad de contenedores y Kubernetes.</x:v>
      </x:c>
      <x:c r="Q260" s="351" t="str">
        <x:v>S03; S05; S08; S33; S34; S36</x:v>
      </x:c>
      <x:c r="R260" s="351" t="str">
        <x:v>No iniciado</x:v>
      </x:c>
      <x:c r="S260" s="354" t="n">
        <x:v>0</x:v>
      </x:c>
      <x:c r="T260" s="355"/>
      <x:c r="U260" s="355"/>
      <x:c r="V260" s="351" t="str">
        <x:v>Evoluciona con sistemas multiusuario, criptografía, delitos digitales, regulación y gestión del riesgo.</x:v>
      </x:c>
      <x:c r="W260" s="351" t="str">
        <x:v>Alta: práctica vigente</x:v>
      </x:c>
      <x:c r="X260" s="351" t="str">
        <x:v>Presente 2026 y corto (2027–2029)</x:v>
      </x:c>
      <x:c r="Y260" s="351" t="str">
        <x:v>Actual</x:v>
      </x:c>
      <x:c r="Z260" s="351" t="str">
        <x:v>12 meses</x:v>
      </x:c>
      <x:c r="AA260" s="351" t="str">
        <x:v>Migración poscuántica, seguridad de IA, explotación activa, identidad, privacidad y resiliencia de proveedores.</x:v>
      </x:c>
    </x:row>
    <x:row r="261" ht="58" customHeight="1">
      <x:c r="A261" s="366" t="str">
        <x:v>CYB-012</x:v>
      </x:c>
      <x:c r="B261" s="366" t="n">
        <x:v>4</x:v>
      </x:c>
      <x:c r="C261" s="366" t="str">
        <x:v>Integración profesional</x:v>
      </x:c>
      <x:c r="D261" s="366" t="str">
        <x:v>Seguridad defensiva y gobierno</x:v>
      </x:c>
      <x:c r="E261" s="366" t="str">
        <x:v>Ciberseguridad, forense y auditoría</x:v>
      </x:c>
      <x:c r="F261" s="366" t="str">
        <x:v>Seguridad de IoT y sistemas embebidos</x:v>
      </x:c>
      <x:c r="G261" s="366" t="str">
        <x:v>Seguridad de IoT y sistemas embebidos. Diseño de controles, laboratorios aislados, gestión de riesgo y evidencia auditable.</x:v>
      </x:c>
      <x:c r="H261" s="366" t="str">
        <x:v>CYB-011</x:v>
      </x:c>
      <x:c r="I261" s="366" t="str">
        <x:v>Dominio profesional</x:v>
      </x:c>
      <x:c r="J261" s="366" t="n">
        <x:v>2</x:v>
      </x:c>
      <x:c r="K261" s="366" t="n">
        <x:v>28</x:v>
      </x:c>
      <x:c r="L261" s="366" t="n">
        <x:v>36</x:v>
      </x:c>
      <x:c r="M261" s="366" t="n">
        <x:v>20</x:v>
      </x:c>
      <x:c r="N261" s="367" t="n">
        <x:f>SUM(K261:M261)</x:f>
        <x:v>84</x:v>
      </x:c>
      <x:c r="O261" s="368" t="n">
        <x:f>N261/25</x:f>
        <x:v>3.36</x:v>
      </x:c>
      <x:c r="P261" s="366" t="str">
        <x:v>Evaluación defensiva: Seguridad de IoT y sistemas embebidos.</x:v>
      </x:c>
      <x:c r="Q261" s="366" t="str">
        <x:v>S03; S05; S08; S33; S34; S36</x:v>
      </x:c>
      <x:c r="R261" s="366" t="str">
        <x:v>No iniciado</x:v>
      </x:c>
      <x:c r="S261" s="369" t="n">
        <x:v>0</x:v>
      </x:c>
      <x:c r="T261" s="370"/>
      <x:c r="U261" s="370"/>
      <x:c r="V261" s="366" t="str">
        <x:v>Evoluciona con sistemas multiusuario, criptografía, delitos digitales, regulación y gestión del riesgo.</x:v>
      </x:c>
      <x:c r="W261" s="366" t="str">
        <x:v>Alta: práctica vigente</x:v>
      </x:c>
      <x:c r="X261" s="366" t="str">
        <x:v>Presente 2026 y corto (2027–2029)</x:v>
      </x:c>
      <x:c r="Y261" s="366" t="str">
        <x:v>Actual</x:v>
      </x:c>
      <x:c r="Z261" s="366" t="str">
        <x:v>12 meses</x:v>
      </x:c>
      <x:c r="AA261" s="366" t="str">
        <x:v>Migración poscuántica, seguridad de IA, explotación activa, identidad, privacidad y resiliencia de proveedores.</x:v>
      </x:c>
    </x:row>
    <x:row r="262" ht="58" customHeight="1">
      <x:c r="A262" s="351" t="str">
        <x:v>CYB-013</x:v>
      </x:c>
      <x:c r="B262" s="351" t="n">
        <x:v>4</x:v>
      </x:c>
      <x:c r="C262" s="351" t="str">
        <x:v>Integración profesional</x:v>
      </x:c>
      <x:c r="D262" s="351" t="str">
        <x:v>Seguridad defensiva y gobierno</x:v>
      </x:c>
      <x:c r="E262" s="351" t="str">
        <x:v>Ciberseguridad, forense y auditoría</x:v>
      </x:c>
      <x:c r="F262" s="351" t="str">
        <x:v>Seguridad OT/ICS y SCADA</x:v>
      </x:c>
      <x:c r="G262" s="351" t="str">
        <x:v>Seguridad OT/ICS y SCADA. Diseño de controles, laboratorios aislados, gestión de riesgo y evidencia auditable.</x:v>
      </x:c>
      <x:c r="H262" s="351" t="str">
        <x:v>CYB-012</x:v>
      </x:c>
      <x:c r="I262" s="351" t="str">
        <x:v>Dominio profesional</x:v>
      </x:c>
      <x:c r="J262" s="351" t="n">
        <x:v>2</x:v>
      </x:c>
      <x:c r="K262" s="351" t="n">
        <x:v>28</x:v>
      </x:c>
      <x:c r="L262" s="351" t="n">
        <x:v>36</x:v>
      </x:c>
      <x:c r="M262" s="351" t="n">
        <x:v>20</x:v>
      </x:c>
      <x:c r="N262" s="352" t="n">
        <x:f>SUM(K262:M262)</x:f>
        <x:v>84</x:v>
      </x:c>
      <x:c r="O262" s="353" t="n">
        <x:f>N262/25</x:f>
        <x:v>3.36</x:v>
      </x:c>
      <x:c r="P262" s="351" t="str">
        <x:v>Evaluación defensiva: Seguridad OT/ICS y SCADA.</x:v>
      </x:c>
      <x:c r="Q262" s="351" t="str">
        <x:v>S03; S05; S08; S33; S34; S36</x:v>
      </x:c>
      <x:c r="R262" s="351" t="str">
        <x:v>No iniciado</x:v>
      </x:c>
      <x:c r="S262" s="354" t="n">
        <x:v>0</x:v>
      </x:c>
      <x:c r="T262" s="355"/>
      <x:c r="U262" s="355"/>
      <x:c r="V262" s="351" t="str">
        <x:v>Evoluciona con sistemas multiusuario, criptografía, delitos digitales, regulación y gestión del riesgo.</x:v>
      </x:c>
      <x:c r="W262" s="351" t="str">
        <x:v>Alta: práctica vigente</x:v>
      </x:c>
      <x:c r="X262" s="351" t="str">
        <x:v>Presente 2026 y corto (2027–2029)</x:v>
      </x:c>
      <x:c r="Y262" s="351" t="str">
        <x:v>Actual</x:v>
      </x:c>
      <x:c r="Z262" s="351" t="str">
        <x:v>12 meses</x:v>
      </x:c>
      <x:c r="AA262" s="351" t="str">
        <x:v>Migración poscuántica, seguridad de IA, explotación activa, identidad, privacidad y resiliencia de proveedores.</x:v>
      </x:c>
    </x:row>
    <x:row r="263" ht="58" customHeight="1">
      <x:c r="A263" s="366" t="str">
        <x:v>CYB-014</x:v>
      </x:c>
      <x:c r="B263" s="366" t="n">
        <x:v>4</x:v>
      </x:c>
      <x:c r="C263" s="366" t="str">
        <x:v>Integración profesional</x:v>
      </x:c>
      <x:c r="D263" s="366" t="str">
        <x:v>Seguridad defensiva y gobierno</x:v>
      </x:c>
      <x:c r="E263" s="366" t="str">
        <x:v>Ciberseguridad, forense y auditoría</x:v>
      </x:c>
      <x:c r="F263" s="366" t="str">
        <x:v>Arquitectura Zero Trust</x:v>
      </x:c>
      <x:c r="G263" s="366" t="str">
        <x:v>Arquitectura Zero Trust. Diseño de controles, laboratorios aislados, gestión de riesgo y evidencia auditable.</x:v>
      </x:c>
      <x:c r="H263" s="366" t="str">
        <x:v>CYB-013</x:v>
      </x:c>
      <x:c r="I263" s="366" t="str">
        <x:v>Dominio profesional</x:v>
      </x:c>
      <x:c r="J263" s="366" t="n">
        <x:v>2</x:v>
      </x:c>
      <x:c r="K263" s="366" t="n">
        <x:v>28</x:v>
      </x:c>
      <x:c r="L263" s="366" t="n">
        <x:v>36</x:v>
      </x:c>
      <x:c r="M263" s="366" t="n">
        <x:v>20</x:v>
      </x:c>
      <x:c r="N263" s="367" t="n">
        <x:f>SUM(K263:M263)</x:f>
        <x:v>84</x:v>
      </x:c>
      <x:c r="O263" s="368" t="n">
        <x:f>N263/25</x:f>
        <x:v>3.36</x:v>
      </x:c>
      <x:c r="P263" s="366" t="str">
        <x:v>Evaluación defensiva: Arquitectura Zero Trust.</x:v>
      </x:c>
      <x:c r="Q263" s="366" t="str">
        <x:v>S03; S05; S08; S33; S34; S36</x:v>
      </x:c>
      <x:c r="R263" s="366" t="str">
        <x:v>No iniciado</x:v>
      </x:c>
      <x:c r="S263" s="369" t="n">
        <x:v>0</x:v>
      </x:c>
      <x:c r="T263" s="370"/>
      <x:c r="U263" s="370"/>
      <x:c r="V263" s="366" t="str">
        <x:v>Evoluciona con sistemas multiusuario, criptografía, delitos digitales, regulación y gestión del riesgo.</x:v>
      </x:c>
      <x:c r="W263" s="366" t="str">
        <x:v>Variable: validar evidencia y madurez</x:v>
      </x:c>
      <x:c r="X263" s="366" t="str">
        <x:v>Corto (2027–2029) y mediano (2030–2035)</x:v>
      </x:c>
      <x:c r="Y263" s="366" t="str">
        <x:v>Emergente</x:v>
      </x:c>
      <x:c r="Z263" s="366" t="str">
        <x:v>6 meses</x:v>
      </x:c>
      <x:c r="AA263" s="366" t="str">
        <x:v>Migración poscuántica, seguridad de IA, explotación activa, identidad, privacidad y resiliencia de proveedores.</x:v>
      </x:c>
    </x:row>
    <x:row r="264" ht="58" customHeight="1">
      <x:c r="A264" s="351" t="str">
        <x:v>DAI-013</x:v>
      </x:c>
      <x:c r="B264" s="351" t="n">
        <x:v>4</x:v>
      </x:c>
      <x:c r="C264" s="351" t="str">
        <x:v>Integración profesional</x:v>
      </x:c>
      <x:c r="D264" s="351" t="str">
        <x:v>Datos y bases de datos</x:v>
      </x:c>
      <x:c r="E264" s="351" t="str">
        <x:v>Datos, BI e IA</x:v>
      </x:c>
      <x:c r="F264" s="351" t="str">
        <x:v>Big Data con Spark</x:v>
      </x:c>
      <x:c r="G264" s="351" t="str">
        <x:v>Big Data con Spark. Modelado, consulta, calidad, gobierno, rendimiento y pipelines reproducibles.</x:v>
      </x:c>
      <x:c r="H264" s="351" t="str">
        <x:v>DAI-012</x:v>
      </x:c>
      <x:c r="I264" s="351" t="str">
        <x:v>Núcleo esencial</x:v>
      </x:c>
      <x:c r="J264" s="351" t="n">
        <x:v>1</x:v>
      </x:c>
      <x:c r="K264" s="351" t="n">
        <x:v>36</x:v>
      </x:c>
      <x:c r="L264" s="351" t="n">
        <x:v>42</x:v>
      </x:c>
      <x:c r="M264" s="351" t="n">
        <x:v>22</x:v>
      </x:c>
      <x:c r="N264" s="352" t="n">
        <x:f>SUM(K264:M264)</x:f>
        <x:v>100</x:v>
      </x:c>
      <x:c r="O264" s="353" t="n">
        <x:f>N264/25</x:f>
        <x:v>4</x:v>
      </x:c>
      <x:c r="P264" s="351" t="str">
        <x:v>Sistema de datos: Big Data con Spark.</x:v>
      </x:c>
      <x:c r="Q264" s="351" t="str">
        <x:v>S01; S07; S17; S18; S20; S37; S38</x:v>
      </x:c>
      <x:c r="R264" s="351" t="str">
        <x:v>No iniciado</x:v>
      </x:c>
      <x:c r="S264" s="354" t="n">
        <x:v>0</x:v>
      </x:c>
      <x:c r="T264" s="355"/>
      <x:c r="U264" s="355"/>
      <x:c r="V264" s="351" t="str">
        <x:v>Une estadística, bases de datos, investigación operativa, aprendizaje automático e IA generativa.</x:v>
      </x:c>
      <x:c r="W264" s="351" t="str">
        <x:v>Muy alta: fundamento durable</x:v>
      </x:c>
      <x:c r="X264" s="351" t="str">
        <x:v>Transversal permanente</x:v>
      </x:c>
      <x:c r="Y264" s="351" t="str">
        <x:v>Consolidada</x:v>
      </x:c>
      <x:c r="Z264" s="351" t="str">
        <x:v>24 meses</x:v>
      </x:c>
      <x:c r="AA264" s="351" t="str">
        <x:v>Modelos multimodales, IA agente, causalidad, privacidad, aprendizaje federado, evaluación y gobernanza.</x:v>
      </x:c>
    </x:row>
    <x:row r="265" ht="58" customHeight="1">
      <x:c r="A265" s="366" t="str">
        <x:v>DAI-014</x:v>
      </x:c>
      <x:c r="B265" s="366" t="n">
        <x:v>4</x:v>
      </x:c>
      <x:c r="C265" s="366" t="str">
        <x:v>Integración profesional</x:v>
      </x:c>
      <x:c r="D265" s="366" t="str">
        <x:v>Datos y bases de datos</x:v>
      </x:c>
      <x:c r="E265" s="366" t="str">
        <x:v>Datos, BI e IA</x:v>
      </x:c>
      <x:c r="F265" s="366" t="str">
        <x:v>Procesamiento de streaming</x:v>
      </x:c>
      <x:c r="G265" s="366" t="str">
        <x:v>Procesamiento de streaming. Modelado, consulta, calidad, gobierno, rendimiento y pipelines reproducibles.</x:v>
      </x:c>
      <x:c r="H265" s="366" t="str">
        <x:v>DAI-013</x:v>
      </x:c>
      <x:c r="I265" s="366" t="str">
        <x:v>Núcleo esencial</x:v>
      </x:c>
      <x:c r="J265" s="366" t="n">
        <x:v>1</x:v>
      </x:c>
      <x:c r="K265" s="366" t="n">
        <x:v>36</x:v>
      </x:c>
      <x:c r="L265" s="366" t="n">
        <x:v>42</x:v>
      </x:c>
      <x:c r="M265" s="366" t="n">
        <x:v>22</x:v>
      </x:c>
      <x:c r="N265" s="367" t="n">
        <x:f>SUM(K265:M265)</x:f>
        <x:v>100</x:v>
      </x:c>
      <x:c r="O265" s="368" t="n">
        <x:f>N265/25</x:f>
        <x:v>4</x:v>
      </x:c>
      <x:c r="P265" s="366" t="str">
        <x:v>Sistema de datos: Procesamiento de streaming.</x:v>
      </x:c>
      <x:c r="Q265" s="366" t="str">
        <x:v>S01; S07; S17; S18; S20; S37; S38</x:v>
      </x:c>
      <x:c r="R265" s="366" t="str">
        <x:v>No iniciado</x:v>
      </x:c>
      <x:c r="S265" s="369" t="n">
        <x:v>0</x:v>
      </x:c>
      <x:c r="T265" s="370"/>
      <x:c r="U265" s="370"/>
      <x:c r="V265" s="366" t="str">
        <x:v>Une estadística, bases de datos, investigación operativa, aprendizaje automático e IA generativa.</x:v>
      </x:c>
      <x:c r="W265" s="366" t="str">
        <x:v>Muy alta: fundamento durable</x:v>
      </x:c>
      <x:c r="X265" s="366" t="str">
        <x:v>Transversal permanente</x:v>
      </x:c>
      <x:c r="Y265" s="366" t="str">
        <x:v>Consolidada</x:v>
      </x:c>
      <x:c r="Z265" s="366" t="str">
        <x:v>24 meses</x:v>
      </x:c>
      <x:c r="AA265" s="366" t="str">
        <x:v>Modelos multimodales, IA agente, causalidad, privacidad, aprendizaje federado, evaluación y gobernanza.</x:v>
      </x:c>
    </x:row>
    <x:row r="266" ht="58" customHeight="1">
      <x:c r="A266" s="351" t="str">
        <x:v>DAI-015</x:v>
      </x:c>
      <x:c r="B266" s="351" t="n">
        <x:v>4</x:v>
      </x:c>
      <x:c r="C266" s="351" t="str">
        <x:v>Integración profesional</x:v>
      </x:c>
      <x:c r="D266" s="351" t="str">
        <x:v>Datos y bases de datos</x:v>
      </x:c>
      <x:c r="E266" s="351" t="str">
        <x:v>Datos, BI e IA</x:v>
      </x:c>
      <x:c r="F266" s="351" t="str">
        <x:v>Lakehouse y arquitecturas modernas de datos</x:v>
      </x:c>
      <x:c r="G266" s="351" t="str">
        <x:v>Lakehouse y arquitecturas modernas de datos. Modelado, consulta, calidad, gobierno, rendimiento y pipelines reproducibles.</x:v>
      </x:c>
      <x:c r="H266" s="351" t="str">
        <x:v>DAI-014</x:v>
      </x:c>
      <x:c r="I266" s="351" t="str">
        <x:v>Núcleo esencial</x:v>
      </x:c>
      <x:c r="J266" s="351" t="n">
        <x:v>1</x:v>
      </x:c>
      <x:c r="K266" s="351" t="n">
        <x:v>36</x:v>
      </x:c>
      <x:c r="L266" s="351" t="n">
        <x:v>42</x:v>
      </x:c>
      <x:c r="M266" s="351" t="n">
        <x:v>22</x:v>
      </x:c>
      <x:c r="N266" s="352" t="n">
        <x:f>SUM(K266:M266)</x:f>
        <x:v>100</x:v>
      </x:c>
      <x:c r="O266" s="353" t="n">
        <x:f>N266/25</x:f>
        <x:v>4</x:v>
      </x:c>
      <x:c r="P266" s="351" t="str">
        <x:v>Sistema de datos: Lakehouse y arquitecturas modernas de datos.</x:v>
      </x:c>
      <x:c r="Q266" s="351" t="str">
        <x:v>S01; S07; S17; S18; S20; S37; S38</x:v>
      </x:c>
      <x:c r="R266" s="351" t="str">
        <x:v>No iniciado</x:v>
      </x:c>
      <x:c r="S266" s="354" t="n">
        <x:v>0</x:v>
      </x:c>
      <x:c r="T266" s="355"/>
      <x:c r="U266" s="355"/>
      <x:c r="V266" s="351" t="str">
        <x:v>Une estadística, bases de datos, investigación operativa, aprendizaje automático e IA generativa.</x:v>
      </x:c>
      <x:c r="W266" s="351" t="str">
        <x:v>Muy alta: fundamento durable</x:v>
      </x:c>
      <x:c r="X266" s="351" t="str">
        <x:v>Transversal permanente</x:v>
      </x:c>
      <x:c r="Y266" s="351" t="str">
        <x:v>Consolidada</x:v>
      </x:c>
      <x:c r="Z266" s="351" t="str">
        <x:v>24 meses</x:v>
      </x:c>
      <x:c r="AA266" s="351" t="str">
        <x:v>Modelos multimodales, IA agente, causalidad, privacidad, aprendizaje federado, evaluación y gobernanza.</x:v>
      </x:c>
    </x:row>
    <x:row r="267" ht="58" customHeight="1">
      <x:c r="A267" s="366" t="str">
        <x:v>DAI-016</x:v>
      </x:c>
      <x:c r="B267" s="366" t="n">
        <x:v>4</x:v>
      </x:c>
      <x:c r="C267" s="366" t="str">
        <x:v>Integración profesional</x:v>
      </x:c>
      <x:c r="D267" s="366" t="str">
        <x:v>Datos y bases de datos</x:v>
      </x:c>
      <x:c r="E267" s="366" t="str">
        <x:v>Datos, BI e IA</x:v>
      </x:c>
      <x:c r="F267" s="366" t="str">
        <x:v>Sistemas de búsqueda y recuperación de información</x:v>
      </x:c>
      <x:c r="G267" s="366" t="str">
        <x:v>Sistemas de búsqueda y recuperación de información. Modelado, consulta, calidad, gobierno, rendimiento y pipelines reproducibles.</x:v>
      </x:c>
      <x:c r="H267" s="366" t="str">
        <x:v>DAI-015</x:v>
      </x:c>
      <x:c r="I267" s="366" t="str">
        <x:v>Núcleo esencial</x:v>
      </x:c>
      <x:c r="J267" s="366" t="n">
        <x:v>1</x:v>
      </x:c>
      <x:c r="K267" s="366" t="n">
        <x:v>36</x:v>
      </x:c>
      <x:c r="L267" s="366" t="n">
        <x:v>42</x:v>
      </x:c>
      <x:c r="M267" s="366" t="n">
        <x:v>22</x:v>
      </x:c>
      <x:c r="N267" s="367" t="n">
        <x:f>SUM(K267:M267)</x:f>
        <x:v>100</x:v>
      </x:c>
      <x:c r="O267" s="368" t="n">
        <x:f>N267/25</x:f>
        <x:v>4</x:v>
      </x:c>
      <x:c r="P267" s="366" t="str">
        <x:v>Sistema de datos: Sistemas de búsqueda y recuperación de información.</x:v>
      </x:c>
      <x:c r="Q267" s="366" t="str">
        <x:v>S01; S07; S17; S18; S20; S37; S38</x:v>
      </x:c>
      <x:c r="R267" s="366" t="str">
        <x:v>No iniciado</x:v>
      </x:c>
      <x:c r="S267" s="369" t="n">
        <x:v>0</x:v>
      </x:c>
      <x:c r="T267" s="370"/>
      <x:c r="U267" s="370"/>
      <x:c r="V267" s="366" t="str">
        <x:v>Une estadística, bases de datos, investigación operativa, aprendizaje automático e IA generativa.</x:v>
      </x:c>
      <x:c r="W267" s="366" t="str">
        <x:v>Muy alta: fundamento durable</x:v>
      </x:c>
      <x:c r="X267" s="366" t="str">
        <x:v>Transversal permanente</x:v>
      </x:c>
      <x:c r="Y267" s="366" t="str">
        <x:v>Consolidada</x:v>
      </x:c>
      <x:c r="Z267" s="366" t="str">
        <x:v>24 meses</x:v>
      </x:c>
      <x:c r="AA267" s="366" t="str">
        <x:v>Modelos multimodales, IA agente, causalidad, privacidad, aprendizaje federado, evaluación y gobernanza.</x:v>
      </x:c>
    </x:row>
    <x:row r="268" ht="58" customHeight="1">
      <x:c r="A268" s="351" t="str">
        <x:v>DAI-017</x:v>
      </x:c>
      <x:c r="B268" s="351" t="n">
        <x:v>4</x:v>
      </x:c>
      <x:c r="C268" s="351" t="str">
        <x:v>Integración profesional</x:v>
      </x:c>
      <x:c r="D268" s="351" t="str">
        <x:v>Datos y bases de datos</x:v>
      </x:c>
      <x:c r="E268" s="351" t="str">
        <x:v>Datos, BI e IA</x:v>
      </x:c>
      <x:c r="F268" s="351" t="str">
        <x:v>Grafos de conocimiento y bases de grafos</x:v>
      </x:c>
      <x:c r="G268" s="351" t="str">
        <x:v>Grafos de conocimiento y bases de grafos. Modelado, consulta, calidad, gobierno, rendimiento y pipelines reproducibles.</x:v>
      </x:c>
      <x:c r="H268" s="351" t="str">
        <x:v>DAI-016</x:v>
      </x:c>
      <x:c r="I268" s="351" t="str">
        <x:v>Núcleo esencial</x:v>
      </x:c>
      <x:c r="J268" s="351" t="n">
        <x:v>1</x:v>
      </x:c>
      <x:c r="K268" s="351" t="n">
        <x:v>36</x:v>
      </x:c>
      <x:c r="L268" s="351" t="n">
        <x:v>42</x:v>
      </x:c>
      <x:c r="M268" s="351" t="n">
        <x:v>22</x:v>
      </x:c>
      <x:c r="N268" s="352" t="n">
        <x:f>SUM(K268:M268)</x:f>
        <x:v>100</x:v>
      </x:c>
      <x:c r="O268" s="353" t="n">
        <x:f>N268/25</x:f>
        <x:v>4</x:v>
      </x:c>
      <x:c r="P268" s="351" t="str">
        <x:v>Sistema de datos: Grafos de conocimiento y bases de grafos.</x:v>
      </x:c>
      <x:c r="Q268" s="351" t="str">
        <x:v>S01; S07; S17; S18; S20; S37; S38</x:v>
      </x:c>
      <x:c r="R268" s="351" t="str">
        <x:v>No iniciado</x:v>
      </x:c>
      <x:c r="S268" s="354" t="n">
        <x:v>0</x:v>
      </x:c>
      <x:c r="T268" s="355"/>
      <x:c r="U268" s="355"/>
      <x:c r="V268" s="351" t="str">
        <x:v>Une estadística, bases de datos, investigación operativa, aprendizaje automático e IA generativa.</x:v>
      </x:c>
      <x:c r="W268" s="351" t="str">
        <x:v>Muy alta: fundamento durable</x:v>
      </x:c>
      <x:c r="X268" s="351" t="str">
        <x:v>Transversal permanente</x:v>
      </x:c>
      <x:c r="Y268" s="351" t="str">
        <x:v>Consolidada</x:v>
      </x:c>
      <x:c r="Z268" s="351" t="str">
        <x:v>24 meses</x:v>
      </x:c>
      <x:c r="AA268" s="351" t="str">
        <x:v>Modelos multimodales, IA agente, causalidad, privacidad, aprendizaje federado, evaluación y gobernanza.</x:v>
      </x:c>
    </x:row>
    <x:row r="269" ht="58" customHeight="1">
      <x:c r="A269" s="366" t="str">
        <x:v>DAI-023</x:v>
      </x:c>
      <x:c r="B269" s="366" t="n">
        <x:v>4</x:v>
      </x:c>
      <x:c r="C269" s="366" t="str">
        <x:v>Integración profesional</x:v>
      </x:c>
      <x:c r="D269" s="366" t="str">
        <x:v>Analítica y Business Intelligence</x:v>
      </x:c>
      <x:c r="E269" s="366" t="str">
        <x:v>Datos, BI e IA</x:v>
      </x:c>
      <x:c r="F269" s="366" t="str">
        <x:v>Analítica de negocios</x:v>
      </x:c>
      <x:c r="G269" s="366" t="str">
        <x:v>Analítica de negocios. Preparación, análisis, visualización, comunicación, seguridad y decisión de negocio.</x:v>
      </x:c>
      <x:c r="H269" s="366" t="str">
        <x:v>DAI-022</x:v>
      </x:c>
      <x:c r="I269" s="366" t="str">
        <x:v>Dominio profesional</x:v>
      </x:c>
      <x:c r="J269" s="366" t="n">
        <x:v>2</x:v>
      </x:c>
      <x:c r="K269" s="366" t="n">
        <x:v>20</x:v>
      </x:c>
      <x:c r="L269" s="366" t="n">
        <x:v>52</x:v>
      </x:c>
      <x:c r="M269" s="366" t="n">
        <x:v>20</x:v>
      </x:c>
      <x:c r="N269" s="367" t="n">
        <x:f>SUM(K269:M269)</x:f>
        <x:v>92</x:v>
      </x:c>
      <x:c r="O269" s="368" t="n">
        <x:f>N269/25</x:f>
        <x:v>3.68</x:v>
      </x:c>
      <x:c r="P269" s="366" t="str">
        <x:v>Dashboard y memo ejecutivo: Analítica de negocios.</x:v>
      </x:c>
      <x:c r="Q269" s="366" t="str">
        <x:v>S06; S07; S37; S38; S49</x:v>
      </x:c>
      <x:c r="R269" s="366" t="str">
        <x:v>No iniciado</x:v>
      </x:c>
      <x:c r="S269" s="369" t="n">
        <x:v>0</x:v>
      </x:c>
      <x:c r="T269" s="370"/>
      <x:c r="U269" s="370"/>
      <x:c r="V269" s="366" t="str">
        <x:v>Une estadística, bases de datos, investigación operativa, aprendizaje automático e IA generativa.</x:v>
      </x:c>
      <x:c r="W269" s="366" t="str">
        <x:v>Alta: práctica vigente</x:v>
      </x:c>
      <x:c r="X269" s="366" t="str">
        <x:v>Presente 2026 y corto (2027–2029)</x:v>
      </x:c>
      <x:c r="Y269" s="366" t="str">
        <x:v>Actual</x:v>
      </x:c>
      <x:c r="Z269" s="366" t="str">
        <x:v>12 meses</x:v>
      </x:c>
      <x:c r="AA269" s="366" t="str">
        <x:v>Modelos multimodales, IA agente, causalidad, privacidad, aprendizaje federado, evaluación y gobernanza.</x:v>
      </x:c>
    </x:row>
    <x:row r="270" ht="58" customHeight="1">
      <x:c r="A270" s="351" t="str">
        <x:v>DAI-024</x:v>
      </x:c>
      <x:c r="B270" s="351" t="n">
        <x:v>4</x:v>
      </x:c>
      <x:c r="C270" s="351" t="str">
        <x:v>Integración profesional</x:v>
      </x:c>
      <x:c r="D270" s="351" t="str">
        <x:v>Analítica y Business Intelligence</x:v>
      </x:c>
      <x:c r="E270" s="351" t="str">
        <x:v>Datos, BI e IA</x:v>
      </x:c>
      <x:c r="F270" s="351" t="str">
        <x:v>Métricas, KPIs y experimentación</x:v>
      </x:c>
      <x:c r="G270" s="351" t="str">
        <x:v>Métricas, KPIs y experimentación. Preparación, análisis, visualización, comunicación, seguridad y decisión de negocio.</x:v>
      </x:c>
      <x:c r="H270" s="351" t="str">
        <x:v>DAI-023</x:v>
      </x:c>
      <x:c r="I270" s="351" t="str">
        <x:v>Dominio profesional</x:v>
      </x:c>
      <x:c r="J270" s="351" t="n">
        <x:v>2</x:v>
      </x:c>
      <x:c r="K270" s="351" t="n">
        <x:v>20</x:v>
      </x:c>
      <x:c r="L270" s="351" t="n">
        <x:v>52</x:v>
      </x:c>
      <x:c r="M270" s="351" t="n">
        <x:v>20</x:v>
      </x:c>
      <x:c r="N270" s="352" t="n">
        <x:f>SUM(K270:M270)</x:f>
        <x:v>92</x:v>
      </x:c>
      <x:c r="O270" s="353" t="n">
        <x:f>N270/25</x:f>
        <x:v>3.68</x:v>
      </x:c>
      <x:c r="P270" s="351" t="str">
        <x:v>Dashboard y memo ejecutivo: Métricas, KPIs y experimentación.</x:v>
      </x:c>
      <x:c r="Q270" s="351" t="str">
        <x:v>S06; S07; S37; S38; S49</x:v>
      </x:c>
      <x:c r="R270" s="351" t="str">
        <x:v>No iniciado</x:v>
      </x:c>
      <x:c r="S270" s="354" t="n">
        <x:v>0</x:v>
      </x:c>
      <x:c r="T270" s="355"/>
      <x:c r="U270" s="355"/>
      <x:c r="V270" s="351" t="str">
        <x:v>Une estadística, bases de datos, investigación operativa, aprendizaje automático e IA generativa.</x:v>
      </x:c>
      <x:c r="W270" s="351" t="str">
        <x:v>Alta: práctica vigente</x:v>
      </x:c>
      <x:c r="X270" s="351" t="str">
        <x:v>Presente 2026 y corto (2027–2029)</x:v>
      </x:c>
      <x:c r="Y270" s="351" t="str">
        <x:v>Actual</x:v>
      </x:c>
      <x:c r="Z270" s="351" t="str">
        <x:v>12 meses</x:v>
      </x:c>
      <x:c r="AA270" s="351" t="str">
        <x:v>Modelos multimodales, IA agente, causalidad, privacidad, aprendizaje federado, evaluación y gobernanza.</x:v>
      </x:c>
    </x:row>
    <x:row r="271" ht="58" customHeight="1">
      <x:c r="A271" s="366" t="str">
        <x:v>DAI-025</x:v>
      </x:c>
      <x:c r="B271" s="366" t="n">
        <x:v>4</x:v>
      </x:c>
      <x:c r="C271" s="366" t="str">
        <x:v>Integración profesional</x:v>
      </x:c>
      <x:c r="D271" s="366" t="str">
        <x:v>Analítica y Business Intelligence</x:v>
      </x:c>
      <x:c r="E271" s="366" t="str">
        <x:v>Datos, BI e IA</x:v>
      </x:c>
      <x:c r="F271" s="366" t="str">
        <x:v>Análisis de series temporales</x:v>
      </x:c>
      <x:c r="G271" s="366" t="str">
        <x:v>Análisis de series temporales. Preparación, análisis, visualización, comunicación, seguridad y decisión de negocio.</x:v>
      </x:c>
      <x:c r="H271" s="366" t="str">
        <x:v>DAI-024</x:v>
      </x:c>
      <x:c r="I271" s="366" t="str">
        <x:v>Dominio profesional</x:v>
      </x:c>
      <x:c r="J271" s="366" t="n">
        <x:v>2</x:v>
      </x:c>
      <x:c r="K271" s="366" t="n">
        <x:v>20</x:v>
      </x:c>
      <x:c r="L271" s="366" t="n">
        <x:v>52</x:v>
      </x:c>
      <x:c r="M271" s="366" t="n">
        <x:v>20</x:v>
      </x:c>
      <x:c r="N271" s="367" t="n">
        <x:f>SUM(K271:M271)</x:f>
        <x:v>92</x:v>
      </x:c>
      <x:c r="O271" s="368" t="n">
        <x:f>N271/25</x:f>
        <x:v>3.68</x:v>
      </x:c>
      <x:c r="P271" s="366" t="str">
        <x:v>Dashboard y memo ejecutivo: Análisis de series temporales.</x:v>
      </x:c>
      <x:c r="Q271" s="366" t="str">
        <x:v>S06; S07; S37; S38; S49</x:v>
      </x:c>
      <x:c r="R271" s="366" t="str">
        <x:v>No iniciado</x:v>
      </x:c>
      <x:c r="S271" s="369" t="n">
        <x:v>0</x:v>
      </x:c>
      <x:c r="T271" s="370"/>
      <x:c r="U271" s="370"/>
      <x:c r="V271" s="366" t="str">
        <x:v>Une estadística, bases de datos, investigación operativa, aprendizaje automático e IA generativa.</x:v>
      </x:c>
      <x:c r="W271" s="366" t="str">
        <x:v>Alta: práctica vigente</x:v>
      </x:c>
      <x:c r="X271" s="366" t="str">
        <x:v>Presente 2026 y corto (2027–2029)</x:v>
      </x:c>
      <x:c r="Y271" s="366" t="str">
        <x:v>Actual</x:v>
      </x:c>
      <x:c r="Z271" s="366" t="str">
        <x:v>12 meses</x:v>
      </x:c>
      <x:c r="AA271" s="366" t="str">
        <x:v>Modelos multimodales, IA agente, causalidad, privacidad, aprendizaje federado, evaluación y gobernanza.</x:v>
      </x:c>
    </x:row>
    <x:row r="272" ht="58" customHeight="1">
      <x:c r="A272" s="351" t="str">
        <x:v>DAI-026</x:v>
      </x:c>
      <x:c r="B272" s="351" t="n">
        <x:v>4</x:v>
      </x:c>
      <x:c r="C272" s="351" t="str">
        <x:v>Integración profesional</x:v>
      </x:c>
      <x:c r="D272" s="351" t="str">
        <x:v>Analítica y Business Intelligence</x:v>
      </x:c>
      <x:c r="E272" s="351" t="str">
        <x:v>Datos, BI e IA</x:v>
      </x:c>
      <x:c r="F272" s="351" t="str">
        <x:v>Análisis causal y experimentos A/B</x:v>
      </x:c>
      <x:c r="G272" s="351" t="str">
        <x:v>Análisis causal y experimentos A/B. Preparación, análisis, visualización, comunicación, seguridad y decisión de negocio.</x:v>
      </x:c>
      <x:c r="H272" s="351" t="str">
        <x:v>DAI-025</x:v>
      </x:c>
      <x:c r="I272" s="351" t="str">
        <x:v>Dominio profesional</x:v>
      </x:c>
      <x:c r="J272" s="351" t="n">
        <x:v>2</x:v>
      </x:c>
      <x:c r="K272" s="351" t="n">
        <x:v>20</x:v>
      </x:c>
      <x:c r="L272" s="351" t="n">
        <x:v>52</x:v>
      </x:c>
      <x:c r="M272" s="351" t="n">
        <x:v>20</x:v>
      </x:c>
      <x:c r="N272" s="352" t="n">
        <x:f>SUM(K272:M272)</x:f>
        <x:v>92</x:v>
      </x:c>
      <x:c r="O272" s="353" t="n">
        <x:f>N272/25</x:f>
        <x:v>3.68</x:v>
      </x:c>
      <x:c r="P272" s="351" t="str">
        <x:v>Dashboard y memo ejecutivo: Análisis causal y experimentos A/B.</x:v>
      </x:c>
      <x:c r="Q272" s="351" t="str">
        <x:v>S06; S07; S37; S38; S49</x:v>
      </x:c>
      <x:c r="R272" s="351" t="str">
        <x:v>No iniciado</x:v>
      </x:c>
      <x:c r="S272" s="354" t="n">
        <x:v>0</x:v>
      </x:c>
      <x:c r="T272" s="355"/>
      <x:c r="U272" s="355"/>
      <x:c r="V272" s="351" t="str">
        <x:v>Une estadística, bases de datos, investigación operativa, aprendizaje automático e IA generativa.</x:v>
      </x:c>
      <x:c r="W272" s="351" t="str">
        <x:v>Variable: validar evidencia y madurez</x:v>
      </x:c>
      <x:c r="X272" s="351" t="str">
        <x:v>Corto (2027–2029) y mediano (2030–2035)</x:v>
      </x:c>
      <x:c r="Y272" s="351" t="str">
        <x:v>Emergente</x:v>
      </x:c>
      <x:c r="Z272" s="351" t="str">
        <x:v>6 meses</x:v>
      </x:c>
      <x:c r="AA272" s="351" t="str">
        <x:v>Modelos multimodales, IA agente, causalidad, privacidad, aprendizaje federado, evaluación y gobernanza.</x:v>
      </x:c>
    </x:row>
    <x:row r="273" ht="58" customHeight="1">
      <x:c r="A273" s="366" t="str">
        <x:v>DAI-027</x:v>
      </x:c>
      <x:c r="B273" s="366" t="n">
        <x:v>4</x:v>
      </x:c>
      <x:c r="C273" s="366" t="str">
        <x:v>Integración profesional</x:v>
      </x:c>
      <x:c r="D273" s="366" t="str">
        <x:v>Analítica y Business Intelligence</x:v>
      </x:c>
      <x:c r="E273" s="366" t="str">
        <x:v>Datos, BI e IA</x:v>
      </x:c>
      <x:c r="F273" s="366" t="str">
        <x:v>Analítica geoespacial</x:v>
      </x:c>
      <x:c r="G273" s="366" t="str">
        <x:v>Analítica geoespacial. Preparación, análisis, visualización, comunicación, seguridad y decisión de negocio.</x:v>
      </x:c>
      <x:c r="H273" s="366" t="str">
        <x:v>DAI-026</x:v>
      </x:c>
      <x:c r="I273" s="366" t="str">
        <x:v>Dominio profesional</x:v>
      </x:c>
      <x:c r="J273" s="366" t="n">
        <x:v>2</x:v>
      </x:c>
      <x:c r="K273" s="366" t="n">
        <x:v>20</x:v>
      </x:c>
      <x:c r="L273" s="366" t="n">
        <x:v>52</x:v>
      </x:c>
      <x:c r="M273" s="366" t="n">
        <x:v>20</x:v>
      </x:c>
      <x:c r="N273" s="367" t="n">
        <x:f>SUM(K273:M273)</x:f>
        <x:v>92</x:v>
      </x:c>
      <x:c r="O273" s="368" t="n">
        <x:f>N273/25</x:f>
        <x:v>3.68</x:v>
      </x:c>
      <x:c r="P273" s="366" t="str">
        <x:v>Dashboard y memo ejecutivo: Analítica geoespacial.</x:v>
      </x:c>
      <x:c r="Q273" s="366" t="str">
        <x:v>S06; S07; S37; S38; S49</x:v>
      </x:c>
      <x:c r="R273" s="366" t="str">
        <x:v>No iniciado</x:v>
      </x:c>
      <x:c r="S273" s="369" t="n">
        <x:v>0</x:v>
      </x:c>
      <x:c r="T273" s="370"/>
      <x:c r="U273" s="370"/>
      <x:c r="V273" s="366" t="str">
        <x:v>Une estadística, bases de datos, investigación operativa, aprendizaje automático e IA generativa.</x:v>
      </x:c>
      <x:c r="W273" s="366" t="str">
        <x:v>Alta: práctica vigente</x:v>
      </x:c>
      <x:c r="X273" s="366" t="str">
        <x:v>Presente 2026 y corto (2027–2029)</x:v>
      </x:c>
      <x:c r="Y273" s="366" t="str">
        <x:v>Actual</x:v>
      </x:c>
      <x:c r="Z273" s="366" t="str">
        <x:v>12 meses</x:v>
      </x:c>
      <x:c r="AA273" s="366" t="str">
        <x:v>Modelos multimodales, IA agente, causalidad, privacidad, aprendizaje federado, evaluación y gobernanza.</x:v>
      </x:c>
    </x:row>
    <x:row r="274" ht="58" customHeight="1">
      <x:c r="A274" s="351" t="str">
        <x:v>DAI-028</x:v>
      </x:c>
      <x:c r="B274" s="351" t="n">
        <x:v>4</x:v>
      </x:c>
      <x:c r="C274" s="351" t="str">
        <x:v>Integración profesional</x:v>
      </x:c>
      <x:c r="D274" s="351" t="str">
        <x:v>Inteligencia artificial y aprendizaje automático</x:v>
      </x:c>
      <x:c r="E274" s="351" t="str">
        <x:v>Datos, BI e IA</x:v>
      </x:c>
      <x:c r="F274" s="351" t="str">
        <x:v>Fundamentos de inteligencia artificial</x:v>
      </x:c>
      <x:c r="G274" s="351" t="str">
        <x:v>Fundamentos de inteligencia artificial. Fundamentos, evaluación rigurosa, implementación, despliegue responsable y aplicaciones.</x:v>
      </x:c>
      <x:c r="H274" s="351" t="str">
        <x:v>MAT-007</x:v>
      </x:c>
      <x:c r="I274" s="351" t="str">
        <x:v>Dominio profesional</x:v>
      </x:c>
      <x:c r="J274" s="351" t="n">
        <x:v>2</x:v>
      </x:c>
      <x:c r="K274" s="351" t="n">
        <x:v>28</x:v>
      </x:c>
      <x:c r="L274" s="351" t="n">
        <x:v>36</x:v>
      </x:c>
      <x:c r="M274" s="351" t="n">
        <x:v>20</x:v>
      </x:c>
      <x:c r="N274" s="352" t="n">
        <x:f>SUM(K274:M274)</x:f>
        <x:v>84</x:v>
      </x:c>
      <x:c r="O274" s="353" t="n">
        <x:f>N274/25</x:f>
        <x:v>3.36</x:v>
      </x:c>
      <x:c r="P274" s="351" t="str">
        <x:v>Modelo evaluado y desplegado: Fundamentos de inteligencia artificial.</x:v>
      </x:c>
      <x:c r="Q274" s="351" t="str">
        <x:v>S01; S07; S12; S18; S19; S20; S38</x:v>
      </x:c>
      <x:c r="R274" s="351" t="str">
        <x:v>No iniciado</x:v>
      </x:c>
      <x:c r="S274" s="354" t="n">
        <x:v>0</x:v>
      </x:c>
      <x:c r="T274" s="355"/>
      <x:c r="U274" s="355"/>
      <x:c r="V274" s="351" t="str">
        <x:v>Une estadística, bases de datos, investigación operativa, aprendizaje automático e IA generativa.</x:v>
      </x:c>
      <x:c r="W274" s="351" t="str">
        <x:v>Alta: práctica vigente</x:v>
      </x:c>
      <x:c r="X274" s="351" t="str">
        <x:v>Presente 2026 y corto (2027–2029)</x:v>
      </x:c>
      <x:c r="Y274" s="351" t="str">
        <x:v>Actual</x:v>
      </x:c>
      <x:c r="Z274" s="351" t="str">
        <x:v>12 meses</x:v>
      </x:c>
      <x:c r="AA274" s="351" t="str">
        <x:v>Modelos multimodales, IA agente, causalidad, privacidad, aprendizaje federado, evaluación y gobernanza.</x:v>
      </x:c>
    </x:row>
    <x:row r="275" ht="58" customHeight="1">
      <x:c r="A275" s="366" t="str">
        <x:v>DAI-029</x:v>
      </x:c>
      <x:c r="B275" s="366" t="n">
        <x:v>4</x:v>
      </x:c>
      <x:c r="C275" s="366" t="str">
        <x:v>Integración profesional</x:v>
      </x:c>
      <x:c r="D275" s="366" t="str">
        <x:v>Inteligencia artificial y aprendizaje automático</x:v>
      </x:c>
      <x:c r="E275" s="366" t="str">
        <x:v>Datos, BI e IA</x:v>
      </x:c>
      <x:c r="F275" s="366" t="str">
        <x:v>Machine Learning I</x:v>
      </x:c>
      <x:c r="G275" s="366" t="str">
        <x:v>Machine Learning I. Fundamentos, evaluación rigurosa, implementación, despliegue responsable y aplicaciones.</x:v>
      </x:c>
      <x:c r="H275" s="366" t="str">
        <x:v>DAI-028</x:v>
      </x:c>
      <x:c r="I275" s="366" t="str">
        <x:v>Dominio profesional</x:v>
      </x:c>
      <x:c r="J275" s="366" t="n">
        <x:v>2</x:v>
      </x:c>
      <x:c r="K275" s="366" t="n">
        <x:v>28</x:v>
      </x:c>
      <x:c r="L275" s="366" t="n">
        <x:v>36</x:v>
      </x:c>
      <x:c r="M275" s="366" t="n">
        <x:v>20</x:v>
      </x:c>
      <x:c r="N275" s="367" t="n">
        <x:f>SUM(K275:M275)</x:f>
        <x:v>84</x:v>
      </x:c>
      <x:c r="O275" s="368" t="n">
        <x:f>N275/25</x:f>
        <x:v>3.36</x:v>
      </x:c>
      <x:c r="P275" s="366" t="str">
        <x:v>Modelo evaluado y desplegado: Machine Learning I.</x:v>
      </x:c>
      <x:c r="Q275" s="366" t="str">
        <x:v>S01; S07; S12; S18; S19; S20; S38</x:v>
      </x:c>
      <x:c r="R275" s="366" t="str">
        <x:v>No iniciado</x:v>
      </x:c>
      <x:c r="S275" s="369" t="n">
        <x:v>0</x:v>
      </x:c>
      <x:c r="T275" s="370"/>
      <x:c r="U275" s="370"/>
      <x:c r="V275" s="366" t="str">
        <x:v>Une estadística, bases de datos, investigación operativa, aprendizaje automático e IA generativa.</x:v>
      </x:c>
      <x:c r="W275" s="366" t="str">
        <x:v>Alta: práctica vigente</x:v>
      </x:c>
      <x:c r="X275" s="366" t="str">
        <x:v>Presente 2026 y corto (2027–2029)</x:v>
      </x:c>
      <x:c r="Y275" s="366" t="str">
        <x:v>Actual</x:v>
      </x:c>
      <x:c r="Z275" s="366" t="str">
        <x:v>12 meses</x:v>
      </x:c>
      <x:c r="AA275" s="366" t="str">
        <x:v>Modelos multimodales, IA agente, causalidad, privacidad, aprendizaje federado, evaluación y gobernanza.</x:v>
      </x:c>
    </x:row>
    <x:row r="276" ht="58" customHeight="1">
      <x:c r="A276" s="351" t="str">
        <x:v>DAI-030</x:v>
      </x:c>
      <x:c r="B276" s="351" t="n">
        <x:v>4</x:v>
      </x:c>
      <x:c r="C276" s="351" t="str">
        <x:v>Integración profesional</x:v>
      </x:c>
      <x:c r="D276" s="351" t="str">
        <x:v>Inteligencia artificial y aprendizaje automático</x:v>
      </x:c>
      <x:c r="E276" s="351" t="str">
        <x:v>Datos, BI e IA</x:v>
      </x:c>
      <x:c r="F276" s="351" t="str">
        <x:v>Machine Learning II</x:v>
      </x:c>
      <x:c r="G276" s="351" t="str">
        <x:v>Machine Learning II. Fundamentos, evaluación rigurosa, implementación, despliegue responsable y aplicaciones.</x:v>
      </x:c>
      <x:c r="H276" s="351" t="str">
        <x:v>DAI-029</x:v>
      </x:c>
      <x:c r="I276" s="351" t="str">
        <x:v>Dominio profesional</x:v>
      </x:c>
      <x:c r="J276" s="351" t="n">
        <x:v>2</x:v>
      </x:c>
      <x:c r="K276" s="351" t="n">
        <x:v>28</x:v>
      </x:c>
      <x:c r="L276" s="351" t="n">
        <x:v>36</x:v>
      </x:c>
      <x:c r="M276" s="351" t="n">
        <x:v>20</x:v>
      </x:c>
      <x:c r="N276" s="352" t="n">
        <x:f>SUM(K276:M276)</x:f>
        <x:v>84</x:v>
      </x:c>
      <x:c r="O276" s="353" t="n">
        <x:f>N276/25</x:f>
        <x:v>3.36</x:v>
      </x:c>
      <x:c r="P276" s="351" t="str">
        <x:v>Modelo evaluado y desplegado: Machine Learning II.</x:v>
      </x:c>
      <x:c r="Q276" s="351" t="str">
        <x:v>S01; S07; S12; S18; S19; S20; S38</x:v>
      </x:c>
      <x:c r="R276" s="351" t="str">
        <x:v>No iniciado</x:v>
      </x:c>
      <x:c r="S276" s="354" t="n">
        <x:v>0</x:v>
      </x:c>
      <x:c r="T276" s="355"/>
      <x:c r="U276" s="355"/>
      <x:c r="V276" s="351" t="str">
        <x:v>Une estadística, bases de datos, investigación operativa, aprendizaje automático e IA generativa.</x:v>
      </x:c>
      <x:c r="W276" s="351" t="str">
        <x:v>Alta: práctica vigente</x:v>
      </x:c>
      <x:c r="X276" s="351" t="str">
        <x:v>Presente 2026 y corto (2027–2029)</x:v>
      </x:c>
      <x:c r="Y276" s="351" t="str">
        <x:v>Actual</x:v>
      </x:c>
      <x:c r="Z276" s="351" t="str">
        <x:v>12 meses</x:v>
      </x:c>
      <x:c r="AA276" s="351" t="str">
        <x:v>Modelos multimodales, IA agente, causalidad, privacidad, aprendizaje federado, evaluación y gobernanza.</x:v>
      </x:c>
    </x:row>
    <x:row r="277" ht="58" customHeight="1">
      <x:c r="A277" s="366" t="str">
        <x:v>DAI-031</x:v>
      </x:c>
      <x:c r="B277" s="366" t="n">
        <x:v>4</x:v>
      </x:c>
      <x:c r="C277" s="366" t="str">
        <x:v>Integración profesional</x:v>
      </x:c>
      <x:c r="D277" s="366" t="str">
        <x:v>Inteligencia artificial y aprendizaje automático</x:v>
      </x:c>
      <x:c r="E277" s="366" t="str">
        <x:v>Datos, BI e IA</x:v>
      </x:c>
      <x:c r="F277" s="366" t="str">
        <x:v>Deep Learning</x:v>
      </x:c>
      <x:c r="G277" s="366" t="str">
        <x:v>Deep Learning. Fundamentos, evaluación rigurosa, implementación, despliegue responsable y aplicaciones.</x:v>
      </x:c>
      <x:c r="H277" s="366" t="str">
        <x:v>DAI-030</x:v>
      </x:c>
      <x:c r="I277" s="366" t="str">
        <x:v>Dominio profesional</x:v>
      </x:c>
      <x:c r="J277" s="366" t="n">
        <x:v>2</x:v>
      </x:c>
      <x:c r="K277" s="366" t="n">
        <x:v>28</x:v>
      </x:c>
      <x:c r="L277" s="366" t="n">
        <x:v>36</x:v>
      </x:c>
      <x:c r="M277" s="366" t="n">
        <x:v>20</x:v>
      </x:c>
      <x:c r="N277" s="367" t="n">
        <x:f>SUM(K277:M277)</x:f>
        <x:v>84</x:v>
      </x:c>
      <x:c r="O277" s="368" t="n">
        <x:f>N277/25</x:f>
        <x:v>3.36</x:v>
      </x:c>
      <x:c r="P277" s="366" t="str">
        <x:v>Modelo evaluado y desplegado: Deep Learning.</x:v>
      </x:c>
      <x:c r="Q277" s="366" t="str">
        <x:v>S01; S07; S12; S18; S19; S20; S38</x:v>
      </x:c>
      <x:c r="R277" s="366" t="str">
        <x:v>No iniciado</x:v>
      </x:c>
      <x:c r="S277" s="369" t="n">
        <x:v>0</x:v>
      </x:c>
      <x:c r="T277" s="370"/>
      <x:c r="U277" s="370"/>
      <x:c r="V277" s="366" t="str">
        <x:v>Une estadística, bases de datos, investigación operativa, aprendizaje automático e IA generativa.</x:v>
      </x:c>
      <x:c r="W277" s="366" t="str">
        <x:v>Alta: práctica vigente</x:v>
      </x:c>
      <x:c r="X277" s="366" t="str">
        <x:v>Presente 2026 y corto (2027–2029)</x:v>
      </x:c>
      <x:c r="Y277" s="366" t="str">
        <x:v>Actual</x:v>
      </x:c>
      <x:c r="Z277" s="366" t="str">
        <x:v>12 meses</x:v>
      </x:c>
      <x:c r="AA277" s="366" t="str">
        <x:v>Modelos multimodales, IA agente, causalidad, privacidad, aprendizaje federado, evaluación y gobernanza.</x:v>
      </x:c>
    </x:row>
    <x:row r="278" ht="58" customHeight="1">
      <x:c r="A278" s="351" t="str">
        <x:v>DAI-032</x:v>
      </x:c>
      <x:c r="B278" s="351" t="n">
        <x:v>4</x:v>
      </x:c>
      <x:c r="C278" s="351" t="str">
        <x:v>Integración profesional</x:v>
      </x:c>
      <x:c r="D278" s="351" t="str">
        <x:v>Inteligencia artificial y aprendizaje automático</x:v>
      </x:c>
      <x:c r="E278" s="351" t="str">
        <x:v>Datos, BI e IA</x:v>
      </x:c>
      <x:c r="F278" s="351" t="str">
        <x:v>Visión por computador</x:v>
      </x:c>
      <x:c r="G278" s="351" t="str">
        <x:v>Visión por computador. Fundamentos, evaluación rigurosa, implementación, despliegue responsable y aplicaciones.</x:v>
      </x:c>
      <x:c r="H278" s="351" t="str">
        <x:v>DAI-031</x:v>
      </x:c>
      <x:c r="I278" s="351" t="str">
        <x:v>Dominio profesional</x:v>
      </x:c>
      <x:c r="J278" s="351" t="n">
        <x:v>2</x:v>
      </x:c>
      <x:c r="K278" s="351" t="n">
        <x:v>28</x:v>
      </x:c>
      <x:c r="L278" s="351" t="n">
        <x:v>36</x:v>
      </x:c>
      <x:c r="M278" s="351" t="n">
        <x:v>20</x:v>
      </x:c>
      <x:c r="N278" s="352" t="n">
        <x:f>SUM(K278:M278)</x:f>
        <x:v>84</x:v>
      </x:c>
      <x:c r="O278" s="353" t="n">
        <x:f>N278/25</x:f>
        <x:v>3.36</x:v>
      </x:c>
      <x:c r="P278" s="351" t="str">
        <x:v>Modelo evaluado y desplegado: Visión por computador.</x:v>
      </x:c>
      <x:c r="Q278" s="351" t="str">
        <x:v>S01; S07; S12; S18; S19; S20; S38</x:v>
      </x:c>
      <x:c r="R278" s="351" t="str">
        <x:v>No iniciado</x:v>
      </x:c>
      <x:c r="S278" s="354" t="n">
        <x:v>0</x:v>
      </x:c>
      <x:c r="T278" s="355"/>
      <x:c r="U278" s="355"/>
      <x:c r="V278" s="351" t="str">
        <x:v>Une estadística, bases de datos, investigación operativa, aprendizaje automático e IA generativa.</x:v>
      </x:c>
      <x:c r="W278" s="351" t="str">
        <x:v>Alta: práctica vigente</x:v>
      </x:c>
      <x:c r="X278" s="351" t="str">
        <x:v>Presente 2026 y corto (2027–2029)</x:v>
      </x:c>
      <x:c r="Y278" s="351" t="str">
        <x:v>Actual</x:v>
      </x:c>
      <x:c r="Z278" s="351" t="str">
        <x:v>12 meses</x:v>
      </x:c>
      <x:c r="AA278" s="351" t="str">
        <x:v>Modelos multimodales, IA agente, causalidad, privacidad, aprendizaje federado, evaluación y gobernanza.</x:v>
      </x:c>
    </x:row>
    <x:row r="279" ht="58" customHeight="1">
      <x:c r="A279" s="366" t="str">
        <x:v>DAI-033</x:v>
      </x:c>
      <x:c r="B279" s="366" t="n">
        <x:v>4</x:v>
      </x:c>
      <x:c r="C279" s="366" t="str">
        <x:v>Integración profesional</x:v>
      </x:c>
      <x:c r="D279" s="366" t="str">
        <x:v>Inteligencia artificial y aprendizaje automático</x:v>
      </x:c>
      <x:c r="E279" s="366" t="str">
        <x:v>Datos, BI e IA</x:v>
      </x:c>
      <x:c r="F279" s="366" t="str">
        <x:v>Procesamiento de lenguaje natural</x:v>
      </x:c>
      <x:c r="G279" s="366" t="str">
        <x:v>Procesamiento de lenguaje natural. Fundamentos, evaluación rigurosa, implementación, despliegue responsable y aplicaciones.</x:v>
      </x:c>
      <x:c r="H279" s="366" t="str">
        <x:v>DAI-032</x:v>
      </x:c>
      <x:c r="I279" s="366" t="str">
        <x:v>Dominio profesional</x:v>
      </x:c>
      <x:c r="J279" s="366" t="n">
        <x:v>2</x:v>
      </x:c>
      <x:c r="K279" s="366" t="n">
        <x:v>28</x:v>
      </x:c>
      <x:c r="L279" s="366" t="n">
        <x:v>36</x:v>
      </x:c>
      <x:c r="M279" s="366" t="n">
        <x:v>20</x:v>
      </x:c>
      <x:c r="N279" s="367" t="n">
        <x:f>SUM(K279:M279)</x:f>
        <x:v>84</x:v>
      </x:c>
      <x:c r="O279" s="368" t="n">
        <x:f>N279/25</x:f>
        <x:v>3.36</x:v>
      </x:c>
      <x:c r="P279" s="366" t="str">
        <x:v>Modelo evaluado y desplegado: Procesamiento de lenguaje natural.</x:v>
      </x:c>
      <x:c r="Q279" s="366" t="str">
        <x:v>S01; S07; S12; S18; S19; S20; S38</x:v>
      </x:c>
      <x:c r="R279" s="366" t="str">
        <x:v>No iniciado</x:v>
      </x:c>
      <x:c r="S279" s="369" t="n">
        <x:v>0</x:v>
      </x:c>
      <x:c r="T279" s="370"/>
      <x:c r="U279" s="370"/>
      <x:c r="V279" s="366" t="str">
        <x:v>Une estadística, bases de datos, investigación operativa, aprendizaje automático e IA generativa.</x:v>
      </x:c>
      <x:c r="W279" s="366" t="str">
        <x:v>Alta: práctica vigente</x:v>
      </x:c>
      <x:c r="X279" s="366" t="str">
        <x:v>Presente 2026 y corto (2027–2029)</x:v>
      </x:c>
      <x:c r="Y279" s="366" t="str">
        <x:v>Actual</x:v>
      </x:c>
      <x:c r="Z279" s="366" t="str">
        <x:v>12 meses</x:v>
      </x:c>
      <x:c r="AA279" s="366" t="str">
        <x:v>Modelos multimodales, IA agente, causalidad, privacidad, aprendizaje federado, evaluación y gobernanza.</x:v>
      </x:c>
    </x:row>
    <x:row r="280" ht="58" customHeight="1">
      <x:c r="A280" s="351" t="str">
        <x:v>MED-033</x:v>
      </x:c>
      <x:c r="B280" s="351" t="n">
        <x:v>4</x:v>
      </x:c>
      <x:c r="C280" s="351" t="str">
        <x:v>Integración profesional</x:v>
      </x:c>
      <x:c r="D280" s="351" t="str">
        <x:v>Fotografía, cine, audio y posproducción</x:v>
      </x:c>
      <x:c r="E280" s="351" t="str">
        <x:v>Diseño, foto, cine y multimedia</x:v>
      </x:c>
      <x:c r="F280" s="351" t="str">
        <x:v>Efectos visuales y composición</x:v>
      </x:c>
      <x:c r="G280" s="351" t="str">
        <x:v>Efectos visuales y composición. Lenguaje, técnica, flujo de producción, narrativa, ética y publicación multiformato.</x:v>
      </x:c>
      <x:c r="H280" s="351" t="str">
        <x:v>MED-032</x:v>
      </x:c>
      <x:c r="I280" s="351" t="str">
        <x:v>Frontera/adyacente</x:v>
      </x:c>
      <x:c r="J280" s="351" t="n">
        <x:v>3</x:v>
      </x:c>
      <x:c r="K280" s="351" t="n">
        <x:v>18</x:v>
      </x:c>
      <x:c r="L280" s="351" t="n">
        <x:v>52</x:v>
      </x:c>
      <x:c r="M280" s="351" t="n">
        <x:v>26</x:v>
      </x:c>
      <x:c r="N280" s="352" t="n">
        <x:f>SUM(K280:M280)</x:f>
        <x:v>96</x:v>
      </x:c>
      <x:c r="O280" s="353" t="n">
        <x:f>N280/25</x:f>
        <x:v>3.84</x:v>
      </x:c>
      <x:c r="P280" s="351" t="str">
        <x:v>Producción audiovisual: Efectos visuales y composición.</x:v>
      </x:c>
      <x:c r="Q280" s="351" t="str">
        <x:v>S44; S45</x:v>
      </x:c>
      <x:c r="R280" s="351" t="str">
        <x:v>No iniciado</x:v>
      </x:c>
      <x:c r="S280" s="354" t="n">
        <x:v>0</x:v>
      </x:c>
      <x:c r="T280" s="355"/>
      <x:c r="U280" s="355"/>
      <x:c r="V280" s="351" t="str">
        <x:v>Integra artes visuales y narrativas con reproducción, captura, edición y distribución digital.</x:v>
      </x:c>
      <x:c r="W280" s="351" t="str">
        <x:v>Alta: práctica vigente</x:v>
      </x:c>
      <x:c r="X280" s="351" t="str">
        <x:v>Presente 2026 y corto (2027–2029)</x:v>
      </x:c>
      <x:c r="Y280" s="351" t="str">
        <x:v>Actual</x:v>
      </x:c>
      <x:c r="Z280" s="351" t="str">
        <x:v>12 meses</x:v>
      </x:c>
      <x:c r="AA280" s="351" t="str">
        <x:v>Medios generativos con procedencia, producción virtual, síntesis multimodal y autenticidad verificable.</x:v>
      </x:c>
    </x:row>
    <x:row r="281" ht="58" customHeight="1">
      <x:c r="A281" s="366" t="str">
        <x:v>MED-034</x:v>
      </x:c>
      <x:c r="B281" s="366" t="n">
        <x:v>4</x:v>
      </x:c>
      <x:c r="C281" s="366" t="str">
        <x:v>Integración profesional</x:v>
      </x:c>
      <x:c r="D281" s="366" t="str">
        <x:v>Fotografía, cine, audio y posproducción</x:v>
      </x:c>
      <x:c r="E281" s="366" t="str">
        <x:v>Diseño, foto, cine y multimedia</x:v>
      </x:c>
      <x:c r="F281" s="366" t="str">
        <x:v>Animación 2D</x:v>
      </x:c>
      <x:c r="G281" s="366" t="str">
        <x:v>Animación 2D. Lenguaje, técnica, flujo de producción, narrativa, ética y publicación multiformato.</x:v>
      </x:c>
      <x:c r="H281" s="366" t="str">
        <x:v>MED-033</x:v>
      </x:c>
      <x:c r="I281" s="366" t="str">
        <x:v>Frontera/adyacente</x:v>
      </x:c>
      <x:c r="J281" s="366" t="n">
        <x:v>3</x:v>
      </x:c>
      <x:c r="K281" s="366" t="n">
        <x:v>18</x:v>
      </x:c>
      <x:c r="L281" s="366" t="n">
        <x:v>52</x:v>
      </x:c>
      <x:c r="M281" s="366" t="n">
        <x:v>26</x:v>
      </x:c>
      <x:c r="N281" s="367" t="n">
        <x:f>SUM(K281:M281)</x:f>
        <x:v>96</x:v>
      </x:c>
      <x:c r="O281" s="368" t="n">
        <x:f>N281/25</x:f>
        <x:v>3.84</x:v>
      </x:c>
      <x:c r="P281" s="366" t="str">
        <x:v>Producción audiovisual: Animación 2D.</x:v>
      </x:c>
      <x:c r="Q281" s="366" t="str">
        <x:v>S44; S45</x:v>
      </x:c>
      <x:c r="R281" s="366" t="str">
        <x:v>No iniciado</x:v>
      </x:c>
      <x:c r="S281" s="369" t="n">
        <x:v>0</x:v>
      </x:c>
      <x:c r="T281" s="370"/>
      <x:c r="U281" s="370"/>
      <x:c r="V281" s="366" t="str">
        <x:v>Integra artes visuales y narrativas con reproducción, captura, edición y distribución digital.</x:v>
      </x:c>
      <x:c r="W281" s="366" t="str">
        <x:v>Alta: práctica vigente</x:v>
      </x:c>
      <x:c r="X281" s="366" t="str">
        <x:v>Presente 2026 y corto (2027–2029)</x:v>
      </x:c>
      <x:c r="Y281" s="366" t="str">
        <x:v>Actual</x:v>
      </x:c>
      <x:c r="Z281" s="366" t="str">
        <x:v>12 meses</x:v>
      </x:c>
      <x:c r="AA281" s="366" t="str">
        <x:v>Medios generativos con procedencia, producción virtual, síntesis multimodal y autenticidad verificable.</x:v>
      </x:c>
    </x:row>
    <x:row r="282" ht="58" customHeight="1">
      <x:c r="A282" s="351" t="str">
        <x:v>MED-035</x:v>
      </x:c>
      <x:c r="B282" s="351" t="n">
        <x:v>4</x:v>
      </x:c>
      <x:c r="C282" s="351" t="str">
        <x:v>Integración profesional</x:v>
      </x:c>
      <x:c r="D282" s="351" t="str">
        <x:v>Fotografía, cine, audio y posproducción</x:v>
      </x:c>
      <x:c r="E282" s="351" t="str">
        <x:v>Diseño, foto, cine y multimedia</x:v>
      </x:c>
      <x:c r="F282" s="351" t="str">
        <x:v>Modelado y animación 3D con Blender</x:v>
      </x:c>
      <x:c r="G282" s="351" t="str">
        <x:v>Modelado y animación 3D con Blender. Lenguaje, técnica, flujo de producción, narrativa, ética y publicación multiformato.</x:v>
      </x:c>
      <x:c r="H282" s="351" t="str">
        <x:v>MED-034</x:v>
      </x:c>
      <x:c r="I282" s="351" t="str">
        <x:v>Frontera/adyacente</x:v>
      </x:c>
      <x:c r="J282" s="351" t="n">
        <x:v>3</x:v>
      </x:c>
      <x:c r="K282" s="351" t="n">
        <x:v>18</x:v>
      </x:c>
      <x:c r="L282" s="351" t="n">
        <x:v>52</x:v>
      </x:c>
      <x:c r="M282" s="351" t="n">
        <x:v>26</x:v>
      </x:c>
      <x:c r="N282" s="352" t="n">
        <x:f>SUM(K282:M282)</x:f>
        <x:v>96</x:v>
      </x:c>
      <x:c r="O282" s="353" t="n">
        <x:f>N282/25</x:f>
        <x:v>3.84</x:v>
      </x:c>
      <x:c r="P282" s="351" t="str">
        <x:v>Producción audiovisual: Modelado y animación 3D con Blender.</x:v>
      </x:c>
      <x:c r="Q282" s="351" t="str">
        <x:v>S44; S45</x:v>
      </x:c>
      <x:c r="R282" s="351" t="str">
        <x:v>No iniciado</x:v>
      </x:c>
      <x:c r="S282" s="354" t="n">
        <x:v>0</x:v>
      </x:c>
      <x:c r="T282" s="355"/>
      <x:c r="U282" s="355"/>
      <x:c r="V282" s="351" t="str">
        <x:v>Integra artes visuales y narrativas con reproducción, captura, edición y distribución digital.</x:v>
      </x:c>
      <x:c r="W282" s="351" t="str">
        <x:v>Alta: práctica vigente</x:v>
      </x:c>
      <x:c r="X282" s="351" t="str">
        <x:v>Presente 2026 y corto (2027–2029)</x:v>
      </x:c>
      <x:c r="Y282" s="351" t="str">
        <x:v>Actual</x:v>
      </x:c>
      <x:c r="Z282" s="351" t="str">
        <x:v>12 meses</x:v>
      </x:c>
      <x:c r="AA282" s="351" t="str">
        <x:v>Medios generativos con procedencia, producción virtual, síntesis multimodal y autenticidad verificable.</x:v>
      </x:c>
    </x:row>
    <x:row r="283" ht="58" customHeight="1">
      <x:c r="A283" s="366" t="str">
        <x:v>MED-036</x:v>
      </x:c>
      <x:c r="B283" s="366" t="n">
        <x:v>4</x:v>
      </x:c>
      <x:c r="C283" s="366" t="str">
        <x:v>Integración profesional</x:v>
      </x:c>
      <x:c r="D283" s="366" t="str">
        <x:v>Fotografía, cine, audio y posproducción</x:v>
      </x:c>
      <x:c r="E283" s="366" t="str">
        <x:v>Diseño, foto, cine y multimedia</x:v>
      </x:c>
      <x:c r="F283" s="366" t="str">
        <x:v>Documental</x:v>
      </x:c>
      <x:c r="G283" s="366" t="str">
        <x:v>Documental. Lenguaje, técnica, flujo de producción, narrativa, ética y publicación multiformato.</x:v>
      </x:c>
      <x:c r="H283" s="366" t="str">
        <x:v>MED-035</x:v>
      </x:c>
      <x:c r="I283" s="366" t="str">
        <x:v>Frontera/adyacente</x:v>
      </x:c>
      <x:c r="J283" s="366" t="n">
        <x:v>3</x:v>
      </x:c>
      <x:c r="K283" s="366" t="n">
        <x:v>18</x:v>
      </x:c>
      <x:c r="L283" s="366" t="n">
        <x:v>52</x:v>
      </x:c>
      <x:c r="M283" s="366" t="n">
        <x:v>26</x:v>
      </x:c>
      <x:c r="N283" s="367" t="n">
        <x:f>SUM(K283:M283)</x:f>
        <x:v>96</x:v>
      </x:c>
      <x:c r="O283" s="368" t="n">
        <x:f>N283/25</x:f>
        <x:v>3.84</x:v>
      </x:c>
      <x:c r="P283" s="366" t="str">
        <x:v>Producción audiovisual: Documental.</x:v>
      </x:c>
      <x:c r="Q283" s="366" t="str">
        <x:v>S44; S45</x:v>
      </x:c>
      <x:c r="R283" s="366" t="str">
        <x:v>No iniciado</x:v>
      </x:c>
      <x:c r="S283" s="369" t="n">
        <x:v>0</x:v>
      </x:c>
      <x:c r="T283" s="370"/>
      <x:c r="U283" s="370"/>
      <x:c r="V283" s="366" t="str">
        <x:v>Integra artes visuales y narrativas con reproducción, captura, edición y distribución digital.</x:v>
      </x:c>
      <x:c r="W283" s="366" t="str">
        <x:v>Alta: práctica vigente</x:v>
      </x:c>
      <x:c r="X283" s="366" t="str">
        <x:v>Presente 2026 y corto (2027–2029)</x:v>
      </x:c>
      <x:c r="Y283" s="366" t="str">
        <x:v>Actual</x:v>
      </x:c>
      <x:c r="Z283" s="366" t="str">
        <x:v>12 meses</x:v>
      </x:c>
      <x:c r="AA283" s="366" t="str">
        <x:v>Medios generativos con procedencia, producción virtual, síntesis multimodal y autenticidad verificable.</x:v>
      </x:c>
    </x:row>
    <x:row r="284" ht="58" customHeight="1">
      <x:c r="A284" s="351" t="str">
        <x:v>MED-037</x:v>
      </x:c>
      <x:c r="B284" s="351" t="n">
        <x:v>4</x:v>
      </x:c>
      <x:c r="C284" s="351" t="str">
        <x:v>Integración profesional</x:v>
      </x:c>
      <x:c r="D284" s="351" t="str">
        <x:v>Fotografía, cine, audio y posproducción</x:v>
      </x:c>
      <x:c r="E284" s="351" t="str">
        <x:v>Diseño, foto, cine y multimedia</x:v>
      </x:c>
      <x:c r="F284" s="351" t="str">
        <x:v>Streaming y producción multicámara</x:v>
      </x:c>
      <x:c r="G284" s="351" t="str">
        <x:v>Streaming y producción multicámara. Lenguaje, técnica, flujo de producción, narrativa, ética y publicación multiformato.</x:v>
      </x:c>
      <x:c r="H284" s="351" t="str">
        <x:v>MED-036</x:v>
      </x:c>
      <x:c r="I284" s="351" t="str">
        <x:v>Frontera/adyacente</x:v>
      </x:c>
      <x:c r="J284" s="351" t="n">
        <x:v>3</x:v>
      </x:c>
      <x:c r="K284" s="351" t="n">
        <x:v>18</x:v>
      </x:c>
      <x:c r="L284" s="351" t="n">
        <x:v>52</x:v>
      </x:c>
      <x:c r="M284" s="351" t="n">
        <x:v>26</x:v>
      </x:c>
      <x:c r="N284" s="352" t="n">
        <x:f>SUM(K284:M284)</x:f>
        <x:v>96</x:v>
      </x:c>
      <x:c r="O284" s="353" t="n">
        <x:f>N284/25</x:f>
        <x:v>3.84</x:v>
      </x:c>
      <x:c r="P284" s="351" t="str">
        <x:v>Producción audiovisual: Streaming y producción multicámara.</x:v>
      </x:c>
      <x:c r="Q284" s="351" t="str">
        <x:v>S44; S45</x:v>
      </x:c>
      <x:c r="R284" s="351" t="str">
        <x:v>No iniciado</x:v>
      </x:c>
      <x:c r="S284" s="354" t="n">
        <x:v>0</x:v>
      </x:c>
      <x:c r="T284" s="355"/>
      <x:c r="U284" s="355"/>
      <x:c r="V284" s="351" t="str">
        <x:v>Integra artes visuales y narrativas con reproducción, captura, edición y distribución digital.</x:v>
      </x:c>
      <x:c r="W284" s="351" t="str">
        <x:v>Alta: práctica vigente</x:v>
      </x:c>
      <x:c r="X284" s="351" t="str">
        <x:v>Presente 2026 y corto (2027–2029)</x:v>
      </x:c>
      <x:c r="Y284" s="351" t="str">
        <x:v>Actual</x:v>
      </x:c>
      <x:c r="Z284" s="351" t="str">
        <x:v>12 meses</x:v>
      </x:c>
      <x:c r="AA284" s="351" t="str">
        <x:v>Medios generativos con procedencia, producción virtual, síntesis multimodal y autenticidad verificable.</x:v>
      </x:c>
    </x:row>
    <x:row r="285" ht="58" customHeight="1">
      <x:c r="A285" s="366" t="str">
        <x:v>MED-038</x:v>
      </x:c>
      <x:c r="B285" s="366" t="n">
        <x:v>4</x:v>
      </x:c>
      <x:c r="C285" s="366" t="str">
        <x:v>Integración profesional</x:v>
      </x:c>
      <x:c r="D285" s="366" t="str">
        <x:v>Fotografía, cine, audio y posproducción</x:v>
      </x:c>
      <x:c r="E285" s="366" t="str">
        <x:v>Diseño, foto, cine y multimedia</x:v>
      </x:c>
      <x:c r="F285" s="366" t="str">
        <x:v>Gestión de medios y preservación digital</x:v>
      </x:c>
      <x:c r="G285" s="366" t="str">
        <x:v>Gestión de medios y preservación digital. Lenguaje, técnica, flujo de producción, narrativa, ética y publicación multiformato.</x:v>
      </x:c>
      <x:c r="H285" s="366" t="str">
        <x:v>MED-037</x:v>
      </x:c>
      <x:c r="I285" s="366" t="str">
        <x:v>Frontera/adyacente</x:v>
      </x:c>
      <x:c r="J285" s="366" t="n">
        <x:v>3</x:v>
      </x:c>
      <x:c r="K285" s="366" t="n">
        <x:v>18</x:v>
      </x:c>
      <x:c r="L285" s="366" t="n">
        <x:v>52</x:v>
      </x:c>
      <x:c r="M285" s="366" t="n">
        <x:v>26</x:v>
      </x:c>
      <x:c r="N285" s="367" t="n">
        <x:f>SUM(K285:M285)</x:f>
        <x:v>96</x:v>
      </x:c>
      <x:c r="O285" s="368" t="n">
        <x:f>N285/25</x:f>
        <x:v>3.84</x:v>
      </x:c>
      <x:c r="P285" s="366" t="str">
        <x:v>Producción audiovisual: Gestión de medios y preservación digital.</x:v>
      </x:c>
      <x:c r="Q285" s="366" t="str">
        <x:v>S44; S45</x:v>
      </x:c>
      <x:c r="R285" s="366" t="str">
        <x:v>No iniciado</x:v>
      </x:c>
      <x:c r="S285" s="369" t="n">
        <x:v>0</x:v>
      </x:c>
      <x:c r="T285" s="370"/>
      <x:c r="U285" s="370"/>
      <x:c r="V285" s="366" t="str">
        <x:v>Integra artes visuales y narrativas con reproducción, captura, edición y distribución digital.</x:v>
      </x:c>
      <x:c r="W285" s="366" t="str">
        <x:v>Alta: práctica vigente</x:v>
      </x:c>
      <x:c r="X285" s="366" t="str">
        <x:v>Presente 2026 y corto (2027–2029)</x:v>
      </x:c>
      <x:c r="Y285" s="366" t="str">
        <x:v>Actual</x:v>
      </x:c>
      <x:c r="Z285" s="366" t="str">
        <x:v>12 meses</x:v>
      </x:c>
      <x:c r="AA285" s="366" t="str">
        <x:v>Medios generativos con procedencia, producción virtual, síntesis multimodal y autenticidad verificable.</x:v>
      </x:c>
    </x:row>
    <x:row r="286" ht="58" customHeight="1">
      <x:c r="A286" s="351" t="str">
        <x:v>MED-039</x:v>
      </x:c>
      <x:c r="B286" s="351" t="n">
        <x:v>4</x:v>
      </x:c>
      <x:c r="C286" s="351" t="str">
        <x:v>Integración profesional</x:v>
      </x:c>
      <x:c r="D286" s="351" t="str">
        <x:v>Fotografía, cine, audio y posproducción</x:v>
      </x:c>
      <x:c r="E286" s="351" t="str">
        <x:v>Diseño, foto, cine y multimedia</x:v>
      </x:c>
      <x:c r="F286" s="351" t="str">
        <x:v>Ética, derechos de autor y licencias creativas</x:v>
      </x:c>
      <x:c r="G286" s="351" t="str">
        <x:v>Ética, derechos de autor y licencias creativas. Lenguaje, técnica, flujo de producción, narrativa, ética y publicación multiformato.</x:v>
      </x:c>
      <x:c r="H286" s="351" t="str">
        <x:v>MED-038</x:v>
      </x:c>
      <x:c r="I286" s="351" t="str">
        <x:v>Frontera/adyacente</x:v>
      </x:c>
      <x:c r="J286" s="351" t="n">
        <x:v>3</x:v>
      </x:c>
      <x:c r="K286" s="351" t="n">
        <x:v>18</x:v>
      </x:c>
      <x:c r="L286" s="351" t="n">
        <x:v>52</x:v>
      </x:c>
      <x:c r="M286" s="351" t="n">
        <x:v>26</x:v>
      </x:c>
      <x:c r="N286" s="352" t="n">
        <x:f>SUM(K286:M286)</x:f>
        <x:v>96</x:v>
      </x:c>
      <x:c r="O286" s="353" t="n">
        <x:f>N286/25</x:f>
        <x:v>3.84</x:v>
      </x:c>
      <x:c r="P286" s="351" t="str">
        <x:v>Producción audiovisual: Ética, derechos de autor y licencias creativas.</x:v>
      </x:c>
      <x:c r="Q286" s="351" t="str">
        <x:v>S44; S45</x:v>
      </x:c>
      <x:c r="R286" s="351" t="str">
        <x:v>No iniciado</x:v>
      </x:c>
      <x:c r="S286" s="354" t="n">
        <x:v>0</x:v>
      </x:c>
      <x:c r="T286" s="355"/>
      <x:c r="U286" s="355"/>
      <x:c r="V286" s="351" t="str">
        <x:v>Integra artes visuales y narrativas con reproducción, captura, edición y distribución digital.</x:v>
      </x:c>
      <x:c r="W286" s="351" t="str">
        <x:v>Alta: práctica vigente</x:v>
      </x:c>
      <x:c r="X286" s="351" t="str">
        <x:v>Presente 2026 y corto (2027–2029)</x:v>
      </x:c>
      <x:c r="Y286" s="351" t="str">
        <x:v>Actual</x:v>
      </x:c>
      <x:c r="Z286" s="351" t="str">
        <x:v>12 meses</x:v>
      </x:c>
      <x:c r="AA286" s="351" t="str">
        <x:v>Medios generativos con procedencia, producción virtual, síntesis multimodal y autenticidad verificable.</x:v>
      </x:c>
    </x:row>
    <x:row r="287" ht="58" customHeight="1">
      <x:c r="A287" s="366" t="str">
        <x:v>EIO-013</x:v>
      </x:c>
      <x:c r="B287" s="366" t="n">
        <x:v>4</x:v>
      </x:c>
      <x:c r="C287" s="366" t="str">
        <x:v>Integración profesional</x:v>
      </x:c>
      <x:c r="D287" s="366" t="str">
        <x:v>Electrónica y hardware</x:v>
      </x:c>
      <x:c r="E287" s="366" t="str">
        <x:v>Electrónica, embebidos e IoT</x:v>
      </x:c>
      <x:c r="F287" s="366" t="str">
        <x:v>Microelectrónica y fabricación de chips</x:v>
      </x:c>
      <x:c r="G287" s="366" t="str">
        <x:v>Microelectrónica y fabricación de chips. Cálculo, simulación, medición con instrumentos, seguridad y montaje en laboratorio.</x:v>
      </x:c>
      <x:c r="H287" s="366" t="str">
        <x:v>EIO-012</x:v>
      </x:c>
      <x:c r="I287" s="366" t="str">
        <x:v>Núcleo esencial</x:v>
      </x:c>
      <x:c r="J287" s="366" t="n">
        <x:v>1</x:v>
      </x:c>
      <x:c r="K287" s="366" t="n">
        <x:v>36</x:v>
      </x:c>
      <x:c r="L287" s="366" t="n">
        <x:v>42</x:v>
      </x:c>
      <x:c r="M287" s="366" t="n">
        <x:v>22</x:v>
      </x:c>
      <x:c r="N287" s="367" t="n">
        <x:f>SUM(K287:M287)</x:f>
        <x:v>100</x:v>
      </x:c>
      <x:c r="O287" s="368" t="n">
        <x:f>N287/25</x:f>
        <x:v>4</x:v>
      </x:c>
      <x:c r="P287" s="366" t="str">
        <x:v>Circuito medido y documentado: Microelectrónica y fabricación de chips.</x:v>
      </x:c>
      <x:c r="Q287" s="366" t="str">
        <x:v>S04; S10; S13; S21; S26; S48</x:v>
      </x:c>
      <x:c r="R287" s="366" t="str">
        <x:v>No iniciado</x:v>
      </x:c>
      <x:c r="S287" s="369" t="n">
        <x:v>0</x:v>
      </x:c>
      <x:c r="T287" s="370"/>
      <x:c r="U287" s="370"/>
      <x:c r="V287" s="366" t="str">
        <x:v>Desciende de electricidad, radio, semiconductores, microcontroladores y control digital.</x:v>
      </x:c>
      <x:c r="W287" s="366" t="str">
        <x:v>Muy alta: fundamento durable</x:v>
      </x:c>
      <x:c r="X287" s="366" t="str">
        <x:v>Transversal permanente</x:v>
      </x:c>
      <x:c r="Y287" s="366" t="str">
        <x:v>Consolidada</x:v>
      </x:c>
      <x:c r="Z287" s="366" t="str">
        <x:v>24 meses</x:v>
      </x:c>
      <x:c r="AA287" s="366" t="str">
        <x:v>TinyML, gemelos digitales, sensores distribuidos, diseño abierto y electrónica flexible o integrada.</x:v>
      </x:c>
    </x:row>
    <x:row r="288" ht="58" customHeight="1">
      <x:c r="A288" s="351" t="str">
        <x:v>EIO-014</x:v>
      </x:c>
      <x:c r="B288" s="351" t="n">
        <x:v>4</x:v>
      </x:c>
      <x:c r="C288" s="351" t="str">
        <x:v>Integración profesional</x:v>
      </x:c>
      <x:c r="D288" s="351" t="str">
        <x:v>Electrónica y hardware</x:v>
      </x:c>
      <x:c r="E288" s="351" t="str">
        <x:v>Electrónica, embebidos e IoT</x:v>
      </x:c>
      <x:c r="F288" s="351" t="str">
        <x:v>Compatibilidad electromagnética</x:v>
      </x:c>
      <x:c r="G288" s="351" t="str">
        <x:v>Compatibilidad electromagnética. Cálculo, simulación, medición con instrumentos, seguridad y montaje en laboratorio.</x:v>
      </x:c>
      <x:c r="H288" s="351" t="str">
        <x:v>EIO-013</x:v>
      </x:c>
      <x:c r="I288" s="351" t="str">
        <x:v>Núcleo esencial</x:v>
      </x:c>
      <x:c r="J288" s="351" t="n">
        <x:v>1</x:v>
      </x:c>
      <x:c r="K288" s="351" t="n">
        <x:v>36</x:v>
      </x:c>
      <x:c r="L288" s="351" t="n">
        <x:v>42</x:v>
      </x:c>
      <x:c r="M288" s="351" t="n">
        <x:v>22</x:v>
      </x:c>
      <x:c r="N288" s="352" t="n">
        <x:f>SUM(K288:M288)</x:f>
        <x:v>100</x:v>
      </x:c>
      <x:c r="O288" s="353" t="n">
        <x:f>N288/25</x:f>
        <x:v>4</x:v>
      </x:c>
      <x:c r="P288" s="351" t="str">
        <x:v>Circuito medido y documentado: Compatibilidad electromagnética.</x:v>
      </x:c>
      <x:c r="Q288" s="351" t="str">
        <x:v>S04; S10; S13; S21; S26; S48</x:v>
      </x:c>
      <x:c r="R288" s="351" t="str">
        <x:v>No iniciado</x:v>
      </x:c>
      <x:c r="S288" s="354" t="n">
        <x:v>0</x:v>
      </x:c>
      <x:c r="T288" s="355"/>
      <x:c r="U288" s="355"/>
      <x:c r="V288" s="351" t="str">
        <x:v>Desciende de electricidad, radio, semiconductores, microcontroladores y control digital.</x:v>
      </x:c>
      <x:c r="W288" s="351" t="str">
        <x:v>Muy alta: fundamento durable</x:v>
      </x:c>
      <x:c r="X288" s="351" t="str">
        <x:v>Transversal permanente</x:v>
      </x:c>
      <x:c r="Y288" s="351" t="str">
        <x:v>Consolidada</x:v>
      </x:c>
      <x:c r="Z288" s="351" t="str">
        <x:v>24 meses</x:v>
      </x:c>
      <x:c r="AA288" s="351" t="str">
        <x:v>TinyML, gemelos digitales, sensores distribuidos, diseño abierto y electrónica flexible o integrada.</x:v>
      </x:c>
    </x:row>
    <x:row r="289" ht="58" customHeight="1">
      <x:c r="A289" s="366" t="str">
        <x:v>EIO-015</x:v>
      </x:c>
      <x:c r="B289" s="366" t="n">
        <x:v>4</x:v>
      </x:c>
      <x:c r="C289" s="366" t="str">
        <x:v>Integración profesional</x:v>
      </x:c>
      <x:c r="D289" s="366" t="str">
        <x:v>Electrónica y hardware</x:v>
      </x:c>
      <x:c r="E289" s="366" t="str">
        <x:v>Electrónica, embebidos e IoT</x:v>
      </x:c>
      <x:c r="F289" s="366" t="str">
        <x:v>Fuentes de alimentación y baterías</x:v>
      </x:c>
      <x:c r="G289" s="366" t="str">
        <x:v>Fuentes de alimentación y baterías. Cálculo, simulación, medición con instrumentos, seguridad y montaje en laboratorio.</x:v>
      </x:c>
      <x:c r="H289" s="366" t="str">
        <x:v>EIO-014</x:v>
      </x:c>
      <x:c r="I289" s="366" t="str">
        <x:v>Núcleo esencial</x:v>
      </x:c>
      <x:c r="J289" s="366" t="n">
        <x:v>1</x:v>
      </x:c>
      <x:c r="K289" s="366" t="n">
        <x:v>36</x:v>
      </x:c>
      <x:c r="L289" s="366" t="n">
        <x:v>42</x:v>
      </x:c>
      <x:c r="M289" s="366" t="n">
        <x:v>22</x:v>
      </x:c>
      <x:c r="N289" s="367" t="n">
        <x:f>SUM(K289:M289)</x:f>
        <x:v>100</x:v>
      </x:c>
      <x:c r="O289" s="368" t="n">
        <x:f>N289/25</x:f>
        <x:v>4</x:v>
      </x:c>
      <x:c r="P289" s="366" t="str">
        <x:v>Circuito medido y documentado: Fuentes de alimentación y baterías.</x:v>
      </x:c>
      <x:c r="Q289" s="366" t="str">
        <x:v>S04; S10; S13; S21; S26; S48</x:v>
      </x:c>
      <x:c r="R289" s="366" t="str">
        <x:v>No iniciado</x:v>
      </x:c>
      <x:c r="S289" s="369" t="n">
        <x:v>0</x:v>
      </x:c>
      <x:c r="T289" s="370"/>
      <x:c r="U289" s="370"/>
      <x:c r="V289" s="366" t="str">
        <x:v>Desciende de electricidad, radio, semiconductores, microcontroladores y control digital.</x:v>
      </x:c>
      <x:c r="W289" s="366" t="str">
        <x:v>Muy alta: fundamento durable</x:v>
      </x:c>
      <x:c r="X289" s="366" t="str">
        <x:v>Transversal permanente</x:v>
      </x:c>
      <x:c r="Y289" s="366" t="str">
        <x:v>Consolidada</x:v>
      </x:c>
      <x:c r="Z289" s="366" t="str">
        <x:v>24 meses</x:v>
      </x:c>
      <x:c r="AA289" s="366" t="str">
        <x:v>TinyML, gemelos digitales, sensores distribuidos, diseño abierto y electrónica flexible o integrada.</x:v>
      </x:c>
    </x:row>
    <x:row r="290" ht="58" customHeight="1">
      <x:c r="A290" s="351" t="str">
        <x:v>EIO-022</x:v>
      </x:c>
      <x:c r="B290" s="351" t="n">
        <x:v>4</x:v>
      </x:c>
      <x:c r="C290" s="351" t="str">
        <x:v>Integración profesional</x:v>
      </x:c>
      <x:c r="D290" s="351" t="str">
        <x:v>Embebidos e Internet de las Cosas</x:v>
      </x:c>
      <x:c r="E290" s="351" t="str">
        <x:v>Electrónica, embebidos e IoT</x:v>
      </x:c>
      <x:c r="F290" s="351" t="str">
        <x:v>Protocolos de buses y periféricos</x:v>
      </x:c>
      <x:c r="G290" s="351" t="str">
        <x:v>Protocolos de buses y periféricos. Integración hardware–software, comunicaciones, energía, seguridad y despliegue.</x:v>
      </x:c>
      <x:c r="H290" s="351" t="str">
        <x:v>EIO-021</x:v>
      </x:c>
      <x:c r="I290" s="351" t="str">
        <x:v>Dominio profesional</x:v>
      </x:c>
      <x:c r="J290" s="351" t="n">
        <x:v>2</x:v>
      </x:c>
      <x:c r="K290" s="351" t="n">
        <x:v>20</x:v>
      </x:c>
      <x:c r="L290" s="351" t="n">
        <x:v>52</x:v>
      </x:c>
      <x:c r="M290" s="351" t="n">
        <x:v>20</x:v>
      </x:c>
      <x:c r="N290" s="352" t="n">
        <x:f>SUM(K290:M290)</x:f>
        <x:v>92</x:v>
      </x:c>
      <x:c r="O290" s="353" t="n">
        <x:f>N290/25</x:f>
        <x:v>3.68</x:v>
      </x:c>
      <x:c r="P290" s="351" t="str">
        <x:v>Dispositivo IoT funcional: Protocolos de buses y periféricos.</x:v>
      </x:c>
      <x:c r="Q290" s="351" t="str">
        <x:v>S02; S04; S18; S21; S24; S26</x:v>
      </x:c>
      <x:c r="R290" s="351" t="str">
        <x:v>No iniciado</x:v>
      </x:c>
      <x:c r="S290" s="354" t="n">
        <x:v>0</x:v>
      </x:c>
      <x:c r="T290" s="355"/>
      <x:c r="U290" s="355"/>
      <x:c r="V290" s="351" t="str">
        <x:v>Desciende de electricidad, radio, semiconductores, microcontroladores y control digital.</x:v>
      </x:c>
      <x:c r="W290" s="351" t="str">
        <x:v>Alta: práctica vigente</x:v>
      </x:c>
      <x:c r="X290" s="351" t="str">
        <x:v>Presente 2026 y corto (2027–2029)</x:v>
      </x:c>
      <x:c r="Y290" s="351" t="str">
        <x:v>Actual</x:v>
      </x:c>
      <x:c r="Z290" s="351" t="str">
        <x:v>12 meses</x:v>
      </x:c>
      <x:c r="AA290" s="351" t="str">
        <x:v>TinyML, gemelos digitales, sensores distribuidos, diseño abierto y electrónica flexible o integrada.</x:v>
      </x:c>
    </x:row>
    <x:row r="291" ht="58" customHeight="1">
      <x:c r="A291" s="366" t="str">
        <x:v>EIO-023</x:v>
      </x:c>
      <x:c r="B291" s="366" t="n">
        <x:v>4</x:v>
      </x:c>
      <x:c r="C291" s="366" t="str">
        <x:v>Integración profesional</x:v>
      </x:c>
      <x:c r="D291" s="366" t="str">
        <x:v>Embebidos e Internet de las Cosas</x:v>
      </x:c>
      <x:c r="E291" s="366" t="str">
        <x:v>Electrónica, embebidos e IoT</x:v>
      </x:c>
      <x:c r="F291" s="366" t="str">
        <x:v>Arquitectura IoT</x:v>
      </x:c>
      <x:c r="G291" s="366" t="str">
        <x:v>Arquitectura IoT. Integración hardware–software, comunicaciones, energía, seguridad y despliegue.</x:v>
      </x:c>
      <x:c r="H291" s="366" t="str">
        <x:v>EIO-022</x:v>
      </x:c>
      <x:c r="I291" s="366" t="str">
        <x:v>Dominio profesional</x:v>
      </x:c>
      <x:c r="J291" s="366" t="n">
        <x:v>2</x:v>
      </x:c>
      <x:c r="K291" s="366" t="n">
        <x:v>20</x:v>
      </x:c>
      <x:c r="L291" s="366" t="n">
        <x:v>52</x:v>
      </x:c>
      <x:c r="M291" s="366" t="n">
        <x:v>20</x:v>
      </x:c>
      <x:c r="N291" s="367" t="n">
        <x:f>SUM(K291:M291)</x:f>
        <x:v>92</x:v>
      </x:c>
      <x:c r="O291" s="368" t="n">
        <x:f>N291/25</x:f>
        <x:v>3.68</x:v>
      </x:c>
      <x:c r="P291" s="366" t="str">
        <x:v>Dispositivo IoT funcional: Arquitectura IoT.</x:v>
      </x:c>
      <x:c r="Q291" s="366" t="str">
        <x:v>S02; S04; S18; S21; S24; S26</x:v>
      </x:c>
      <x:c r="R291" s="366" t="str">
        <x:v>No iniciado</x:v>
      </x:c>
      <x:c r="S291" s="369" t="n">
        <x:v>0</x:v>
      </x:c>
      <x:c r="T291" s="370"/>
      <x:c r="U291" s="370"/>
      <x:c r="V291" s="366" t="str">
        <x:v>Desciende de electricidad, radio, semiconductores, microcontroladores y control digital.</x:v>
      </x:c>
      <x:c r="W291" s="366" t="str">
        <x:v>Alta: práctica vigente</x:v>
      </x:c>
      <x:c r="X291" s="366" t="str">
        <x:v>Presente 2026 y corto (2027–2029)</x:v>
      </x:c>
      <x:c r="Y291" s="366" t="str">
        <x:v>Actual</x:v>
      </x:c>
      <x:c r="Z291" s="366" t="str">
        <x:v>12 meses</x:v>
      </x:c>
      <x:c r="AA291" s="366" t="str">
        <x:v>TinyML, gemelos digitales, sensores distribuidos, diseño abierto y electrónica flexible o integrada.</x:v>
      </x:c>
    </x:row>
    <x:row r="292" ht="58" customHeight="1">
      <x:c r="A292" s="351" t="str">
        <x:v>EIO-024</x:v>
      </x:c>
      <x:c r="B292" s="351" t="n">
        <x:v>4</x:v>
      </x:c>
      <x:c r="C292" s="351" t="str">
        <x:v>Integración profesional</x:v>
      </x:c>
      <x:c r="D292" s="351" t="str">
        <x:v>Embebidos e Internet de las Cosas</x:v>
      </x:c>
      <x:c r="E292" s="351" t="str">
        <x:v>Electrónica, embebidos e IoT</x:v>
      </x:c>
      <x:c r="F292" s="351" t="str">
        <x:v>Redes IoT y LPWAN</x:v>
      </x:c>
      <x:c r="G292" s="351" t="str">
        <x:v>Redes IoT y LPWAN. Integración hardware–software, comunicaciones, energía, seguridad y despliegue.</x:v>
      </x:c>
      <x:c r="H292" s="351" t="str">
        <x:v>EIO-023</x:v>
      </x:c>
      <x:c r="I292" s="351" t="str">
        <x:v>Dominio profesional</x:v>
      </x:c>
      <x:c r="J292" s="351" t="n">
        <x:v>2</x:v>
      </x:c>
      <x:c r="K292" s="351" t="n">
        <x:v>20</x:v>
      </x:c>
      <x:c r="L292" s="351" t="n">
        <x:v>52</x:v>
      </x:c>
      <x:c r="M292" s="351" t="n">
        <x:v>20</x:v>
      </x:c>
      <x:c r="N292" s="352" t="n">
        <x:f>SUM(K292:M292)</x:f>
        <x:v>92</x:v>
      </x:c>
      <x:c r="O292" s="353" t="n">
        <x:f>N292/25</x:f>
        <x:v>3.68</x:v>
      </x:c>
      <x:c r="P292" s="351" t="str">
        <x:v>Dispositivo IoT funcional: Redes IoT y LPWAN.</x:v>
      </x:c>
      <x:c r="Q292" s="351" t="str">
        <x:v>S02; S04; S18; S21; S24; S26</x:v>
      </x:c>
      <x:c r="R292" s="351" t="str">
        <x:v>No iniciado</x:v>
      </x:c>
      <x:c r="S292" s="354" t="n">
        <x:v>0</x:v>
      </x:c>
      <x:c r="T292" s="355"/>
      <x:c r="U292" s="355"/>
      <x:c r="V292" s="351" t="str">
        <x:v>Desciende de electricidad, radio, semiconductores, microcontroladores y control digital.</x:v>
      </x:c>
      <x:c r="W292" s="351" t="str">
        <x:v>Alta: práctica vigente</x:v>
      </x:c>
      <x:c r="X292" s="351" t="str">
        <x:v>Presente 2026 y corto (2027–2029)</x:v>
      </x:c>
      <x:c r="Y292" s="351" t="str">
        <x:v>Actual</x:v>
      </x:c>
      <x:c r="Z292" s="351" t="str">
        <x:v>12 meses</x:v>
      </x:c>
      <x:c r="AA292" s="351" t="str">
        <x:v>TinyML, gemelos digitales, sensores distribuidos, diseño abierto y electrónica flexible o integrada.</x:v>
      </x:c>
    </x:row>
    <x:row r="293" ht="58" customHeight="1">
      <x:c r="A293" s="366" t="str">
        <x:v>EIO-025</x:v>
      </x:c>
      <x:c r="B293" s="366" t="n">
        <x:v>4</x:v>
      </x:c>
      <x:c r="C293" s="366" t="str">
        <x:v>Integración profesional</x:v>
      </x:c>
      <x:c r="D293" s="366" t="str">
        <x:v>Embebidos e Internet de las Cosas</x:v>
      </x:c>
      <x:c r="E293" s="366" t="str">
        <x:v>Electrónica, embebidos e IoT</x:v>
      </x:c>
      <x:c r="F293" s="366" t="str">
        <x:v>Plataformas cloud para IoT</x:v>
      </x:c>
      <x:c r="G293" s="366" t="str">
        <x:v>Plataformas cloud para IoT. Integración hardware–software, comunicaciones, energía, seguridad y despliegue.</x:v>
      </x:c>
      <x:c r="H293" s="366" t="str">
        <x:v>EIO-024</x:v>
      </x:c>
      <x:c r="I293" s="366" t="str">
        <x:v>Dominio profesional</x:v>
      </x:c>
      <x:c r="J293" s="366" t="n">
        <x:v>2</x:v>
      </x:c>
      <x:c r="K293" s="366" t="n">
        <x:v>20</x:v>
      </x:c>
      <x:c r="L293" s="366" t="n">
        <x:v>52</x:v>
      </x:c>
      <x:c r="M293" s="366" t="n">
        <x:v>20</x:v>
      </x:c>
      <x:c r="N293" s="367" t="n">
        <x:f>SUM(K293:M293)</x:f>
        <x:v>92</x:v>
      </x:c>
      <x:c r="O293" s="368" t="n">
        <x:f>N293/25</x:f>
        <x:v>3.68</x:v>
      </x:c>
      <x:c r="P293" s="366" t="str">
        <x:v>Dispositivo IoT funcional: Plataformas cloud para IoT.</x:v>
      </x:c>
      <x:c r="Q293" s="366" t="str">
        <x:v>S02; S04; S18; S21; S24; S26</x:v>
      </x:c>
      <x:c r="R293" s="366" t="str">
        <x:v>No iniciado</x:v>
      </x:c>
      <x:c r="S293" s="369" t="n">
        <x:v>0</x:v>
      </x:c>
      <x:c r="T293" s="370"/>
      <x:c r="U293" s="370"/>
      <x:c r="V293" s="366" t="str">
        <x:v>Desciende de electricidad, radio, semiconductores, microcontroladores y control digital.</x:v>
      </x:c>
      <x:c r="W293" s="366" t="str">
        <x:v>Alta: práctica vigente</x:v>
      </x:c>
      <x:c r="X293" s="366" t="str">
        <x:v>Presente 2026 y corto (2027–2029)</x:v>
      </x:c>
      <x:c r="Y293" s="366" t="str">
        <x:v>Actual</x:v>
      </x:c>
      <x:c r="Z293" s="366" t="str">
        <x:v>12 meses</x:v>
      </x:c>
      <x:c r="AA293" s="366" t="str">
        <x:v>TinyML, gemelos digitales, sensores distribuidos, diseño abierto y electrónica flexible o integrada.</x:v>
      </x:c>
    </x:row>
    <x:row r="294" ht="58" customHeight="1">
      <x:c r="A294" s="351" t="str">
        <x:v>EIO-026</x:v>
      </x:c>
      <x:c r="B294" s="351" t="n">
        <x:v>4</x:v>
      </x:c>
      <x:c r="C294" s="351" t="str">
        <x:v>Integración profesional</x:v>
      </x:c>
      <x:c r="D294" s="351" t="str">
        <x:v>Embebidos e Internet de las Cosas</x:v>
      </x:c>
      <x:c r="E294" s="351" t="str">
        <x:v>Electrónica, embebidos e IoT</x:v>
      </x:c>
      <x:c r="F294" s="351" t="str">
        <x:v>Edge AI y TinyML</x:v>
      </x:c>
      <x:c r="G294" s="351" t="str">
        <x:v>Edge AI y TinyML. Integración hardware–software, comunicaciones, energía, seguridad y despliegue.</x:v>
      </x:c>
      <x:c r="H294" s="351" t="str">
        <x:v>EIO-025</x:v>
      </x:c>
      <x:c r="I294" s="351" t="str">
        <x:v>Dominio profesional</x:v>
      </x:c>
      <x:c r="J294" s="351" t="n">
        <x:v>2</x:v>
      </x:c>
      <x:c r="K294" s="351" t="n">
        <x:v>20</x:v>
      </x:c>
      <x:c r="L294" s="351" t="n">
        <x:v>52</x:v>
      </x:c>
      <x:c r="M294" s="351" t="n">
        <x:v>20</x:v>
      </x:c>
      <x:c r="N294" s="352" t="n">
        <x:f>SUM(K294:M294)</x:f>
        <x:v>92</x:v>
      </x:c>
      <x:c r="O294" s="353" t="n">
        <x:f>N294/25</x:f>
        <x:v>3.68</x:v>
      </x:c>
      <x:c r="P294" s="351" t="str">
        <x:v>Dispositivo IoT funcional: Edge AI y TinyML.</x:v>
      </x:c>
      <x:c r="Q294" s="351" t="str">
        <x:v>S02; S04; S18; S21; S24; S26</x:v>
      </x:c>
      <x:c r="R294" s="351" t="str">
        <x:v>No iniciado</x:v>
      </x:c>
      <x:c r="S294" s="354" t="n">
        <x:v>0</x:v>
      </x:c>
      <x:c r="T294" s="355"/>
      <x:c r="U294" s="355"/>
      <x:c r="V294" s="351" t="str">
        <x:v>Desciende de electricidad, radio, semiconductores, microcontroladores y control digital.</x:v>
      </x:c>
      <x:c r="W294" s="351" t="str">
        <x:v>Variable: validar evidencia y madurez</x:v>
      </x:c>
      <x:c r="X294" s="351" t="str">
        <x:v>Corto (2027–2029) y mediano (2030–2035)</x:v>
      </x:c>
      <x:c r="Y294" s="351" t="str">
        <x:v>Emergente</x:v>
      </x:c>
      <x:c r="Z294" s="351" t="str">
        <x:v>6 meses</x:v>
      </x:c>
      <x:c r="AA294" s="351" t="str">
        <x:v>TinyML, gemelos digitales, sensores distribuidos, diseño abierto y electrónica flexible o integrada.</x:v>
      </x:c>
    </x:row>
    <x:row r="295" ht="58" customHeight="1">
      <x:c r="A295" s="366" t="str">
        <x:v>EIO-027</x:v>
      </x:c>
      <x:c r="B295" s="366" t="n">
        <x:v>4</x:v>
      </x:c>
      <x:c r="C295" s="366" t="str">
        <x:v>Integración profesional</x:v>
      </x:c>
      <x:c r="D295" s="366" t="str">
        <x:v>Embebidos e Internet de las Cosas</x:v>
      </x:c>
      <x:c r="E295" s="366" t="str">
        <x:v>Electrónica, embebidos e IoT</x:v>
      </x:c>
      <x:c r="F295" s="366" t="str">
        <x:v>Seguridad y privacidad IoT</x:v>
      </x:c>
      <x:c r="G295" s="366" t="str">
        <x:v>Seguridad y privacidad IoT. Integración hardware–software, comunicaciones, energía, seguridad y despliegue.</x:v>
      </x:c>
      <x:c r="H295" s="366" t="str">
        <x:v>EIO-026</x:v>
      </x:c>
      <x:c r="I295" s="366" t="str">
        <x:v>Dominio profesional</x:v>
      </x:c>
      <x:c r="J295" s="366" t="n">
        <x:v>2</x:v>
      </x:c>
      <x:c r="K295" s="366" t="n">
        <x:v>20</x:v>
      </x:c>
      <x:c r="L295" s="366" t="n">
        <x:v>52</x:v>
      </x:c>
      <x:c r="M295" s="366" t="n">
        <x:v>20</x:v>
      </x:c>
      <x:c r="N295" s="367" t="n">
        <x:f>SUM(K295:M295)</x:f>
        <x:v>92</x:v>
      </x:c>
      <x:c r="O295" s="368" t="n">
        <x:f>N295/25</x:f>
        <x:v>3.68</x:v>
      </x:c>
      <x:c r="P295" s="366" t="str">
        <x:v>Dispositivo IoT funcional: Seguridad y privacidad IoT.</x:v>
      </x:c>
      <x:c r="Q295" s="366" t="str">
        <x:v>S02; S04; S18; S21; S24; S26</x:v>
      </x:c>
      <x:c r="R295" s="366" t="str">
        <x:v>No iniciado</x:v>
      </x:c>
      <x:c r="S295" s="369" t="n">
        <x:v>0</x:v>
      </x:c>
      <x:c r="T295" s="370"/>
      <x:c r="U295" s="370"/>
      <x:c r="V295" s="366" t="str">
        <x:v>Desciende de electricidad, radio, semiconductores, microcontroladores y control digital.</x:v>
      </x:c>
      <x:c r="W295" s="366" t="str">
        <x:v>Alta: práctica vigente</x:v>
      </x:c>
      <x:c r="X295" s="366" t="str">
        <x:v>Presente 2026 y corto (2027–2029)</x:v>
      </x:c>
      <x:c r="Y295" s="366" t="str">
        <x:v>Actual</x:v>
      </x:c>
      <x:c r="Z295" s="366" t="str">
        <x:v>12 meses</x:v>
      </x:c>
      <x:c r="AA295" s="366" t="str">
        <x:v>TinyML, gemelos digitales, sensores distribuidos, diseño abierto y electrónica flexible o integrada.</x:v>
      </x:c>
    </x:row>
    <x:row r="296" ht="58" customHeight="1">
      <x:c r="A296" s="351" t="str">
        <x:v>GXR-001</x:v>
      </x:c>
      <x:c r="B296" s="351" t="n">
        <x:v>4</x:v>
      </x:c>
      <x:c r="C296" s="351" t="str">
        <x:v>Integración profesional</x:v>
      </x:c>
      <x:c r="D296" s="351" t="str">
        <x:v>Computación gráfica, videojuegos y entornos</x:v>
      </x:c>
      <x:c r="E296" s="351" t="str">
        <x:v>Gráficos, juegos y XR</x:v>
      </x:c>
      <x:c r="F296" s="351" t="str">
        <x:v>Computación gráfica I</x:v>
      </x:c>
      <x:c r="G296" s="351" t="str">
        <x:v>Computación gráfica I. Matemática visual, interacción en tiempo real, optimización, experiencia y producción.</x:v>
      </x:c>
      <x:c r="H296" s="351" t="str">
        <x:v>MAT-006</x:v>
      </x:c>
      <x:c r="I296" s="351" t="str">
        <x:v>Dominio profesional</x:v>
      </x:c>
      <x:c r="J296" s="351" t="n">
        <x:v>2</x:v>
      </x:c>
      <x:c r="K296" s="351" t="n">
        <x:v>18</x:v>
      </x:c>
      <x:c r="L296" s="351" t="n">
        <x:v>52</x:v>
      </x:c>
      <x:c r="M296" s="351" t="n">
        <x:v>26</x:v>
      </x:c>
      <x:c r="N296" s="352" t="n">
        <x:f>SUM(K296:M296)</x:f>
        <x:v>96</x:v>
      </x:c>
      <x:c r="O296" s="353" t="n">
        <x:f>N296/25</x:f>
        <x:v>3.84</x:v>
      </x:c>
      <x:c r="P296" s="351" t="str">
        <x:v>Demo interactiva: Computación gráfica I.</x:v>
      </x:c>
      <x:c r="Q296" s="351" t="str">
        <x:v>S01; S12; S18; S20; S22; S23</x:v>
      </x:c>
      <x:c r="R296" s="351" t="str">
        <x:v>No iniciado</x:v>
      </x:c>
      <x:c r="S296" s="354" t="n">
        <x:v>0</x:v>
      </x:c>
      <x:c r="T296" s="355"/>
      <x:c r="U296" s="355"/>
      <x:c r="V296" s="351" t="str">
        <x:v>Combina geometría, óptica, simulación, interacción, animación y cómputo en tiempo real.</x:v>
      </x:c>
      <x:c r="W296" s="351" t="str">
        <x:v>Alta: práctica vigente</x:v>
      </x:c>
      <x:c r="X296" s="351" t="str">
        <x:v>Presente 2026 y corto (2027–2029)</x:v>
      </x:c>
      <x:c r="Y296" s="351" t="str">
        <x:v>Actual</x:v>
      </x:c>
      <x:c r="Z296" s="351" t="str">
        <x:v>12 meses</x:v>
      </x:c>
      <x:c r="AA296" s="351" t="str">
        <x:v>Render neural, computación espacial, captura volumétrica, háptica y mundos persistentes interoperables.</x:v>
      </x:c>
    </x:row>
    <x:row r="297" ht="58" customHeight="1">
      <x:c r="A297" s="366" t="str">
        <x:v>GXR-002</x:v>
      </x:c>
      <x:c r="B297" s="366" t="n">
        <x:v>4</x:v>
      </x:c>
      <x:c r="C297" s="366" t="str">
        <x:v>Integración profesional</x:v>
      </x:c>
      <x:c r="D297" s="366" t="str">
        <x:v>Computación gráfica, videojuegos y entornos</x:v>
      </x:c>
      <x:c r="E297" s="366" t="str">
        <x:v>Gráficos, juegos y XR</x:v>
      </x:c>
      <x:c r="F297" s="366" t="str">
        <x:v>Computación gráfica II</x:v>
      </x:c>
      <x:c r="G297" s="366" t="str">
        <x:v>Computación gráfica II. Matemática visual, interacción en tiempo real, optimización, experiencia y producción.</x:v>
      </x:c>
      <x:c r="H297" s="366" t="str">
        <x:v>GXR-001</x:v>
      </x:c>
      <x:c r="I297" s="366" t="str">
        <x:v>Dominio profesional</x:v>
      </x:c>
      <x:c r="J297" s="366" t="n">
        <x:v>2</x:v>
      </x:c>
      <x:c r="K297" s="366" t="n">
        <x:v>18</x:v>
      </x:c>
      <x:c r="L297" s="366" t="n">
        <x:v>52</x:v>
      </x:c>
      <x:c r="M297" s="366" t="n">
        <x:v>26</x:v>
      </x:c>
      <x:c r="N297" s="367" t="n">
        <x:f>SUM(K297:M297)</x:f>
        <x:v>96</x:v>
      </x:c>
      <x:c r="O297" s="368" t="n">
        <x:f>N297/25</x:f>
        <x:v>3.84</x:v>
      </x:c>
      <x:c r="P297" s="366" t="str">
        <x:v>Demo interactiva: Computación gráfica II.</x:v>
      </x:c>
      <x:c r="Q297" s="366" t="str">
        <x:v>S01; S12; S18; S20; S22; S23</x:v>
      </x:c>
      <x:c r="R297" s="366" t="str">
        <x:v>No iniciado</x:v>
      </x:c>
      <x:c r="S297" s="369" t="n">
        <x:v>0</x:v>
      </x:c>
      <x:c r="T297" s="370"/>
      <x:c r="U297" s="370"/>
      <x:c r="V297" s="366" t="str">
        <x:v>Combina geometría, óptica, simulación, interacción, animación y cómputo en tiempo real.</x:v>
      </x:c>
      <x:c r="W297" s="366" t="str">
        <x:v>Alta: práctica vigente</x:v>
      </x:c>
      <x:c r="X297" s="366" t="str">
        <x:v>Presente 2026 y corto (2027–2029)</x:v>
      </x:c>
      <x:c r="Y297" s="366" t="str">
        <x:v>Actual</x:v>
      </x:c>
      <x:c r="Z297" s="366" t="str">
        <x:v>12 meses</x:v>
      </x:c>
      <x:c r="AA297" s="366" t="str">
        <x:v>Render neural, computación espacial, captura volumétrica, háptica y mundos persistentes interoperables.</x:v>
      </x:c>
    </x:row>
    <x:row r="298" ht="58" customHeight="1">
      <x:c r="A298" s="351" t="str">
        <x:v>GXR-003</x:v>
      </x:c>
      <x:c r="B298" s="351" t="n">
        <x:v>4</x:v>
      </x:c>
      <x:c r="C298" s="351" t="str">
        <x:v>Integración profesional</x:v>
      </x:c>
      <x:c r="D298" s="351" t="str">
        <x:v>Computación gráfica, videojuegos y entornos</x:v>
      </x:c>
      <x:c r="E298" s="351" t="str">
        <x:v>Gráficos, juegos y XR</x:v>
      </x:c>
      <x:c r="F298" s="351" t="str">
        <x:v>Geometría computacional</x:v>
      </x:c>
      <x:c r="G298" s="351" t="str">
        <x:v>Geometría computacional. Matemática visual, interacción en tiempo real, optimización, experiencia y producción.</x:v>
      </x:c>
      <x:c r="H298" s="351" t="str">
        <x:v>GXR-002</x:v>
      </x:c>
      <x:c r="I298" s="351" t="str">
        <x:v>Dominio profesional</x:v>
      </x:c>
      <x:c r="J298" s="351" t="n">
        <x:v>2</x:v>
      </x:c>
      <x:c r="K298" s="351" t="n">
        <x:v>18</x:v>
      </x:c>
      <x:c r="L298" s="351" t="n">
        <x:v>52</x:v>
      </x:c>
      <x:c r="M298" s="351" t="n">
        <x:v>26</x:v>
      </x:c>
      <x:c r="N298" s="352" t="n">
        <x:f>SUM(K298:M298)</x:f>
        <x:v>96</x:v>
      </x:c>
      <x:c r="O298" s="353" t="n">
        <x:f>N298/25</x:f>
        <x:v>3.84</x:v>
      </x:c>
      <x:c r="P298" s="351" t="str">
        <x:v>Demo interactiva: Geometría computacional.</x:v>
      </x:c>
      <x:c r="Q298" s="351" t="str">
        <x:v>S01; S12; S18; S20; S22; S23</x:v>
      </x:c>
      <x:c r="R298" s="351" t="str">
        <x:v>No iniciado</x:v>
      </x:c>
      <x:c r="S298" s="354" t="n">
        <x:v>0</x:v>
      </x:c>
      <x:c r="T298" s="355"/>
      <x:c r="U298" s="355"/>
      <x:c r="V298" s="351" t="str">
        <x:v>Combina geometría, óptica, simulación, interacción, animación y cómputo en tiempo real.</x:v>
      </x:c>
      <x:c r="W298" s="351" t="str">
        <x:v>Alta: práctica vigente</x:v>
      </x:c>
      <x:c r="X298" s="351" t="str">
        <x:v>Presente 2026 y corto (2027–2029)</x:v>
      </x:c>
      <x:c r="Y298" s="351" t="str">
        <x:v>Actual</x:v>
      </x:c>
      <x:c r="Z298" s="351" t="str">
        <x:v>12 meses</x:v>
      </x:c>
      <x:c r="AA298" s="351" t="str">
        <x:v>Render neural, computación espacial, captura volumétrica, háptica y mundos persistentes interoperables.</x:v>
      </x:c>
    </x:row>
    <x:row r="299" ht="58" customHeight="1">
      <x:c r="A299" s="366" t="str">
        <x:v>GXR-004</x:v>
      </x:c>
      <x:c r="B299" s="366" t="n">
        <x:v>4</x:v>
      </x:c>
      <x:c r="C299" s="366" t="str">
        <x:v>Integración profesional</x:v>
      </x:c>
      <x:c r="D299" s="366" t="str">
        <x:v>Computación gráfica, videojuegos y entornos</x:v>
      </x:c>
      <x:c r="E299" s="366" t="str">
        <x:v>Gráficos, juegos y XR</x:v>
      </x:c>
      <x:c r="F299" s="366" t="str">
        <x:v>Renderizado en tiempo real</x:v>
      </x:c>
      <x:c r="G299" s="366" t="str">
        <x:v>Renderizado en tiempo real. Matemática visual, interacción en tiempo real, optimización, experiencia y producción.</x:v>
      </x:c>
      <x:c r="H299" s="366" t="str">
        <x:v>GXR-003</x:v>
      </x:c>
      <x:c r="I299" s="366" t="str">
        <x:v>Dominio profesional</x:v>
      </x:c>
      <x:c r="J299" s="366" t="n">
        <x:v>2</x:v>
      </x:c>
      <x:c r="K299" s="366" t="n">
        <x:v>18</x:v>
      </x:c>
      <x:c r="L299" s="366" t="n">
        <x:v>52</x:v>
      </x:c>
      <x:c r="M299" s="366" t="n">
        <x:v>26</x:v>
      </x:c>
      <x:c r="N299" s="367" t="n">
        <x:f>SUM(K299:M299)</x:f>
        <x:v>96</x:v>
      </x:c>
      <x:c r="O299" s="368" t="n">
        <x:f>N299/25</x:f>
        <x:v>3.84</x:v>
      </x:c>
      <x:c r="P299" s="366" t="str">
        <x:v>Demo interactiva: Renderizado en tiempo real.</x:v>
      </x:c>
      <x:c r="Q299" s="366" t="str">
        <x:v>S01; S12; S18; S20; S22; S23</x:v>
      </x:c>
      <x:c r="R299" s="366" t="str">
        <x:v>No iniciado</x:v>
      </x:c>
      <x:c r="S299" s="369" t="n">
        <x:v>0</x:v>
      </x:c>
      <x:c r="T299" s="370"/>
      <x:c r="U299" s="370"/>
      <x:c r="V299" s="366" t="str">
        <x:v>Combina geometría, óptica, simulación, interacción, animación y cómputo en tiempo real.</x:v>
      </x:c>
      <x:c r="W299" s="366" t="str">
        <x:v>Alta: práctica vigente</x:v>
      </x:c>
      <x:c r="X299" s="366" t="str">
        <x:v>Presente 2026 y corto (2027–2029)</x:v>
      </x:c>
      <x:c r="Y299" s="366" t="str">
        <x:v>Actual</x:v>
      </x:c>
      <x:c r="Z299" s="366" t="str">
        <x:v>12 meses</x:v>
      </x:c>
      <x:c r="AA299" s="366" t="str">
        <x:v>Render neural, computación espacial, captura volumétrica, háptica y mundos persistentes interoperables.</x:v>
      </x:c>
    </x:row>
    <x:row r="300" ht="58" customHeight="1">
      <x:c r="A300" s="351" t="str">
        <x:v>GXR-005</x:v>
      </x:c>
      <x:c r="B300" s="351" t="n">
        <x:v>4</x:v>
      </x:c>
      <x:c r="C300" s="351" t="str">
        <x:v>Integración profesional</x:v>
      </x:c>
      <x:c r="D300" s="351" t="str">
        <x:v>Computación gráfica, videojuegos y entornos</x:v>
      </x:c>
      <x:c r="E300" s="351" t="str">
        <x:v>Gráficos, juegos y XR</x:v>
      </x:c>
      <x:c r="F300" s="351" t="str">
        <x:v>Shaders y programación de GPU gráfica</x:v>
      </x:c>
      <x:c r="G300" s="351" t="str">
        <x:v>Shaders y programación de GPU gráfica. Matemática visual, interacción en tiempo real, optimización, experiencia y producción.</x:v>
      </x:c>
      <x:c r="H300" s="351" t="str">
        <x:v>GXR-004</x:v>
      </x:c>
      <x:c r="I300" s="351" t="str">
        <x:v>Dominio profesional</x:v>
      </x:c>
      <x:c r="J300" s="351" t="n">
        <x:v>2</x:v>
      </x:c>
      <x:c r="K300" s="351" t="n">
        <x:v>18</x:v>
      </x:c>
      <x:c r="L300" s="351" t="n">
        <x:v>52</x:v>
      </x:c>
      <x:c r="M300" s="351" t="n">
        <x:v>26</x:v>
      </x:c>
      <x:c r="N300" s="352" t="n">
        <x:f>SUM(K300:M300)</x:f>
        <x:v>96</x:v>
      </x:c>
      <x:c r="O300" s="353" t="n">
        <x:f>N300/25</x:f>
        <x:v>3.84</x:v>
      </x:c>
      <x:c r="P300" s="351" t="str">
        <x:v>Demo interactiva: Shaders y programación de GPU gráfica.</x:v>
      </x:c>
      <x:c r="Q300" s="351" t="str">
        <x:v>S01; S12; S18; S20; S22; S23</x:v>
      </x:c>
      <x:c r="R300" s="351" t="str">
        <x:v>No iniciado</x:v>
      </x:c>
      <x:c r="S300" s="354" t="n">
        <x:v>0</x:v>
      </x:c>
      <x:c r="T300" s="355"/>
      <x:c r="U300" s="355"/>
      <x:c r="V300" s="351" t="str">
        <x:v>Combina geometría, óptica, simulación, interacción, animación y cómputo en tiempo real.</x:v>
      </x:c>
      <x:c r="W300" s="351" t="str">
        <x:v>Alta: práctica vigente</x:v>
      </x:c>
      <x:c r="X300" s="351" t="str">
        <x:v>Presente 2026 y corto (2027–2029)</x:v>
      </x:c>
      <x:c r="Y300" s="351" t="str">
        <x:v>Actual</x:v>
      </x:c>
      <x:c r="Z300" s="351" t="str">
        <x:v>12 meses</x:v>
      </x:c>
      <x:c r="AA300" s="351" t="str">
        <x:v>Render neural, computación espacial, captura volumétrica, háptica y mundos persistentes interoperables.</x:v>
      </x:c>
    </x:row>
    <x:row r="301" ht="58" customHeight="1">
      <x:c r="A301" s="366" t="str">
        <x:v>GXR-006</x:v>
      </x:c>
      <x:c r="B301" s="366" t="n">
        <x:v>4</x:v>
      </x:c>
      <x:c r="C301" s="366" t="str">
        <x:v>Integración profesional</x:v>
      </x:c>
      <x:c r="D301" s="366" t="str">
        <x:v>Computación gráfica, videojuegos y entornos</x:v>
      </x:c>
      <x:c r="E301" s="366" t="str">
        <x:v>Gráficos, juegos y XR</x:v>
      </x:c>
      <x:c r="F301" s="366" t="str">
        <x:v>Animación por computador</x:v>
      </x:c>
      <x:c r="G301" s="366" t="str">
        <x:v>Animación por computador. Matemática visual, interacción en tiempo real, optimización, experiencia y producción.</x:v>
      </x:c>
      <x:c r="H301" s="366" t="str">
        <x:v>GXR-005</x:v>
      </x:c>
      <x:c r="I301" s="366" t="str">
        <x:v>Dominio profesional</x:v>
      </x:c>
      <x:c r="J301" s="366" t="n">
        <x:v>2</x:v>
      </x:c>
      <x:c r="K301" s="366" t="n">
        <x:v>18</x:v>
      </x:c>
      <x:c r="L301" s="366" t="n">
        <x:v>52</x:v>
      </x:c>
      <x:c r="M301" s="366" t="n">
        <x:v>26</x:v>
      </x:c>
      <x:c r="N301" s="367" t="n">
        <x:f>SUM(K301:M301)</x:f>
        <x:v>96</x:v>
      </x:c>
      <x:c r="O301" s="368" t="n">
        <x:f>N301/25</x:f>
        <x:v>3.84</x:v>
      </x:c>
      <x:c r="P301" s="366" t="str">
        <x:v>Demo interactiva: Animación por computador.</x:v>
      </x:c>
      <x:c r="Q301" s="366" t="str">
        <x:v>S01; S12; S18; S20; S22; S23</x:v>
      </x:c>
      <x:c r="R301" s="366" t="str">
        <x:v>No iniciado</x:v>
      </x:c>
      <x:c r="S301" s="369" t="n">
        <x:v>0</x:v>
      </x:c>
      <x:c r="T301" s="370"/>
      <x:c r="U301" s="370"/>
      <x:c r="V301" s="366" t="str">
        <x:v>Combina geometría, óptica, simulación, interacción, animación y cómputo en tiempo real.</x:v>
      </x:c>
      <x:c r="W301" s="366" t="str">
        <x:v>Alta: práctica vigente</x:v>
      </x:c>
      <x:c r="X301" s="366" t="str">
        <x:v>Presente 2026 y corto (2027–2029)</x:v>
      </x:c>
      <x:c r="Y301" s="366" t="str">
        <x:v>Actual</x:v>
      </x:c>
      <x:c r="Z301" s="366" t="str">
        <x:v>12 meses</x:v>
      </x:c>
      <x:c r="AA301" s="366" t="str">
        <x:v>Render neural, computación espacial, captura volumétrica, háptica y mundos persistentes interoperables.</x:v>
      </x:c>
    </x:row>
    <x:row r="302" ht="58" customHeight="1">
      <x:c r="A302" s="351" t="str">
        <x:v>SWE-015</x:v>
      </x:c>
      <x:c r="B302" s="351" t="n">
        <x:v>4</x:v>
      </x:c>
      <x:c r="C302" s="351" t="str">
        <x:v>Integración profesional</x:v>
      </x:c>
      <x:c r="D302" s="351" t="str">
        <x:v>Ingeniería y construcción de software</x:v>
      </x:c>
      <x:c r="E302" s="351" t="str">
        <x:v>Ingeniería de software</x:v>
      </x:c>
      <x:c r="F302" s="351" t="str">
        <x:v>Ingeniería de requisitos de sistemas críticos</x:v>
      </x:c>
      <x:c r="G302" s="351" t="str">
        <x:v>Ingeniería de requisitos de sistemas críticos. Proceso completo, calidad, arquitectura, colaboración y entrega de productos mantenibles.</x:v>
      </x:c>
      <x:c r="H302" s="351" t="str">
        <x:v>SWE-014</x:v>
      </x:c>
      <x:c r="I302" s="351" t="str">
        <x:v>Núcleo esencial</x:v>
      </x:c>
      <x:c r="J302" s="351" t="n">
        <x:v>1</x:v>
      </x:c>
      <x:c r="K302" s="351" t="n">
        <x:v>36</x:v>
      </x:c>
      <x:c r="L302" s="351" t="n">
        <x:v>42</x:v>
      </x:c>
      <x:c r="M302" s="351" t="n">
        <x:v>22</x:v>
      </x:c>
      <x:c r="N302" s="352" t="n">
        <x:f>SUM(K302:M302)</x:f>
        <x:v>100</x:v>
      </x:c>
      <x:c r="O302" s="353" t="n">
        <x:f>N302/25</x:f>
        <x:v>4</x:v>
      </x:c>
      <x:c r="P302" s="351" t="str">
        <x:v>Producto de software: Ingeniería de requisitos de sistemas críticos.</x:v>
      </x:c>
      <x:c r="Q302" s="351" t="str">
        <x:v>S02; S03; S05; S11; S18; S22; S23</x:v>
      </x:c>
      <x:c r="R302" s="351" t="str">
        <x:v>No iniciado</x:v>
      </x:c>
      <x:c r="S302" s="354" t="n">
        <x:v>0</x:v>
      </x:c>
      <x:c r="T302" s="355"/>
      <x:c r="U302" s="355"/>
      <x:c r="V302" s="351" t="str">
        <x:v>Surge al escalar la programación desde programas individuales hacia productos complejos y mantenibles.</x:v>
      </x:c>
      <x:c r="W302" s="351" t="str">
        <x:v>Muy alta: fundamento durable</x:v>
      </x:c>
      <x:c r="X302" s="351" t="str">
        <x:v>Transversal permanente</x:v>
      </x:c>
      <x:c r="Y302" s="351" t="str">
        <x:v>Consolidada</x:v>
      </x:c>
      <x:c r="Z302" s="351" t="str">
        <x:v>24 meses</x:v>
      </x:c>
      <x:c r="AA302" s="351" t="str">
        <x:v>Ingeniería asistida por IA, agentes de desarrollo, plataformas internas, evidencia de calidad y cadena de suministro.</x:v>
      </x:c>
    </x:row>
    <x:row r="303" ht="58" customHeight="1">
      <x:c r="A303" s="366" t="str">
        <x:v>SWE-016</x:v>
      </x:c>
      <x:c r="B303" s="366" t="n">
        <x:v>4</x:v>
      </x:c>
      <x:c r="C303" s="366" t="str">
        <x:v>Integración profesional</x:v>
      </x:c>
      <x:c r="D303" s="366" t="str">
        <x:v>Ingeniería y construcción de software</x:v>
      </x:c>
      <x:c r="E303" s="366" t="str">
        <x:v>Ingeniería de software</x:v>
      </x:c>
      <x:c r="F303" s="366" t="str">
        <x:v>Software seguro por diseño</x:v>
      </x:c>
      <x:c r="G303" s="366" t="str">
        <x:v>Software seguro por diseño. Proceso completo, calidad, arquitectura, colaboración y entrega de productos mantenibles.</x:v>
      </x:c>
      <x:c r="H303" s="366" t="str">
        <x:v>SWE-015</x:v>
      </x:c>
      <x:c r="I303" s="366" t="str">
        <x:v>Núcleo esencial</x:v>
      </x:c>
      <x:c r="J303" s="366" t="n">
        <x:v>1</x:v>
      </x:c>
      <x:c r="K303" s="366" t="n">
        <x:v>36</x:v>
      </x:c>
      <x:c r="L303" s="366" t="n">
        <x:v>42</x:v>
      </x:c>
      <x:c r="M303" s="366" t="n">
        <x:v>22</x:v>
      </x:c>
      <x:c r="N303" s="367" t="n">
        <x:f>SUM(K303:M303)</x:f>
        <x:v>100</x:v>
      </x:c>
      <x:c r="O303" s="368" t="n">
        <x:f>N303/25</x:f>
        <x:v>4</x:v>
      </x:c>
      <x:c r="P303" s="366" t="str">
        <x:v>Producto de software: Software seguro por diseño.</x:v>
      </x:c>
      <x:c r="Q303" s="366" t="str">
        <x:v>S02; S03; S05; S11; S18; S22; S23</x:v>
      </x:c>
      <x:c r="R303" s="366" t="str">
        <x:v>No iniciado</x:v>
      </x:c>
      <x:c r="S303" s="369" t="n">
        <x:v>0</x:v>
      </x:c>
      <x:c r="T303" s="370"/>
      <x:c r="U303" s="370"/>
      <x:c r="V303" s="366" t="str">
        <x:v>Surge al escalar la programación desde programas individuales hacia productos complejos y mantenibles.</x:v>
      </x:c>
      <x:c r="W303" s="366" t="str">
        <x:v>Muy alta: fundamento durable</x:v>
      </x:c>
      <x:c r="X303" s="366" t="str">
        <x:v>Transversal permanente</x:v>
      </x:c>
      <x:c r="Y303" s="366" t="str">
        <x:v>Consolidada</x:v>
      </x:c>
      <x:c r="Z303" s="366" t="str">
        <x:v>24 meses</x:v>
      </x:c>
      <x:c r="AA303" s="366" t="str">
        <x:v>Ingeniería asistida por IA, agentes de desarrollo, plataformas internas, evidencia de calidad y cadena de suministro.</x:v>
      </x:c>
    </x:row>
    <x:row r="304" ht="58" customHeight="1">
      <x:c r="A304" s="351" t="str">
        <x:v>SWE-017</x:v>
      </x:c>
      <x:c r="B304" s="351" t="n">
        <x:v>4</x:v>
      </x:c>
      <x:c r="C304" s="351" t="str">
        <x:v>Integración profesional</x:v>
      </x:c>
      <x:c r="D304" s="351" t="str">
        <x:v>Ingeniería y construcción de software</x:v>
      </x:c>
      <x:c r="E304" s="351" t="str">
        <x:v>Ingeniería de software</x:v>
      </x:c>
      <x:c r="F304" s="351" t="str">
        <x:v>Accesibilidad digital</x:v>
      </x:c>
      <x:c r="G304" s="351" t="str">
        <x:v>Accesibilidad digital. Proceso completo, calidad, arquitectura, colaboración y entrega de productos mantenibles.</x:v>
      </x:c>
      <x:c r="H304" s="351" t="str">
        <x:v>SWE-016</x:v>
      </x:c>
      <x:c r="I304" s="351" t="str">
        <x:v>Núcleo esencial</x:v>
      </x:c>
      <x:c r="J304" s="351" t="n">
        <x:v>1</x:v>
      </x:c>
      <x:c r="K304" s="351" t="n">
        <x:v>36</x:v>
      </x:c>
      <x:c r="L304" s="351" t="n">
        <x:v>42</x:v>
      </x:c>
      <x:c r="M304" s="351" t="n">
        <x:v>22</x:v>
      </x:c>
      <x:c r="N304" s="352" t="n">
        <x:f>SUM(K304:M304)</x:f>
        <x:v>100</x:v>
      </x:c>
      <x:c r="O304" s="353" t="n">
        <x:f>N304/25</x:f>
        <x:v>4</x:v>
      </x:c>
      <x:c r="P304" s="351" t="str">
        <x:v>Producto de software: Accesibilidad digital.</x:v>
      </x:c>
      <x:c r="Q304" s="351" t="str">
        <x:v>S02; S03; S05; S11; S18; S22; S23</x:v>
      </x:c>
      <x:c r="R304" s="351" t="str">
        <x:v>No iniciado</x:v>
      </x:c>
      <x:c r="S304" s="354" t="n">
        <x:v>0</x:v>
      </x:c>
      <x:c r="T304" s="355"/>
      <x:c r="U304" s="355"/>
      <x:c r="V304" s="351" t="str">
        <x:v>Surge al escalar la programación desde programas individuales hacia productos complejos y mantenibles.</x:v>
      </x:c>
      <x:c r="W304" s="351" t="str">
        <x:v>Muy alta: fundamento durable</x:v>
      </x:c>
      <x:c r="X304" s="351" t="str">
        <x:v>Transversal permanente</x:v>
      </x:c>
      <x:c r="Y304" s="351" t="str">
        <x:v>Consolidada</x:v>
      </x:c>
      <x:c r="Z304" s="351" t="str">
        <x:v>24 meses</x:v>
      </x:c>
      <x:c r="AA304" s="351" t="str">
        <x:v>Ingeniería asistida por IA, agentes de desarrollo, plataformas internas, evidencia de calidad y cadena de suministro.</x:v>
      </x:c>
    </x:row>
    <x:row r="305" ht="58" customHeight="1">
      <x:c r="A305" s="366" t="str">
        <x:v>SWE-018</x:v>
      </x:c>
      <x:c r="B305" s="366" t="n">
        <x:v>4</x:v>
      </x:c>
      <x:c r="C305" s="366" t="str">
        <x:v>Integración profesional</x:v>
      </x:c>
      <x:c r="D305" s="366" t="str">
        <x:v>Ingeniería y construcción de software</x:v>
      </x:c>
      <x:c r="E305" s="366" t="str">
        <x:v>Ingeniería de software</x:v>
      </x:c>
      <x:c r="F305" s="366" t="str">
        <x:v>Investigación de usuarios y UX</x:v>
      </x:c>
      <x:c r="G305" s="366" t="str">
        <x:v>Investigación de usuarios y UX. Proceso completo, calidad, arquitectura, colaboración y entrega de productos mantenibles.</x:v>
      </x:c>
      <x:c r="H305" s="366" t="str">
        <x:v>SWE-017</x:v>
      </x:c>
      <x:c r="I305" s="366" t="str">
        <x:v>Núcleo esencial</x:v>
      </x:c>
      <x:c r="J305" s="366" t="n">
        <x:v>1</x:v>
      </x:c>
      <x:c r="K305" s="366" t="n">
        <x:v>36</x:v>
      </x:c>
      <x:c r="L305" s="366" t="n">
        <x:v>42</x:v>
      </x:c>
      <x:c r="M305" s="366" t="n">
        <x:v>22</x:v>
      </x:c>
      <x:c r="N305" s="367" t="n">
        <x:f>SUM(K305:M305)</x:f>
        <x:v>100</x:v>
      </x:c>
      <x:c r="O305" s="368" t="n">
        <x:f>N305/25</x:f>
        <x:v>4</x:v>
      </x:c>
      <x:c r="P305" s="366" t="str">
        <x:v>Producto de software: Investigación de usuarios y UX.</x:v>
      </x:c>
      <x:c r="Q305" s="366" t="str">
        <x:v>S02; S03; S05; S11; S18; S22; S23</x:v>
      </x:c>
      <x:c r="R305" s="366" t="str">
        <x:v>No iniciado</x:v>
      </x:c>
      <x:c r="S305" s="369" t="n">
        <x:v>0</x:v>
      </x:c>
      <x:c r="T305" s="370"/>
      <x:c r="U305" s="370"/>
      <x:c r="V305" s="366" t="str">
        <x:v>Surge al escalar la programación desde programas individuales hacia productos complejos y mantenibles.</x:v>
      </x:c>
      <x:c r="W305" s="366" t="str">
        <x:v>Muy alta: fundamento durable</x:v>
      </x:c>
      <x:c r="X305" s="366" t="str">
        <x:v>Transversal permanente</x:v>
      </x:c>
      <x:c r="Y305" s="366" t="str">
        <x:v>Consolidada</x:v>
      </x:c>
      <x:c r="Z305" s="366" t="str">
        <x:v>24 meses</x:v>
      </x:c>
      <x:c r="AA305" s="366" t="str">
        <x:v>Ingeniería asistida por IA, agentes de desarrollo, plataformas internas, evidencia de calidad y cadena de suministro.</x:v>
      </x:c>
    </x:row>
    <x:row r="306" ht="58" customHeight="1">
      <x:c r="A306" s="351" t="str">
        <x:v>SWE-019</x:v>
      </x:c>
      <x:c r="B306" s="351" t="n">
        <x:v>4</x:v>
      </x:c>
      <x:c r="C306" s="351" t="str">
        <x:v>Integración profesional</x:v>
      </x:c>
      <x:c r="D306" s="351" t="str">
        <x:v>Ingeniería y construcción de software</x:v>
      </x:c>
      <x:c r="E306" s="351" t="str">
        <x:v>Ingeniería de software</x:v>
      </x:c>
      <x:c r="F306" s="351" t="str">
        <x:v>Diseño de producto digital</x:v>
      </x:c>
      <x:c r="G306" s="351" t="str">
        <x:v>Diseño de producto digital. Proceso completo, calidad, arquitectura, colaboración y entrega de productos mantenibles.</x:v>
      </x:c>
      <x:c r="H306" s="351" t="str">
        <x:v>SWE-018</x:v>
      </x:c>
      <x:c r="I306" s="351" t="str">
        <x:v>Núcleo esencial</x:v>
      </x:c>
      <x:c r="J306" s="351" t="n">
        <x:v>1</x:v>
      </x:c>
      <x:c r="K306" s="351" t="n">
        <x:v>36</x:v>
      </x:c>
      <x:c r="L306" s="351" t="n">
        <x:v>42</x:v>
      </x:c>
      <x:c r="M306" s="351" t="n">
        <x:v>22</x:v>
      </x:c>
      <x:c r="N306" s="352" t="n">
        <x:f>SUM(K306:M306)</x:f>
        <x:v>100</x:v>
      </x:c>
      <x:c r="O306" s="353" t="n">
        <x:f>N306/25</x:f>
        <x:v>4</x:v>
      </x:c>
      <x:c r="P306" s="351" t="str">
        <x:v>Producto de software: Diseño de producto digital.</x:v>
      </x:c>
      <x:c r="Q306" s="351" t="str">
        <x:v>S02; S03; S05; S11; S18; S22; S23</x:v>
      </x:c>
      <x:c r="R306" s="351" t="str">
        <x:v>No iniciado</x:v>
      </x:c>
      <x:c r="S306" s="354" t="n">
        <x:v>0</x:v>
      </x:c>
      <x:c r="T306" s="355"/>
      <x:c r="U306" s="355"/>
      <x:c r="V306" s="351" t="str">
        <x:v>Surge al escalar la programación desde programas individuales hacia productos complejos y mantenibles.</x:v>
      </x:c>
      <x:c r="W306" s="351" t="str">
        <x:v>Muy alta: fundamento durable</x:v>
      </x:c>
      <x:c r="X306" s="351" t="str">
        <x:v>Transversal permanente</x:v>
      </x:c>
      <x:c r="Y306" s="351" t="str">
        <x:v>Consolidada</x:v>
      </x:c>
      <x:c r="Z306" s="351" t="str">
        <x:v>24 meses</x:v>
      </x:c>
      <x:c r="AA306" s="351" t="str">
        <x:v>Ingeniería asistida por IA, agentes de desarrollo, plataformas internas, evidencia de calidad y cadena de suministro.</x:v>
      </x:c>
    </x:row>
    <x:row r="307" ht="58" customHeight="1">
      <x:c r="A307" s="366" t="str">
        <x:v>SWE-020</x:v>
      </x:c>
      <x:c r="B307" s="366" t="n">
        <x:v>4</x:v>
      </x:c>
      <x:c r="C307" s="366" t="str">
        <x:v>Integración profesional</x:v>
      </x:c>
      <x:c r="D307" s="366" t="str">
        <x:v>Ingeniería y construcción de software</x:v>
      </x:c>
      <x:c r="E307" s="366" t="str">
        <x:v>Ingeniería de software</x:v>
      </x:c>
      <x:c r="F307" s="366" t="str">
        <x:v>Ética y responsabilidad en software</x:v>
      </x:c>
      <x:c r="G307" s="366" t="str">
        <x:v>Ética y responsabilidad en software. Proceso completo, calidad, arquitectura, colaboración y entrega de productos mantenibles.</x:v>
      </x:c>
      <x:c r="H307" s="366" t="str">
        <x:v>SWE-019</x:v>
      </x:c>
      <x:c r="I307" s="366" t="str">
        <x:v>Núcleo esencial</x:v>
      </x:c>
      <x:c r="J307" s="366" t="n">
        <x:v>1</x:v>
      </x:c>
      <x:c r="K307" s="366" t="n">
        <x:v>36</x:v>
      </x:c>
      <x:c r="L307" s="366" t="n">
        <x:v>42</x:v>
      </x:c>
      <x:c r="M307" s="366" t="n">
        <x:v>22</x:v>
      </x:c>
      <x:c r="N307" s="367" t="n">
        <x:f>SUM(K307:M307)</x:f>
        <x:v>100</x:v>
      </x:c>
      <x:c r="O307" s="368" t="n">
        <x:f>N307/25</x:f>
        <x:v>4</x:v>
      </x:c>
      <x:c r="P307" s="366" t="str">
        <x:v>Producto de software: Ética y responsabilidad en software.</x:v>
      </x:c>
      <x:c r="Q307" s="366" t="str">
        <x:v>S02; S03; S05; S11; S18; S22; S23</x:v>
      </x:c>
      <x:c r="R307" s="366" t="str">
        <x:v>No iniciado</x:v>
      </x:c>
      <x:c r="S307" s="369" t="n">
        <x:v>0</x:v>
      </x:c>
      <x:c r="T307" s="370"/>
      <x:c r="U307" s="370"/>
      <x:c r="V307" s="366" t="str">
        <x:v>Surge al escalar la programación desde programas individuales hacia productos complejos y mantenibles.</x:v>
      </x:c>
      <x:c r="W307" s="366" t="str">
        <x:v>Muy alta: fundamento durable</x:v>
      </x:c>
      <x:c r="X307" s="366" t="str">
        <x:v>Transversal permanente</x:v>
      </x:c>
      <x:c r="Y307" s="366" t="str">
        <x:v>Consolidada</x:v>
      </x:c>
      <x:c r="Z307" s="366" t="str">
        <x:v>24 meses</x:v>
      </x:c>
      <x:c r="AA307" s="366" t="str">
        <x:v>Ingeniería asistida por IA, agentes de desarrollo, plataformas internas, evidencia de calidad y cadena de suministro.</x:v>
      </x:c>
    </x:row>
    <x:row r="308" ht="58" customHeight="1">
      <x:c r="A308" s="351" t="str">
        <x:v>SWE-028</x:v>
      </x:c>
      <x:c r="B308" s="351" t="n">
        <x:v>4</x:v>
      </x:c>
      <x:c r="C308" s="351" t="str">
        <x:v>Integración profesional</x:v>
      </x:c>
      <x:c r="D308" s="351" t="str">
        <x:v>Desarrollo de aplicaciones</x:v>
      </x:c>
      <x:c r="E308" s="351" t="str">
        <x:v>Ingeniería de software</x:v>
      </x:c>
      <x:c r="F308" s="351" t="str">
        <x:v>Desarrollo móvil iOS</x:v>
      </x:c>
      <x:c r="G308" s="351" t="str">
        <x:v>Desarrollo móvil iOS. Construcción, despliegue, observabilidad, seguridad y experiencia de usuario.</x:v>
      </x:c>
      <x:c r="H308" s="351" t="str">
        <x:v>SWE-027</x:v>
      </x:c>
      <x:c r="I308" s="351" t="str">
        <x:v>Dominio profesional</x:v>
      </x:c>
      <x:c r="J308" s="351" t="n">
        <x:v>2</x:v>
      </x:c>
      <x:c r="K308" s="351" t="n">
        <x:v>20</x:v>
      </x:c>
      <x:c r="L308" s="351" t="n">
        <x:v>52</x:v>
      </x:c>
      <x:c r="M308" s="351" t="n">
        <x:v>20</x:v>
      </x:c>
      <x:c r="N308" s="352" t="n">
        <x:f>SUM(K308:M308)</x:f>
        <x:v>92</x:v>
      </x:c>
      <x:c r="O308" s="353" t="n">
        <x:f>N308/25</x:f>
        <x:v>3.68</x:v>
      </x:c>
      <x:c r="P308" s="351" t="str">
        <x:v>Aplicación desplegada: Desarrollo móvil iOS.</x:v>
      </x:c>
      <x:c r="Q308" s="351" t="str">
        <x:v>S05; S18; S19; S22; S23</x:v>
      </x:c>
      <x:c r="R308" s="351" t="str">
        <x:v>No iniciado</x:v>
      </x:c>
      <x:c r="S308" s="354" t="n">
        <x:v>0</x:v>
      </x:c>
      <x:c r="T308" s="355"/>
      <x:c r="U308" s="355"/>
      <x:c r="V308" s="351" t="str">
        <x:v>Surge al escalar la programación desde programas individuales hacia productos complejos y mantenibles.</x:v>
      </x:c>
      <x:c r="W308" s="351" t="str">
        <x:v>Alta: práctica vigente</x:v>
      </x:c>
      <x:c r="X308" s="351" t="str">
        <x:v>Presente 2026 y corto (2027–2029)</x:v>
      </x:c>
      <x:c r="Y308" s="351" t="str">
        <x:v>Actual</x:v>
      </x:c>
      <x:c r="Z308" s="351" t="str">
        <x:v>12 meses</x:v>
      </x:c>
      <x:c r="AA308" s="351" t="str">
        <x:v>Ingeniería asistida por IA, agentes de desarrollo, plataformas internas, evidencia de calidad y cadena de suministro.</x:v>
      </x:c>
    </x:row>
    <x:row r="309" ht="58" customHeight="1">
      <x:c r="A309" s="366" t="str">
        <x:v>SWE-029</x:v>
      </x:c>
      <x:c r="B309" s="366" t="n">
        <x:v>4</x:v>
      </x:c>
      <x:c r="C309" s="366" t="str">
        <x:v>Integración profesional</x:v>
      </x:c>
      <x:c r="D309" s="366" t="str">
        <x:v>Desarrollo de aplicaciones</x:v>
      </x:c>
      <x:c r="E309" s="366" t="str">
        <x:v>Ingeniería de software</x:v>
      </x:c>
      <x:c r="F309" s="366" t="str">
        <x:v>Desarrollo móvil multiplataforma</x:v>
      </x:c>
      <x:c r="G309" s="366" t="str">
        <x:v>Desarrollo móvil multiplataforma. Construcción, despliegue, observabilidad, seguridad y experiencia de usuario.</x:v>
      </x:c>
      <x:c r="H309" s="366" t="str">
        <x:v>SWE-028</x:v>
      </x:c>
      <x:c r="I309" s="366" t="str">
        <x:v>Dominio profesional</x:v>
      </x:c>
      <x:c r="J309" s="366" t="n">
        <x:v>2</x:v>
      </x:c>
      <x:c r="K309" s="366" t="n">
        <x:v>20</x:v>
      </x:c>
      <x:c r="L309" s="366" t="n">
        <x:v>52</x:v>
      </x:c>
      <x:c r="M309" s="366" t="n">
        <x:v>20</x:v>
      </x:c>
      <x:c r="N309" s="367" t="n">
        <x:f>SUM(K309:M309)</x:f>
        <x:v>92</x:v>
      </x:c>
      <x:c r="O309" s="368" t="n">
        <x:f>N309/25</x:f>
        <x:v>3.68</x:v>
      </x:c>
      <x:c r="P309" s="366" t="str">
        <x:v>Aplicación desplegada: Desarrollo móvil multiplataforma.</x:v>
      </x:c>
      <x:c r="Q309" s="366" t="str">
        <x:v>S05; S18; S19; S22; S23</x:v>
      </x:c>
      <x:c r="R309" s="366" t="str">
        <x:v>No iniciado</x:v>
      </x:c>
      <x:c r="S309" s="369" t="n">
        <x:v>0</x:v>
      </x:c>
      <x:c r="T309" s="370"/>
      <x:c r="U309" s="370"/>
      <x:c r="V309" s="366" t="str">
        <x:v>Surge al escalar la programación desde programas individuales hacia productos complejos y mantenibles.</x:v>
      </x:c>
      <x:c r="W309" s="366" t="str">
        <x:v>Alta: práctica vigente</x:v>
      </x:c>
      <x:c r="X309" s="366" t="str">
        <x:v>Presente 2026 y corto (2027–2029)</x:v>
      </x:c>
      <x:c r="Y309" s="366" t="str">
        <x:v>Actual</x:v>
      </x:c>
      <x:c r="Z309" s="366" t="str">
        <x:v>12 meses</x:v>
      </x:c>
      <x:c r="AA309" s="366" t="str">
        <x:v>Ingeniería asistida por IA, agentes de desarrollo, plataformas internas, evidencia de calidad y cadena de suministro.</x:v>
      </x:c>
    </x:row>
    <x:row r="310" ht="58" customHeight="1">
      <x:c r="A310" s="351" t="str">
        <x:v>SWE-030</x:v>
      </x:c>
      <x:c r="B310" s="351" t="n">
        <x:v>4</x:v>
      </x:c>
      <x:c r="C310" s="351" t="str">
        <x:v>Integración profesional</x:v>
      </x:c>
      <x:c r="D310" s="351" t="str">
        <x:v>Desarrollo de aplicaciones</x:v>
      </x:c>
      <x:c r="E310" s="351" t="str">
        <x:v>Ingeniería de software</x:v>
      </x:c>
      <x:c r="F310" s="351" t="str">
        <x:v>Aplicaciones de escritorio</x:v>
      </x:c>
      <x:c r="G310" s="351" t="str">
        <x:v>Aplicaciones de escritorio. Construcción, despliegue, observabilidad, seguridad y experiencia de usuario.</x:v>
      </x:c>
      <x:c r="H310" s="351" t="str">
        <x:v>SWE-029</x:v>
      </x:c>
      <x:c r="I310" s="351" t="str">
        <x:v>Dominio profesional</x:v>
      </x:c>
      <x:c r="J310" s="351" t="n">
        <x:v>2</x:v>
      </x:c>
      <x:c r="K310" s="351" t="n">
        <x:v>20</x:v>
      </x:c>
      <x:c r="L310" s="351" t="n">
        <x:v>52</x:v>
      </x:c>
      <x:c r="M310" s="351" t="n">
        <x:v>20</x:v>
      </x:c>
      <x:c r="N310" s="352" t="n">
        <x:f>SUM(K310:M310)</x:f>
        <x:v>92</x:v>
      </x:c>
      <x:c r="O310" s="353" t="n">
        <x:f>N310/25</x:f>
        <x:v>3.68</x:v>
      </x:c>
      <x:c r="P310" s="351" t="str">
        <x:v>Aplicación desplegada: Aplicaciones de escritorio.</x:v>
      </x:c>
      <x:c r="Q310" s="351" t="str">
        <x:v>S05; S18; S19; S22; S23</x:v>
      </x:c>
      <x:c r="R310" s="351" t="str">
        <x:v>No iniciado</x:v>
      </x:c>
      <x:c r="S310" s="354" t="n">
        <x:v>0</x:v>
      </x:c>
      <x:c r="T310" s="355"/>
      <x:c r="U310" s="355"/>
      <x:c r="V310" s="351" t="str">
        <x:v>Surge al escalar la programación desde programas individuales hacia productos complejos y mantenibles.</x:v>
      </x:c>
      <x:c r="W310" s="351" t="str">
        <x:v>Alta: práctica vigente</x:v>
      </x:c>
      <x:c r="X310" s="351" t="str">
        <x:v>Presente 2026 y corto (2027–2029)</x:v>
      </x:c>
      <x:c r="Y310" s="351" t="str">
        <x:v>Actual</x:v>
      </x:c>
      <x:c r="Z310" s="351" t="str">
        <x:v>12 meses</x:v>
      </x:c>
      <x:c r="AA310" s="351" t="str">
        <x:v>Ingeniería asistida por IA, agentes de desarrollo, plataformas internas, evidencia de calidad y cadena de suministro.</x:v>
      </x:c>
    </x:row>
    <x:row r="311" ht="58" customHeight="1">
      <x:c r="A311" s="366" t="str">
        <x:v>SWE-031</x:v>
      </x:c>
      <x:c r="B311" s="366" t="n">
        <x:v>4</x:v>
      </x:c>
      <x:c r="C311" s="366" t="str">
        <x:v>Integración profesional</x:v>
      </x:c>
      <x:c r="D311" s="366" t="str">
        <x:v>Desarrollo de aplicaciones</x:v>
      </x:c>
      <x:c r="E311" s="366" t="str">
        <x:v>Ingeniería de software</x:v>
      </x:c>
      <x:c r="F311" s="366" t="str">
        <x:v>Microservicios</x:v>
      </x:c>
      <x:c r="G311" s="366" t="str">
        <x:v>Microservicios. Construcción, despliegue, observabilidad, seguridad y experiencia de usuario.</x:v>
      </x:c>
      <x:c r="H311" s="366" t="str">
        <x:v>SWE-030</x:v>
      </x:c>
      <x:c r="I311" s="366" t="str">
        <x:v>Dominio profesional</x:v>
      </x:c>
      <x:c r="J311" s="366" t="n">
        <x:v>2</x:v>
      </x:c>
      <x:c r="K311" s="366" t="n">
        <x:v>20</x:v>
      </x:c>
      <x:c r="L311" s="366" t="n">
        <x:v>52</x:v>
      </x:c>
      <x:c r="M311" s="366" t="n">
        <x:v>20</x:v>
      </x:c>
      <x:c r="N311" s="367" t="n">
        <x:f>SUM(K311:M311)</x:f>
        <x:v>92</x:v>
      </x:c>
      <x:c r="O311" s="368" t="n">
        <x:f>N311/25</x:f>
        <x:v>3.68</x:v>
      </x:c>
      <x:c r="P311" s="366" t="str">
        <x:v>Aplicación desplegada: Microservicios.</x:v>
      </x:c>
      <x:c r="Q311" s="366" t="str">
        <x:v>S05; S18; S19; S22; S23</x:v>
      </x:c>
      <x:c r="R311" s="366" t="str">
        <x:v>No iniciado</x:v>
      </x:c>
      <x:c r="S311" s="369" t="n">
        <x:v>0</x:v>
      </x:c>
      <x:c r="T311" s="370"/>
      <x:c r="U311" s="370"/>
      <x:c r="V311" s="366" t="str">
        <x:v>Surge al escalar la programación desde programas individuales hacia productos complejos y mantenibles.</x:v>
      </x:c>
      <x:c r="W311" s="366" t="str">
        <x:v>Alta: práctica vigente</x:v>
      </x:c>
      <x:c r="X311" s="366" t="str">
        <x:v>Presente 2026 y corto (2027–2029)</x:v>
      </x:c>
      <x:c r="Y311" s="366" t="str">
        <x:v>Actual</x:v>
      </x:c>
      <x:c r="Z311" s="366" t="str">
        <x:v>12 meses</x:v>
      </x:c>
      <x:c r="AA311" s="366" t="str">
        <x:v>Ingeniería asistida por IA, agentes de desarrollo, plataformas internas, evidencia de calidad y cadena de suministro.</x:v>
      </x:c>
    </x:row>
    <x:row r="312" ht="58" customHeight="1">
      <x:c r="A312" s="351" t="str">
        <x:v>SWE-032</x:v>
      </x:c>
      <x:c r="B312" s="351" t="n">
        <x:v>4</x:v>
      </x:c>
      <x:c r="C312" s="351" t="str">
        <x:v>Integración profesional</x:v>
      </x:c>
      <x:c r="D312" s="351" t="str">
        <x:v>Desarrollo de aplicaciones</x:v>
      </x:c>
      <x:c r="E312" s="351" t="str">
        <x:v>Ingeniería de software</x:v>
      </x:c>
      <x:c r="F312" s="351" t="str">
        <x:v>Integración empresarial y mensajería</x:v>
      </x:c>
      <x:c r="G312" s="351" t="str">
        <x:v>Integración empresarial y mensajería. Construcción, despliegue, observabilidad, seguridad y experiencia de usuario.</x:v>
      </x:c>
      <x:c r="H312" s="351" t="str">
        <x:v>SWE-031</x:v>
      </x:c>
      <x:c r="I312" s="351" t="str">
        <x:v>Dominio profesional</x:v>
      </x:c>
      <x:c r="J312" s="351" t="n">
        <x:v>2</x:v>
      </x:c>
      <x:c r="K312" s="351" t="n">
        <x:v>20</x:v>
      </x:c>
      <x:c r="L312" s="351" t="n">
        <x:v>52</x:v>
      </x:c>
      <x:c r="M312" s="351" t="n">
        <x:v>20</x:v>
      </x:c>
      <x:c r="N312" s="352" t="n">
        <x:f>SUM(K312:M312)</x:f>
        <x:v>92</x:v>
      </x:c>
      <x:c r="O312" s="353" t="n">
        <x:f>N312/25</x:f>
        <x:v>3.68</x:v>
      </x:c>
      <x:c r="P312" s="351" t="str">
        <x:v>Aplicación desplegada: Integración empresarial y mensajería.</x:v>
      </x:c>
      <x:c r="Q312" s="351" t="str">
        <x:v>S05; S18; S19; S22; S23</x:v>
      </x:c>
      <x:c r="R312" s="351" t="str">
        <x:v>No iniciado</x:v>
      </x:c>
      <x:c r="S312" s="354" t="n">
        <x:v>0</x:v>
      </x:c>
      <x:c r="T312" s="355"/>
      <x:c r="U312" s="355"/>
      <x:c r="V312" s="351" t="str">
        <x:v>Surge al escalar la programación desde programas individuales hacia productos complejos y mantenibles.</x:v>
      </x:c>
      <x:c r="W312" s="351" t="str">
        <x:v>Alta: práctica vigente</x:v>
      </x:c>
      <x:c r="X312" s="351" t="str">
        <x:v>Presente 2026 y corto (2027–2029)</x:v>
      </x:c>
      <x:c r="Y312" s="351" t="str">
        <x:v>Actual</x:v>
      </x:c>
      <x:c r="Z312" s="351" t="str">
        <x:v>12 meses</x:v>
      </x:c>
      <x:c r="AA312" s="351" t="str">
        <x:v>Ingeniería asistida por IA, agentes de desarrollo, plataformas internas, evidencia de calidad y cadena de suministro.</x:v>
      </x:c>
    </x:row>
    <x:row r="313" ht="58" customHeight="1">
      <x:c r="A313" s="366" t="str">
        <x:v>SWE-033</x:v>
      </x:c>
      <x:c r="B313" s="366" t="n">
        <x:v>4</x:v>
      </x:c>
      <x:c r="C313" s="366" t="str">
        <x:v>Integración profesional</x:v>
      </x:c>
      <x:c r="D313" s="366" t="str">
        <x:v>Desarrollo de aplicaciones</x:v>
      </x:c>
      <x:c r="E313" s="366" t="str">
        <x:v>Ingeniería de software</x:v>
      </x:c>
      <x:c r="F313" s="366" t="str">
        <x:v>Desarrollo empresarial con Java</x:v>
      </x:c>
      <x:c r="G313" s="366" t="str">
        <x:v>Desarrollo empresarial con Java. Construcción, despliegue, observabilidad, seguridad y experiencia de usuario.</x:v>
      </x:c>
      <x:c r="H313" s="366" t="str">
        <x:v>SWE-032</x:v>
      </x:c>
      <x:c r="I313" s="366" t="str">
        <x:v>Dominio profesional</x:v>
      </x:c>
      <x:c r="J313" s="366" t="n">
        <x:v>2</x:v>
      </x:c>
      <x:c r="K313" s="366" t="n">
        <x:v>20</x:v>
      </x:c>
      <x:c r="L313" s="366" t="n">
        <x:v>52</x:v>
      </x:c>
      <x:c r="M313" s="366" t="n">
        <x:v>20</x:v>
      </x:c>
      <x:c r="N313" s="367" t="n">
        <x:f>SUM(K313:M313)</x:f>
        <x:v>92</x:v>
      </x:c>
      <x:c r="O313" s="368" t="n">
        <x:f>N313/25</x:f>
        <x:v>3.68</x:v>
      </x:c>
      <x:c r="P313" s="366" t="str">
        <x:v>Aplicación desplegada: Desarrollo empresarial con Java.</x:v>
      </x:c>
      <x:c r="Q313" s="366" t="str">
        <x:v>S05; S18; S19; S22; S23</x:v>
      </x:c>
      <x:c r="R313" s="366" t="str">
        <x:v>No iniciado</x:v>
      </x:c>
      <x:c r="S313" s="369" t="n">
        <x:v>0</x:v>
      </x:c>
      <x:c r="T313" s="370"/>
      <x:c r="U313" s="370"/>
      <x:c r="V313" s="366" t="str">
        <x:v>Surge al escalar la programación desde programas individuales hacia productos complejos y mantenibles.</x:v>
      </x:c>
      <x:c r="W313" s="366" t="str">
        <x:v>Alta: práctica vigente</x:v>
      </x:c>
      <x:c r="X313" s="366" t="str">
        <x:v>Presente 2026 y corto (2027–2029)</x:v>
      </x:c>
      <x:c r="Y313" s="366" t="str">
        <x:v>Actual</x:v>
      </x:c>
      <x:c r="Z313" s="366" t="str">
        <x:v>12 meses</x:v>
      </x:c>
      <x:c r="AA313" s="366" t="str">
        <x:v>Ingeniería asistida por IA, agentes de desarrollo, plataformas internas, evidencia de calidad y cadena de suministro.</x:v>
      </x:c>
    </x:row>
    <x:row r="314" ht="58" customHeight="1">
      <x:c r="A314" s="351" t="str">
        <x:v>SWE-034</x:v>
      </x:c>
      <x:c r="B314" s="351" t="n">
        <x:v>4</x:v>
      </x:c>
      <x:c r="C314" s="351" t="str">
        <x:v>Integración profesional</x:v>
      </x:c>
      <x:c r="D314" s="351" t="str">
        <x:v>Desarrollo de aplicaciones</x:v>
      </x:c>
      <x:c r="E314" s="351" t="str">
        <x:v>Ingeniería de software</x:v>
      </x:c>
      <x:c r="F314" s="351" t="str">
        <x:v>Desarrollo empresarial con .NET</x:v>
      </x:c>
      <x:c r="G314" s="351" t="str">
        <x:v>Desarrollo empresarial con .NET. Construcción, despliegue, observabilidad, seguridad y experiencia de usuario.</x:v>
      </x:c>
      <x:c r="H314" s="351" t="str">
        <x:v>SWE-033</x:v>
      </x:c>
      <x:c r="I314" s="351" t="str">
        <x:v>Dominio profesional</x:v>
      </x:c>
      <x:c r="J314" s="351" t="n">
        <x:v>2</x:v>
      </x:c>
      <x:c r="K314" s="351" t="n">
        <x:v>20</x:v>
      </x:c>
      <x:c r="L314" s="351" t="n">
        <x:v>52</x:v>
      </x:c>
      <x:c r="M314" s="351" t="n">
        <x:v>20</x:v>
      </x:c>
      <x:c r="N314" s="352" t="n">
        <x:f>SUM(K314:M314)</x:f>
        <x:v>92</x:v>
      </x:c>
      <x:c r="O314" s="353" t="n">
        <x:f>N314/25</x:f>
        <x:v>3.68</x:v>
      </x:c>
      <x:c r="P314" s="351" t="str">
        <x:v>Aplicación desplegada: Desarrollo empresarial con .NET.</x:v>
      </x:c>
      <x:c r="Q314" s="351" t="str">
        <x:v>S05; S18; S19; S22; S23</x:v>
      </x:c>
      <x:c r="R314" s="351" t="str">
        <x:v>No iniciado</x:v>
      </x:c>
      <x:c r="S314" s="354" t="n">
        <x:v>0</x:v>
      </x:c>
      <x:c r="T314" s="355"/>
      <x:c r="U314" s="355"/>
      <x:c r="V314" s="351" t="str">
        <x:v>Surge al escalar la programación desde programas individuales hacia productos complejos y mantenibles.</x:v>
      </x:c>
      <x:c r="W314" s="351" t="str">
        <x:v>Alta: práctica vigente</x:v>
      </x:c>
      <x:c r="X314" s="351" t="str">
        <x:v>Presente 2026 y corto (2027–2029)</x:v>
      </x:c>
      <x:c r="Y314" s="351" t="str">
        <x:v>Actual</x:v>
      </x:c>
      <x:c r="Z314" s="351" t="str">
        <x:v>12 meses</x:v>
      </x:c>
      <x:c r="AA314" s="351" t="str">
        <x:v>Ingeniería asistida por IA, agentes de desarrollo, plataformas internas, evidencia de calidad y cadena de suministro.</x:v>
      </x:c>
    </x:row>
    <x:row r="315" ht="58" customHeight="1">
      <x:c r="A315" s="366" t="str">
        <x:v>CAP-013</x:v>
      </x:c>
      <x:c r="B315" s="366" t="n">
        <x:v>4</x:v>
      </x:c>
      <x:c r="C315" s="366" t="str">
        <x:v>Integración profesional</x:v>
      </x:c>
      <x:c r="D315" s="366" t="str">
        <x:v>Proyectos integradores</x:v>
      </x:c>
      <x:c r="E315" s="366" t="str">
        <x:v>Investigación, profesión y capstones</x:v>
      </x:c>
      <x:c r="F315" s="366" t="str">
        <x:v>Capstone I: aplicación full stack</x:v>
      </x:c>
      <x:c r="G315" s="366" t="str">
        <x:v>Capstone I: aplicación full stack. Problema real, requisitos, diseño, implementación, validación, documentación, ética y defensa pública.</x:v>
      </x:c>
      <x:c r="H315" s="366" t="str">
        <x:v>CAP-003</x:v>
      </x:c>
      <x:c r="I315" s="366" t="str">
        <x:v>Núcleo esencial</x:v>
      </x:c>
      <x:c r="J315" s="366" t="n">
        <x:v>1</x:v>
      </x:c>
      <x:c r="K315" s="366" t="n">
        <x:v>20</x:v>
      </x:c>
      <x:c r="L315" s="366" t="n">
        <x:v>24</x:v>
      </x:c>
      <x:c r="M315" s="366" t="n">
        <x:v>56</x:v>
      </x:c>
      <x:c r="N315" s="367" t="n">
        <x:f>SUM(K315:M315)</x:f>
        <x:v>100</x:v>
      </x:c>
      <x:c r="O315" s="368" t="n">
        <x:f>N315/25</x:f>
        <x:v>4</x:v>
      </x:c>
      <x:c r="P315" s="366" t="str">
        <x:v>Capstone integral: Capstone I: aplicación full stack.</x:v>
      </x:c>
      <x:c r="Q315" s="366" t="str">
        <x:v>S03; S04; S09; S11; S12; S18</x:v>
      </x:c>
      <x:c r="R315" s="366" t="str">
        <x:v>No iniciado</x:v>
      </x:c>
      <x:c r="S315" s="369" t="n">
        <x:v>0</x:v>
      </x:c>
      <x:c r="T315" s="370"/>
      <x:c r="U315" s="370"/>
      <x:c r="V315" s="366" t="str">
        <x:v>Hereda método científico, ingeniería, revisión por pares, ética profesional e innovación.</x:v>
      </x:c>
      <x:c r="W315" s="366" t="str">
        <x:v>Muy alta: fundamento durable</x:v>
      </x:c>
      <x:c r="X315" s="366" t="str">
        <x:v>Transversal permanente</x:v>
      </x:c>
      <x:c r="Y315" s="366" t="str">
        <x:v>Consolidada</x:v>
      </x:c>
      <x:c r="Z315" s="366" t="str">
        <x:v>24 meses</x:v>
      </x:c>
      <x:c r="AA315" s="366" t="str">
        <x:v>Ciencia asistida por IA, inteligencia de patentes/estándares y actualización curricular basada en señales.</x:v>
      </x:c>
    </x:row>
    <x:row r="316" ht="58" customHeight="1">
      <x:c r="A316" s="351" t="str">
        <x:v>CAP-014</x:v>
      </x:c>
      <x:c r="B316" s="351" t="n">
        <x:v>4</x:v>
      </x:c>
      <x:c r="C316" s="351" t="str">
        <x:v>Integración profesional</x:v>
      </x:c>
      <x:c r="D316" s="351" t="str">
        <x:v>Proyectos integradores</x:v>
      </x:c>
      <x:c r="E316" s="351" t="str">
        <x:v>Investigación, profesión y capstones</x:v>
      </x:c>
      <x:c r="F316" s="351" t="str">
        <x:v>Capstone II: datos y Business Intelligence</x:v>
      </x:c>
      <x:c r="G316" s="351" t="str">
        <x:v>Capstone II: datos y Business Intelligence. Problema real, requisitos, diseño, implementación, validación, documentación, ética y defensa pública.</x:v>
      </x:c>
      <x:c r="H316" s="351" t="str">
        <x:v>CAP-013</x:v>
      </x:c>
      <x:c r="I316" s="351" t="str">
        <x:v>Núcleo esencial</x:v>
      </x:c>
      <x:c r="J316" s="351" t="n">
        <x:v>1</x:v>
      </x:c>
      <x:c r="K316" s="351" t="n">
        <x:v>20</x:v>
      </x:c>
      <x:c r="L316" s="351" t="n">
        <x:v>24</x:v>
      </x:c>
      <x:c r="M316" s="351" t="n">
        <x:v>56</x:v>
      </x:c>
      <x:c r="N316" s="352" t="n">
        <x:f>SUM(K316:M316)</x:f>
        <x:v>100</x:v>
      </x:c>
      <x:c r="O316" s="353" t="n">
        <x:f>N316/25</x:f>
        <x:v>4</x:v>
      </x:c>
      <x:c r="P316" s="351" t="str">
        <x:v>Capstone integral: Capstone II: datos y Business Intelligence.</x:v>
      </x:c>
      <x:c r="Q316" s="351" t="str">
        <x:v>S03; S04; S09; S11; S12; S18</x:v>
      </x:c>
      <x:c r="R316" s="351" t="str">
        <x:v>No iniciado</x:v>
      </x:c>
      <x:c r="S316" s="354" t="n">
        <x:v>0</x:v>
      </x:c>
      <x:c r="T316" s="355"/>
      <x:c r="U316" s="355"/>
      <x:c r="V316" s="351" t="str">
        <x:v>Hereda método científico, ingeniería, revisión por pares, ética profesional e innovación.</x:v>
      </x:c>
      <x:c r="W316" s="351" t="str">
        <x:v>Muy alta: fundamento durable</x:v>
      </x:c>
      <x:c r="X316" s="351" t="str">
        <x:v>Transversal permanente</x:v>
      </x:c>
      <x:c r="Y316" s="351" t="str">
        <x:v>Consolidada</x:v>
      </x:c>
      <x:c r="Z316" s="351" t="str">
        <x:v>24 meses</x:v>
      </x:c>
      <x:c r="AA316" s="351" t="str">
        <x:v>Ciencia asistida por IA, inteligencia de patentes/estándares y actualización curricular basada en señales.</x:v>
      </x:c>
    </x:row>
    <x:row r="317" ht="58" customHeight="1">
      <x:c r="A317" s="366" t="str">
        <x:v>CST-019</x:v>
      </x:c>
      <x:c r="B317" s="366" t="n">
        <x:v>4</x:v>
      </x:c>
      <x:c r="C317" s="366" t="str">
        <x:v>Integración profesional</x:v>
      </x:c>
      <x:c r="D317" s="366" t="str">
        <x:v>Programación</x:v>
      </x:c>
      <x:c r="E317" s="366" t="str">
        <x:v>Programación y teoría CS</x:v>
      </x:c>
      <x:c r="F317" s="366" t="str">
        <x:v>Go para sistemas y servicios</x:v>
      </x:c>
      <x:c r="G317" s="366" t="str">
        <x:v>Go para sistemas y servicios. Diseño de algoritmos, depuración, pruebas, estilo, complejidad y pequeños proyectos.</x:v>
      </x:c>
      <x:c r="H317" s="366" t="str">
        <x:v>CST-018</x:v>
      </x:c>
      <x:c r="I317" s="366" t="str">
        <x:v>Núcleo esencial</x:v>
      </x:c>
      <x:c r="J317" s="366" t="n">
        <x:v>1</x:v>
      </x:c>
      <x:c r="K317" s="366" t="n">
        <x:v>36</x:v>
      </x:c>
      <x:c r="L317" s="366" t="n">
        <x:v>42</x:v>
      </x:c>
      <x:c r="M317" s="366" t="n">
        <x:v>22</x:v>
      </x:c>
      <x:c r="N317" s="367" t="n">
        <x:f>SUM(K317:M317)</x:f>
        <x:v>100</x:v>
      </x:c>
      <x:c r="O317" s="368" t="n">
        <x:f>N317/25</x:f>
        <x:v>4</x:v>
      </x:c>
      <x:c r="P317" s="366" t="str">
        <x:v>Repositorio con pruebas: Go para sistemas y servicios.</x:v>
      </x:c>
      <x:c r="Q317" s="366" t="str">
        <x:v>S01; S09; S11; S14; S16; S18</x:v>
      </x:c>
      <x:c r="R317" s="366" t="str">
        <x:v>No iniciado</x:v>
      </x:c>
      <x:c r="S317" s="369" t="n">
        <x:v>0</x:v>
      </x:c>
      <x:c r="T317" s="370"/>
      <x:c r="U317" s="370"/>
      <x:c r="V317" s="366" t="str">
        <x:v>Conecta lógica matemática, máquinas computables, lenguajes, algoritmos y abstracción.</x:v>
      </x:c>
      <x:c r="W317" s="366" t="str">
        <x:v>Muy alta: fundamento durable</x:v>
      </x:c>
      <x:c r="X317" s="366" t="str">
        <x:v>Transversal permanente</x:v>
      </x:c>
      <x:c r="Y317" s="366" t="str">
        <x:v>Consolidada</x:v>
      </x:c>
      <x:c r="Z317" s="366" t="str">
        <x:v>24 meses</x:v>
      </x:c>
      <x:c r="AA317" s="366" t="str">
        <x:v>Lenguajes seguros, verificación, WebAssembly, cómputo heterogéneo y nuevas abstracciones para agentes.</x:v>
      </x:c>
    </x:row>
    <x:row r="318" ht="58" customHeight="1">
      <x:c r="A318" s="351" t="str">
        <x:v>CST-020</x:v>
      </x:c>
      <x:c r="B318" s="351" t="n">
        <x:v>4</x:v>
      </x:c>
      <x:c r="C318" s="351" t="str">
        <x:v>Integración profesional</x:v>
      </x:c>
      <x:c r="D318" s="351" t="str">
        <x:v>Programación</x:v>
      </x:c>
      <x:c r="E318" s="351" t="str">
        <x:v>Programación y teoría CS</x:v>
      </x:c>
      <x:c r="F318" s="351" t="str">
        <x:v>Rust para software seguro</x:v>
      </x:c>
      <x:c r="G318" s="351" t="str">
        <x:v>Rust para software seguro. Diseño de algoritmos, depuración, pruebas, estilo, complejidad y pequeños proyectos.</x:v>
      </x:c>
      <x:c r="H318" s="351" t="str">
        <x:v>CST-019</x:v>
      </x:c>
      <x:c r="I318" s="351" t="str">
        <x:v>Núcleo esencial</x:v>
      </x:c>
      <x:c r="J318" s="351" t="n">
        <x:v>1</x:v>
      </x:c>
      <x:c r="K318" s="351" t="n">
        <x:v>36</x:v>
      </x:c>
      <x:c r="L318" s="351" t="n">
        <x:v>42</x:v>
      </x:c>
      <x:c r="M318" s="351" t="n">
        <x:v>22</x:v>
      </x:c>
      <x:c r="N318" s="352" t="n">
        <x:f>SUM(K318:M318)</x:f>
        <x:v>100</x:v>
      </x:c>
      <x:c r="O318" s="353" t="n">
        <x:f>N318/25</x:f>
        <x:v>4</x:v>
      </x:c>
      <x:c r="P318" s="351" t="str">
        <x:v>Repositorio con pruebas: Rust para software seguro.</x:v>
      </x:c>
      <x:c r="Q318" s="351" t="str">
        <x:v>S01; S09; S11; S14; S16; S18</x:v>
      </x:c>
      <x:c r="R318" s="351" t="str">
        <x:v>No iniciado</x:v>
      </x:c>
      <x:c r="S318" s="354" t="n">
        <x:v>0</x:v>
      </x:c>
      <x:c r="T318" s="355"/>
      <x:c r="U318" s="355"/>
      <x:c r="V318" s="351" t="str">
        <x:v>Conecta lógica matemática, máquinas computables, lenguajes, algoritmos y abstracción.</x:v>
      </x:c>
      <x:c r="W318" s="351" t="str">
        <x:v>Muy alta: fundamento durable</x:v>
      </x:c>
      <x:c r="X318" s="351" t="str">
        <x:v>Transversal permanente</x:v>
      </x:c>
      <x:c r="Y318" s="351" t="str">
        <x:v>Consolidada</x:v>
      </x:c>
      <x:c r="Z318" s="351" t="str">
        <x:v>24 meses</x:v>
      </x:c>
      <x:c r="AA318" s="351" t="str">
        <x:v>Lenguajes seguros, verificación, WebAssembly, cómputo heterogéneo y nuevas abstracciones para agentes.</x:v>
      </x:c>
    </x:row>
    <x:row r="319" ht="58" customHeight="1">
      <x:c r="A319" s="366" t="str">
        <x:v>CST-021</x:v>
      </x:c>
      <x:c r="B319" s="366" t="n">
        <x:v>4</x:v>
      </x:c>
      <x:c r="C319" s="366" t="str">
        <x:v>Integración profesional</x:v>
      </x:c>
      <x:c r="D319" s="366" t="str">
        <x:v>Programación</x:v>
      </x:c>
      <x:c r="E319" s="366" t="str">
        <x:v>Programación y teoría CS</x:v>
      </x:c>
      <x:c r="F319" s="366" t="str">
        <x:v>Programación científica con Python</x:v>
      </x:c>
      <x:c r="G319" s="366" t="str">
        <x:v>Programación científica con Python. Diseño de algoritmos, depuración, pruebas, estilo, complejidad y pequeños proyectos.</x:v>
      </x:c>
      <x:c r="H319" s="366" t="str">
        <x:v>CST-020</x:v>
      </x:c>
      <x:c r="I319" s="366" t="str">
        <x:v>Núcleo esencial</x:v>
      </x:c>
      <x:c r="J319" s="366" t="n">
        <x:v>1</x:v>
      </x:c>
      <x:c r="K319" s="366" t="n">
        <x:v>36</x:v>
      </x:c>
      <x:c r="L319" s="366" t="n">
        <x:v>42</x:v>
      </x:c>
      <x:c r="M319" s="366" t="n">
        <x:v>22</x:v>
      </x:c>
      <x:c r="N319" s="367" t="n">
        <x:f>SUM(K319:M319)</x:f>
        <x:v>100</x:v>
      </x:c>
      <x:c r="O319" s="368" t="n">
        <x:f>N319/25</x:f>
        <x:v>4</x:v>
      </x:c>
      <x:c r="P319" s="366" t="str">
        <x:v>Repositorio con pruebas: Programación científica con Python.</x:v>
      </x:c>
      <x:c r="Q319" s="366" t="str">
        <x:v>S01; S09; S11; S14; S16; S18</x:v>
      </x:c>
      <x:c r="R319" s="366" t="str">
        <x:v>No iniciado</x:v>
      </x:c>
      <x:c r="S319" s="369" t="n">
        <x:v>0</x:v>
      </x:c>
      <x:c r="T319" s="370"/>
      <x:c r="U319" s="370"/>
      <x:c r="V319" s="366" t="str">
        <x:v>Conecta lógica matemática, máquinas computables, lenguajes, algoritmos y abstracción.</x:v>
      </x:c>
      <x:c r="W319" s="366" t="str">
        <x:v>Muy alta: fundamento durable</x:v>
      </x:c>
      <x:c r="X319" s="366" t="str">
        <x:v>Transversal permanente</x:v>
      </x:c>
      <x:c r="Y319" s="366" t="str">
        <x:v>Consolidada</x:v>
      </x:c>
      <x:c r="Z319" s="366" t="str">
        <x:v>24 meses</x:v>
      </x:c>
      <x:c r="AA319" s="366" t="str">
        <x:v>Lenguajes seguros, verificación, WebAssembly, cómputo heterogéneo y nuevas abstracciones para agentes.</x:v>
      </x:c>
    </x:row>
    <x:row r="320" ht="58" customHeight="1">
      <x:c r="A320" s="351" t="str">
        <x:v>CST-022</x:v>
      </x:c>
      <x:c r="B320" s="351" t="n">
        <x:v>4</x:v>
      </x:c>
      <x:c r="C320" s="351" t="str">
        <x:v>Integración profesional</x:v>
      </x:c>
      <x:c r="D320" s="351" t="str">
        <x:v>Programación</x:v>
      </x:c>
      <x:c r="E320" s="351" t="str">
        <x:v>Programación y teoría CS</x:v>
      </x:c>
      <x:c r="F320" s="351" t="str">
        <x:v>Programación numérica con MATLAB/Octave</x:v>
      </x:c>
      <x:c r="G320" s="351" t="str">
        <x:v>Programación numérica con MATLAB/Octave. Diseño de algoritmos, depuración, pruebas, estilo, complejidad y pequeños proyectos.</x:v>
      </x:c>
      <x:c r="H320" s="351" t="str">
        <x:v>CST-021</x:v>
      </x:c>
      <x:c r="I320" s="351" t="str">
        <x:v>Núcleo esencial</x:v>
      </x:c>
      <x:c r="J320" s="351" t="n">
        <x:v>1</x:v>
      </x:c>
      <x:c r="K320" s="351" t="n">
        <x:v>36</x:v>
      </x:c>
      <x:c r="L320" s="351" t="n">
        <x:v>42</x:v>
      </x:c>
      <x:c r="M320" s="351" t="n">
        <x:v>22</x:v>
      </x:c>
      <x:c r="N320" s="352" t="n">
        <x:f>SUM(K320:M320)</x:f>
        <x:v>100</x:v>
      </x:c>
      <x:c r="O320" s="353" t="n">
        <x:f>N320/25</x:f>
        <x:v>4</x:v>
      </x:c>
      <x:c r="P320" s="351" t="str">
        <x:v>Repositorio con pruebas: Programación numérica con MATLAB/Octave.</x:v>
      </x:c>
      <x:c r="Q320" s="351" t="str">
        <x:v>S01; S09; S11; S14; S16; S18</x:v>
      </x:c>
      <x:c r="R320" s="351" t="str">
        <x:v>No iniciado</x:v>
      </x:c>
      <x:c r="S320" s="354" t="n">
        <x:v>0</x:v>
      </x:c>
      <x:c r="T320" s="355"/>
      <x:c r="U320" s="355"/>
      <x:c r="V320" s="351" t="str">
        <x:v>Conecta lógica matemática, máquinas computables, lenguajes, algoritmos y abstracción.</x:v>
      </x:c>
      <x:c r="W320" s="351" t="str">
        <x:v>Muy alta: fundamento durable</x:v>
      </x:c>
      <x:c r="X320" s="351" t="str">
        <x:v>Transversal permanente</x:v>
      </x:c>
      <x:c r="Y320" s="351" t="str">
        <x:v>Consolidada</x:v>
      </x:c>
      <x:c r="Z320" s="351" t="str">
        <x:v>24 meses</x:v>
      </x:c>
      <x:c r="AA320" s="351" t="str">
        <x:v>Lenguajes seguros, verificación, WebAssembly, cómputo heterogéneo y nuevas abstracciones para agentes.</x:v>
      </x:c>
    </x:row>
    <x:row r="321" ht="58" customHeight="1">
      <x:c r="A321" s="366" t="str">
        <x:v>CST-033</x:v>
      </x:c>
      <x:c r="B321" s="366" t="n">
        <x:v>4</x:v>
      </x:c>
      <x:c r="C321" s="366" t="str">
        <x:v>Integración profesional</x:v>
      </x:c>
      <x:c r="D321" s="366" t="str">
        <x:v>Teoría de la computación</x:v>
      </x:c>
      <x:c r="E321" s="366" t="str">
        <x:v>Programación y teoría CS</x:v>
      </x:c>
      <x:c r="F321" s="366" t="str">
        <x:v>Criptografía matemática introductoria</x:v>
      </x:c>
      <x:c r="G321" s="366" t="str">
        <x:v>Criptografía matemática introductoria. Modelos formales, límites de cómputo, semántica, construcción y verificación.</x:v>
      </x:c>
      <x:c r="H321" s="366" t="str">
        <x:v>CST-032</x:v>
      </x:c>
      <x:c r="I321" s="366" t="str">
        <x:v>Núcleo esencial</x:v>
      </x:c>
      <x:c r="J321" s="366" t="n">
        <x:v>1</x:v>
      </x:c>
      <x:c r="K321" s="366" t="n">
        <x:v>36</x:v>
      </x:c>
      <x:c r="L321" s="366" t="n">
        <x:v>42</x:v>
      </x:c>
      <x:c r="M321" s="366" t="n">
        <x:v>22</x:v>
      </x:c>
      <x:c r="N321" s="367" t="n">
        <x:f>SUM(K321:M321)</x:f>
        <x:v>100</x:v>
      </x:c>
      <x:c r="O321" s="368" t="n">
        <x:f>N321/25</x:f>
        <x:v>4</x:v>
      </x:c>
      <x:c r="P321" s="366" t="str">
        <x:v>Demostraciones y prototipo: Criptografía matemática introductoria.</x:v>
      </x:c>
      <x:c r="Q321" s="366" t="str">
        <x:v>S01; S09; S14; S16; S20</x:v>
      </x:c>
      <x:c r="R321" s="366" t="str">
        <x:v>No iniciado</x:v>
      </x:c>
      <x:c r="S321" s="369" t="n">
        <x:v>0</x:v>
      </x:c>
      <x:c r="T321" s="370"/>
      <x:c r="U321" s="370"/>
      <x:c r="V321" s="366" t="str">
        <x:v>Conecta lógica matemática, máquinas computables, lenguajes, algoritmos y abstracción.</x:v>
      </x:c>
      <x:c r="W321" s="366" t="str">
        <x:v>Muy alta: fundamento durable</x:v>
      </x:c>
      <x:c r="X321" s="366" t="str">
        <x:v>Transversal permanente</x:v>
      </x:c>
      <x:c r="Y321" s="366" t="str">
        <x:v>Consolidada</x:v>
      </x:c>
      <x:c r="Z321" s="366" t="str">
        <x:v>24 meses</x:v>
      </x:c>
      <x:c r="AA321" s="366" t="str">
        <x:v>Lenguajes seguros, verificación, WebAssembly, cómputo heterogéneo y nuevas abstracciones para agentes.</x:v>
      </x:c>
    </x:row>
    <x:row r="322" ht="58" customHeight="1">
      <x:c r="A322" s="351" t="str">
        <x:v>NET-013</x:v>
      </x:c>
      <x:c r="B322" s="351" t="n">
        <x:v>4</x:v>
      </x:c>
      <x:c r="C322" s="351" t="str">
        <x:v>Integración profesional</x:v>
      </x:c>
      <x:c r="D322" s="351" t="str">
        <x:v>Redes y telecomunicaciones</x:v>
      </x:c>
      <x:c r="E322" s="351" t="str">
        <x:v>Redes, telecom y cloud</x:v>
      </x:c>
      <x:c r="F322" s="351" t="str">
        <x:v>Comunicaciones digitales</x:v>
      </x:c>
      <x:c r="G322" s="351" t="str">
        <x:v>Comunicaciones digitales. Diseño, configuración, medición, automatización, disponibilidad y seguridad.</x:v>
      </x:c>
      <x:c r="H322" s="351" t="str">
        <x:v>NET-012</x:v>
      </x:c>
      <x:c r="I322" s="351" t="str">
        <x:v>Núcleo esencial</x:v>
      </x:c>
      <x:c r="J322" s="351" t="n">
        <x:v>1</x:v>
      </x:c>
      <x:c r="K322" s="351" t="n">
        <x:v>36</x:v>
      </x:c>
      <x:c r="L322" s="351" t="n">
        <x:v>42</x:v>
      </x:c>
      <x:c r="M322" s="351" t="n">
        <x:v>22</x:v>
      </x:c>
      <x:c r="N322" s="352" t="n">
        <x:f>SUM(K322:M322)</x:f>
        <x:v>100</x:v>
      </x:c>
      <x:c r="O322" s="353" t="n">
        <x:f>N322/25</x:f>
        <x:v>4</x:v>
      </x:c>
      <x:c r="P322" s="351" t="str">
        <x:v>Topología documentada y probada: Comunicaciones digitales.</x:v>
      </x:c>
      <x:c r="Q322" s="351" t="str">
        <x:v>S03; S04; S17; S18; S27</x:v>
      </x:c>
      <x:c r="R322" s="351" t="str">
        <x:v>No iniciado</x:v>
      </x:c>
      <x:c r="S322" s="354" t="n">
        <x:v>0</x:v>
      </x:c>
      <x:c r="T322" s="355"/>
      <x:c r="U322" s="355"/>
      <x:c r="V322" s="351" t="str">
        <x:v>Integra telegrafía, telefonía, conmutación de paquetes, Internet, virtualización y nube.</x:v>
      </x:c>
      <x:c r="W322" s="351" t="str">
        <x:v>Muy alta: fundamento durable</x:v>
      </x:c>
      <x:c r="X322" s="351" t="str">
        <x:v>Transversal permanente</x:v>
      </x:c>
      <x:c r="Y322" s="351" t="str">
        <x:v>Consolidada</x:v>
      </x:c>
      <x:c r="Z322" s="351" t="str">
        <x:v>24 meses</x:v>
      </x:c>
      <x:c r="AA322" s="351" t="str">
        <x:v>5G-Advanced, IMT-2030/6G, edge, redes no terrestres, nube soberana y operación autónoma.</x:v>
      </x:c>
    </x:row>
    <x:row r="323" ht="58" customHeight="1">
      <x:c r="A323" s="366" t="str">
        <x:v>NET-014</x:v>
      </x:c>
      <x:c r="B323" s="366" t="n">
        <x:v>4</x:v>
      </x:c>
      <x:c r="C323" s="366" t="str">
        <x:v>Integración profesional</x:v>
      </x:c>
      <x:c r="D323" s="366" t="str">
        <x:v>Redes y telecomunicaciones</x:v>
      </x:c>
      <x:c r="E323" s="366" t="str">
        <x:v>Redes, telecom y cloud</x:v>
      </x:c>
      <x:c r="F323" s="366" t="str">
        <x:v>Radiofrecuencia y antenas</x:v>
      </x:c>
      <x:c r="G323" s="366" t="str">
        <x:v>Radiofrecuencia y antenas. Diseño, configuración, medición, automatización, disponibilidad y seguridad.</x:v>
      </x:c>
      <x:c r="H323" s="366" t="str">
        <x:v>NET-013</x:v>
      </x:c>
      <x:c r="I323" s="366" t="str">
        <x:v>Núcleo esencial</x:v>
      </x:c>
      <x:c r="J323" s="366" t="n">
        <x:v>1</x:v>
      </x:c>
      <x:c r="K323" s="366" t="n">
        <x:v>36</x:v>
      </x:c>
      <x:c r="L323" s="366" t="n">
        <x:v>42</x:v>
      </x:c>
      <x:c r="M323" s="366" t="n">
        <x:v>22</x:v>
      </x:c>
      <x:c r="N323" s="367" t="n">
        <x:f>SUM(K323:M323)</x:f>
        <x:v>100</x:v>
      </x:c>
      <x:c r="O323" s="368" t="n">
        <x:f>N323/25</x:f>
        <x:v>4</x:v>
      </x:c>
      <x:c r="P323" s="366" t="str">
        <x:v>Topología documentada y probada: Radiofrecuencia y antenas.</x:v>
      </x:c>
      <x:c r="Q323" s="366" t="str">
        <x:v>S03; S04; S17; S18; S27</x:v>
      </x:c>
      <x:c r="R323" s="366" t="str">
        <x:v>No iniciado</x:v>
      </x:c>
      <x:c r="S323" s="369" t="n">
        <x:v>0</x:v>
      </x:c>
      <x:c r="T323" s="370"/>
      <x:c r="U323" s="370"/>
      <x:c r="V323" s="366" t="str">
        <x:v>Integra telegrafía, telefonía, conmutación de paquetes, Internet, virtualización y nube.</x:v>
      </x:c>
      <x:c r="W323" s="366" t="str">
        <x:v>Muy alta: fundamento durable</x:v>
      </x:c>
      <x:c r="X323" s="366" t="str">
        <x:v>Transversal permanente</x:v>
      </x:c>
      <x:c r="Y323" s="366" t="str">
        <x:v>Consolidada</x:v>
      </x:c>
      <x:c r="Z323" s="366" t="str">
        <x:v>24 meses</x:v>
      </x:c>
      <x:c r="AA323" s="366" t="str">
        <x:v>5G-Advanced, IMT-2030/6G, edge, redes no terrestres, nube soberana y operación autónoma.</x:v>
      </x:c>
    </x:row>
    <x:row r="324" ht="58" customHeight="1">
      <x:c r="A324" s="351" t="str">
        <x:v>NET-015</x:v>
      </x:c>
      <x:c r="B324" s="351" t="n">
        <x:v>4</x:v>
      </x:c>
      <x:c r="C324" s="351" t="str">
        <x:v>Integración profesional</x:v>
      </x:c>
      <x:c r="D324" s="351" t="str">
        <x:v>Redes y telecomunicaciones</x:v>
      </x:c>
      <x:c r="E324" s="351" t="str">
        <x:v>Redes, telecom y cloud</x:v>
      </x:c>
      <x:c r="F324" s="351" t="str">
        <x:v>Fibra óptica</x:v>
      </x:c>
      <x:c r="G324" s="351" t="str">
        <x:v>Fibra óptica. Diseño, configuración, medición, automatización, disponibilidad y seguridad.</x:v>
      </x:c>
      <x:c r="H324" s="351" t="str">
        <x:v>NET-014</x:v>
      </x:c>
      <x:c r="I324" s="351" t="str">
        <x:v>Núcleo esencial</x:v>
      </x:c>
      <x:c r="J324" s="351" t="n">
        <x:v>1</x:v>
      </x:c>
      <x:c r="K324" s="351" t="n">
        <x:v>36</x:v>
      </x:c>
      <x:c r="L324" s="351" t="n">
        <x:v>42</x:v>
      </x:c>
      <x:c r="M324" s="351" t="n">
        <x:v>22</x:v>
      </x:c>
      <x:c r="N324" s="352" t="n">
        <x:f>SUM(K324:M324)</x:f>
        <x:v>100</x:v>
      </x:c>
      <x:c r="O324" s="353" t="n">
        <x:f>N324/25</x:f>
        <x:v>4</x:v>
      </x:c>
      <x:c r="P324" s="351" t="str">
        <x:v>Topología documentada y probada: Fibra óptica.</x:v>
      </x:c>
      <x:c r="Q324" s="351" t="str">
        <x:v>S03; S04; S17; S18; S27</x:v>
      </x:c>
      <x:c r="R324" s="351" t="str">
        <x:v>No iniciado</x:v>
      </x:c>
      <x:c r="S324" s="354" t="n">
        <x:v>0</x:v>
      </x:c>
      <x:c r="T324" s="355"/>
      <x:c r="U324" s="355"/>
      <x:c r="V324" s="351" t="str">
        <x:v>Integra telegrafía, telefonía, conmutación de paquetes, Internet, virtualización y nube.</x:v>
      </x:c>
      <x:c r="W324" s="351" t="str">
        <x:v>Muy alta: fundamento durable</x:v>
      </x:c>
      <x:c r="X324" s="351" t="str">
        <x:v>Transversal permanente</x:v>
      </x:c>
      <x:c r="Y324" s="351" t="str">
        <x:v>Consolidada</x:v>
      </x:c>
      <x:c r="Z324" s="351" t="str">
        <x:v>24 meses</x:v>
      </x:c>
      <x:c r="AA324" s="351" t="str">
        <x:v>5G-Advanced, IMT-2030/6G, edge, redes no terrestres, nube soberana y operación autónoma.</x:v>
      </x:c>
    </x:row>
    <x:row r="325" ht="58" customHeight="1">
      <x:c r="A325" s="366" t="str">
        <x:v>NET-016</x:v>
      </x:c>
      <x:c r="B325" s="366" t="n">
        <x:v>4</x:v>
      </x:c>
      <x:c r="C325" s="366" t="str">
        <x:v>Integración profesional</x:v>
      </x:c>
      <x:c r="D325" s="366" t="str">
        <x:v>Redes y telecomunicaciones</x:v>
      </x:c>
      <x:c r="E325" s="366" t="str">
        <x:v>Redes, telecom y cloud</x:v>
      </x:c>
      <x:c r="F325" s="366" t="str">
        <x:v>Redes móviles 4G/5G y evolución</x:v>
      </x:c>
      <x:c r="G325" s="366" t="str">
        <x:v>Redes móviles 4G/5G y evolución. Diseño, configuración, medición, automatización, disponibilidad y seguridad.</x:v>
      </x:c>
      <x:c r="H325" s="366" t="str">
        <x:v>NET-015</x:v>
      </x:c>
      <x:c r="I325" s="366" t="str">
        <x:v>Núcleo esencial</x:v>
      </x:c>
      <x:c r="J325" s="366" t="n">
        <x:v>1</x:v>
      </x:c>
      <x:c r="K325" s="366" t="n">
        <x:v>36</x:v>
      </x:c>
      <x:c r="L325" s="366" t="n">
        <x:v>42</x:v>
      </x:c>
      <x:c r="M325" s="366" t="n">
        <x:v>22</x:v>
      </x:c>
      <x:c r="N325" s="367" t="n">
        <x:f>SUM(K325:M325)</x:f>
        <x:v>100</x:v>
      </x:c>
      <x:c r="O325" s="368" t="n">
        <x:f>N325/25</x:f>
        <x:v>4</x:v>
      </x:c>
      <x:c r="P325" s="366" t="str">
        <x:v>Topología documentada y probada: Redes móviles 4G/5G y evolución.</x:v>
      </x:c>
      <x:c r="Q325" s="366" t="str">
        <x:v>S03; S04; S17; S18; S27</x:v>
      </x:c>
      <x:c r="R325" s="366" t="str">
        <x:v>No iniciado</x:v>
      </x:c>
      <x:c r="S325" s="369" t="n">
        <x:v>0</x:v>
      </x:c>
      <x:c r="T325" s="370"/>
      <x:c r="U325" s="370"/>
      <x:c r="V325" s="366" t="str">
        <x:v>Integra telegrafía, telefonía, conmutación de paquetes, Internet, virtualización y nube.</x:v>
      </x:c>
      <x:c r="W325" s="366" t="str">
        <x:v>Muy alta: fundamento durable</x:v>
      </x:c>
      <x:c r="X325" s="366" t="str">
        <x:v>Transversal permanente</x:v>
      </x:c>
      <x:c r="Y325" s="366" t="str">
        <x:v>Consolidada</x:v>
      </x:c>
      <x:c r="Z325" s="366" t="str">
        <x:v>24 meses</x:v>
      </x:c>
      <x:c r="AA325" s="366" t="str">
        <x:v>5G-Advanced, IMT-2030/6G, edge, redes no terrestres, nube soberana y operación autónoma.</x:v>
      </x:c>
    </x:row>
    <x:row r="326" ht="58" customHeight="1">
      <x:c r="A326" s="351" t="str">
        <x:v>NET-017</x:v>
      </x:c>
      <x:c r="B326" s="351" t="n">
        <x:v>4</x:v>
      </x:c>
      <x:c r="C326" s="351" t="str">
        <x:v>Integración profesional</x:v>
      </x:c>
      <x:c r="D326" s="351" t="str">
        <x:v>Redes y telecomunicaciones</x:v>
      </x:c>
      <x:c r="E326" s="351" t="str">
        <x:v>Redes, telecom y cloud</x:v>
      </x:c>
      <x:c r="F326" s="351" t="str">
        <x:v>VoIP y comunicaciones unificadas</x:v>
      </x:c>
      <x:c r="G326" s="351" t="str">
        <x:v>VoIP y comunicaciones unificadas. Diseño, configuración, medición, automatización, disponibilidad y seguridad.</x:v>
      </x:c>
      <x:c r="H326" s="351" t="str">
        <x:v>NET-016</x:v>
      </x:c>
      <x:c r="I326" s="351" t="str">
        <x:v>Núcleo esencial</x:v>
      </x:c>
      <x:c r="J326" s="351" t="n">
        <x:v>1</x:v>
      </x:c>
      <x:c r="K326" s="351" t="n">
        <x:v>36</x:v>
      </x:c>
      <x:c r="L326" s="351" t="n">
        <x:v>42</x:v>
      </x:c>
      <x:c r="M326" s="351" t="n">
        <x:v>22</x:v>
      </x:c>
      <x:c r="N326" s="352" t="n">
        <x:f>SUM(K326:M326)</x:f>
        <x:v>100</x:v>
      </x:c>
      <x:c r="O326" s="353" t="n">
        <x:f>N326/25</x:f>
        <x:v>4</x:v>
      </x:c>
      <x:c r="P326" s="351" t="str">
        <x:v>Topología documentada y probada: VoIP y comunicaciones unificadas.</x:v>
      </x:c>
      <x:c r="Q326" s="351" t="str">
        <x:v>S03; S04; S17; S18; S27</x:v>
      </x:c>
      <x:c r="R326" s="351" t="str">
        <x:v>No iniciado</x:v>
      </x:c>
      <x:c r="S326" s="354" t="n">
        <x:v>0</x:v>
      </x:c>
      <x:c r="T326" s="355"/>
      <x:c r="U326" s="355"/>
      <x:c r="V326" s="351" t="str">
        <x:v>Integra telegrafía, telefonía, conmutación de paquetes, Internet, virtualización y nube.</x:v>
      </x:c>
      <x:c r="W326" s="351" t="str">
        <x:v>Muy alta: fundamento durable</x:v>
      </x:c>
      <x:c r="X326" s="351" t="str">
        <x:v>Transversal permanente</x:v>
      </x:c>
      <x:c r="Y326" s="351" t="str">
        <x:v>Consolidada</x:v>
      </x:c>
      <x:c r="Z326" s="351" t="str">
        <x:v>24 meses</x:v>
      </x:c>
      <x:c r="AA326" s="351" t="str">
        <x:v>5G-Advanced, IMT-2030/6G, edge, redes no terrestres, nube soberana y operación autónoma.</x:v>
      </x:c>
    </x:row>
    <x:row r="327" ht="58" customHeight="1">
      <x:c r="A327" s="366" t="str">
        <x:v>NET-018</x:v>
      </x:c>
      <x:c r="B327" s="366" t="n">
        <x:v>4</x:v>
      </x:c>
      <x:c r="C327" s="366" t="str">
        <x:v>Integración profesional</x:v>
      </x:c>
      <x:c r="D327" s="366" t="str">
        <x:v>Redes y telecomunicaciones</x:v>
      </x:c>
      <x:c r="E327" s="366" t="str">
        <x:v>Redes, telecom y cloud</x:v>
      </x:c>
      <x:c r="F327" s="366" t="str">
        <x:v>Redes satelitales</x:v>
      </x:c>
      <x:c r="G327" s="366" t="str">
        <x:v>Redes satelitales. Diseño, configuración, medición, automatización, disponibilidad y seguridad.</x:v>
      </x:c>
      <x:c r="H327" s="366" t="str">
        <x:v>NET-017</x:v>
      </x:c>
      <x:c r="I327" s="366" t="str">
        <x:v>Núcleo esencial</x:v>
      </x:c>
      <x:c r="J327" s="366" t="n">
        <x:v>1</x:v>
      </x:c>
      <x:c r="K327" s="366" t="n">
        <x:v>36</x:v>
      </x:c>
      <x:c r="L327" s="366" t="n">
        <x:v>42</x:v>
      </x:c>
      <x:c r="M327" s="366" t="n">
        <x:v>22</x:v>
      </x:c>
      <x:c r="N327" s="367" t="n">
        <x:f>SUM(K327:M327)</x:f>
        <x:v>100</x:v>
      </x:c>
      <x:c r="O327" s="368" t="n">
        <x:f>N327/25</x:f>
        <x:v>4</x:v>
      </x:c>
      <x:c r="P327" s="366" t="str">
        <x:v>Topología documentada y probada: Redes satelitales.</x:v>
      </x:c>
      <x:c r="Q327" s="366" t="str">
        <x:v>S03; S04; S17; S18; S27</x:v>
      </x:c>
      <x:c r="R327" s="366" t="str">
        <x:v>No iniciado</x:v>
      </x:c>
      <x:c r="S327" s="369" t="n">
        <x:v>0</x:v>
      </x:c>
      <x:c r="T327" s="370"/>
      <x:c r="U327" s="370"/>
      <x:c r="V327" s="366" t="str">
        <x:v>Integra telegrafía, telefonía, conmutación de paquetes, Internet, virtualización y nube.</x:v>
      </x:c>
      <x:c r="W327" s="366" t="str">
        <x:v>Muy alta: fundamento durable</x:v>
      </x:c>
      <x:c r="X327" s="366" t="str">
        <x:v>Transversal permanente</x:v>
      </x:c>
      <x:c r="Y327" s="366" t="str">
        <x:v>Consolidada</x:v>
      </x:c>
      <x:c r="Z327" s="366" t="str">
        <x:v>24 meses</x:v>
      </x:c>
      <x:c r="AA327" s="366" t="str">
        <x:v>5G-Advanced, IMT-2030/6G, edge, redes no terrestres, nube soberana y operación autónoma.</x:v>
      </x:c>
    </x:row>
    <x:row r="328" ht="58" customHeight="1">
      <x:c r="A328" s="351" t="str">
        <x:v>NET-027</x:v>
      </x:c>
      <x:c r="B328" s="351" t="n">
        <x:v>4</x:v>
      </x:c>
      <x:c r="C328" s="351" t="str">
        <x:v>Integración profesional</x:v>
      </x:c>
      <x:c r="D328" s="351" t="str">
        <x:v>Administración de sistemas y nube</x:v>
      </x:c>
      <x:c r="E328" s="351" t="str">
        <x:v>Redes, telecom y cloud</x:v>
      </x:c>
      <x:c r="F328" s="351" t="str">
        <x:v>Fundamentos de cloud computing</x:v>
      </x:c>
      <x:c r="G328" s="351" t="str">
        <x:v>Fundamentos de cloud computing. Implementación, automatización, identidad, monitoreo, continuidad y optimización de costos.</x:v>
      </x:c>
      <x:c r="H328" s="351" t="str">
        <x:v>NET-026</x:v>
      </x:c>
      <x:c r="I328" s="351" t="str">
        <x:v>Dominio profesional</x:v>
      </x:c>
      <x:c r="J328" s="351" t="n">
        <x:v>2</x:v>
      </x:c>
      <x:c r="K328" s="351" t="n">
        <x:v>20</x:v>
      </x:c>
      <x:c r="L328" s="351" t="n">
        <x:v>52</x:v>
      </x:c>
      <x:c r="M328" s="351" t="n">
        <x:v>20</x:v>
      </x:c>
      <x:c r="N328" s="352" t="n">
        <x:f>SUM(K328:M328)</x:f>
        <x:v>92</x:v>
      </x:c>
      <x:c r="O328" s="353" t="n">
        <x:f>N328/25</x:f>
        <x:v>3.68</x:v>
      </x:c>
      <x:c r="P328" s="351" t="str">
        <x:v>Infraestructura como código: Fundamentos de cloud computing.</x:v>
      </x:c>
      <x:c r="Q328" s="351" t="str">
        <x:v>S03; S28; S29; S30; S31</x:v>
      </x:c>
      <x:c r="R328" s="351" t="str">
        <x:v>No iniciado</x:v>
      </x:c>
      <x:c r="S328" s="354" t="n">
        <x:v>0</x:v>
      </x:c>
      <x:c r="T328" s="355"/>
      <x:c r="U328" s="355"/>
      <x:c r="V328" s="351" t="str">
        <x:v>Integra telegrafía, telefonía, conmutación de paquetes, Internet, virtualización y nube.</x:v>
      </x:c>
      <x:c r="W328" s="351" t="str">
        <x:v>Alta: práctica vigente</x:v>
      </x:c>
      <x:c r="X328" s="351" t="str">
        <x:v>Presente 2026 y corto (2027–2029)</x:v>
      </x:c>
      <x:c r="Y328" s="351" t="str">
        <x:v>Actual</x:v>
      </x:c>
      <x:c r="Z328" s="351" t="str">
        <x:v>12 meses</x:v>
      </x:c>
      <x:c r="AA328" s="351" t="str">
        <x:v>5G-Advanced, IMT-2030/6G, edge, redes no terrestres, nube soberana y operación autónoma.</x:v>
      </x:c>
    </x:row>
    <x:row r="329" ht="58" customHeight="1">
      <x:c r="A329" s="366" t="str">
        <x:v>NET-028</x:v>
      </x:c>
      <x:c r="B329" s="366" t="n">
        <x:v>4</x:v>
      </x:c>
      <x:c r="C329" s="366" t="str">
        <x:v>Integración profesional</x:v>
      </x:c>
      <x:c r="D329" s="366" t="str">
        <x:v>Administración de sistemas y nube</x:v>
      </x:c>
      <x:c r="E329" s="366" t="str">
        <x:v>Redes, telecom y cloud</x:v>
      </x:c>
      <x:c r="F329" s="366" t="str">
        <x:v>Arquitectura en AWS</x:v>
      </x:c>
      <x:c r="G329" s="366" t="str">
        <x:v>Arquitectura en AWS. Implementación, automatización, identidad, monitoreo, continuidad y optimización de costos.</x:v>
      </x:c>
      <x:c r="H329" s="366" t="str">
        <x:v>NET-027</x:v>
      </x:c>
      <x:c r="I329" s="366" t="str">
        <x:v>Dominio profesional</x:v>
      </x:c>
      <x:c r="J329" s="366" t="n">
        <x:v>2</x:v>
      </x:c>
      <x:c r="K329" s="366" t="n">
        <x:v>20</x:v>
      </x:c>
      <x:c r="L329" s="366" t="n">
        <x:v>52</x:v>
      </x:c>
      <x:c r="M329" s="366" t="n">
        <x:v>20</x:v>
      </x:c>
      <x:c r="N329" s="367" t="n">
        <x:f>SUM(K329:M329)</x:f>
        <x:v>92</x:v>
      </x:c>
      <x:c r="O329" s="368" t="n">
        <x:f>N329/25</x:f>
        <x:v>3.68</x:v>
      </x:c>
      <x:c r="P329" s="366" t="str">
        <x:v>Infraestructura como código: Arquitectura en AWS.</x:v>
      </x:c>
      <x:c r="Q329" s="366" t="str">
        <x:v>S03; S28; S29; S30; S31</x:v>
      </x:c>
      <x:c r="R329" s="366" t="str">
        <x:v>No iniciado</x:v>
      </x:c>
      <x:c r="S329" s="369" t="n">
        <x:v>0</x:v>
      </x:c>
      <x:c r="T329" s="370"/>
      <x:c r="U329" s="370"/>
      <x:c r="V329" s="366" t="str">
        <x:v>Integra telegrafía, telefonía, conmutación de paquetes, Internet, virtualización y nube.</x:v>
      </x:c>
      <x:c r="W329" s="366" t="str">
        <x:v>Alta: práctica vigente</x:v>
      </x:c>
      <x:c r="X329" s="366" t="str">
        <x:v>Presente 2026 y corto (2027–2029)</x:v>
      </x:c>
      <x:c r="Y329" s="366" t="str">
        <x:v>Actual</x:v>
      </x:c>
      <x:c r="Z329" s="366" t="str">
        <x:v>12 meses</x:v>
      </x:c>
      <x:c r="AA329" s="366" t="str">
        <x:v>5G-Advanced, IMT-2030/6G, edge, redes no terrestres, nube soberana y operación autónoma.</x:v>
      </x:c>
    </x:row>
    <x:row r="330" ht="58" customHeight="1">
      <x:c r="A330" s="351" t="str">
        <x:v>NET-029</x:v>
      </x:c>
      <x:c r="B330" s="351" t="n">
        <x:v>4</x:v>
      </x:c>
      <x:c r="C330" s="351" t="str">
        <x:v>Integración profesional</x:v>
      </x:c>
      <x:c r="D330" s="351" t="str">
        <x:v>Administración de sistemas y nube</x:v>
      </x:c>
      <x:c r="E330" s="351" t="str">
        <x:v>Redes, telecom y cloud</x:v>
      </x:c>
      <x:c r="F330" s="351" t="str">
        <x:v>Administración de Microsoft Azure</x:v>
      </x:c>
      <x:c r="G330" s="351" t="str">
        <x:v>Administración de Microsoft Azure. Implementación, automatización, identidad, monitoreo, continuidad y optimización de costos.</x:v>
      </x:c>
      <x:c r="H330" s="351" t="str">
        <x:v>NET-028</x:v>
      </x:c>
      <x:c r="I330" s="351" t="str">
        <x:v>Dominio profesional</x:v>
      </x:c>
      <x:c r="J330" s="351" t="n">
        <x:v>2</x:v>
      </x:c>
      <x:c r="K330" s="351" t="n">
        <x:v>20</x:v>
      </x:c>
      <x:c r="L330" s="351" t="n">
        <x:v>52</x:v>
      </x:c>
      <x:c r="M330" s="351" t="n">
        <x:v>20</x:v>
      </x:c>
      <x:c r="N330" s="352" t="n">
        <x:f>SUM(K330:M330)</x:f>
        <x:v>92</x:v>
      </x:c>
      <x:c r="O330" s="353" t="n">
        <x:f>N330/25</x:f>
        <x:v>3.68</x:v>
      </x:c>
      <x:c r="P330" s="351" t="str">
        <x:v>Infraestructura como código: Administración de Microsoft Azure.</x:v>
      </x:c>
      <x:c r="Q330" s="351" t="str">
        <x:v>S03; S28; S29; S30; S31</x:v>
      </x:c>
      <x:c r="R330" s="351" t="str">
        <x:v>No iniciado</x:v>
      </x:c>
      <x:c r="S330" s="354" t="n">
        <x:v>0</x:v>
      </x:c>
      <x:c r="T330" s="355"/>
      <x:c r="U330" s="355"/>
      <x:c r="V330" s="351" t="str">
        <x:v>Integra telegrafía, telefonía, conmutación de paquetes, Internet, virtualización y nube.</x:v>
      </x:c>
      <x:c r="W330" s="351" t="str">
        <x:v>Alta: práctica vigente</x:v>
      </x:c>
      <x:c r="X330" s="351" t="str">
        <x:v>Presente 2026 y corto (2027–2029)</x:v>
      </x:c>
      <x:c r="Y330" s="351" t="str">
        <x:v>Actual</x:v>
      </x:c>
      <x:c r="Z330" s="351" t="str">
        <x:v>12 meses</x:v>
      </x:c>
      <x:c r="AA330" s="351" t="str">
        <x:v>5G-Advanced, IMT-2030/6G, edge, redes no terrestres, nube soberana y operación autónoma.</x:v>
      </x:c>
    </x:row>
    <x:row r="331" ht="58" customHeight="1">
      <x:c r="A331" s="366" t="str">
        <x:v>NET-030</x:v>
      </x:c>
      <x:c r="B331" s="366" t="n">
        <x:v>4</x:v>
      </x:c>
      <x:c r="C331" s="366" t="str">
        <x:v>Integración profesional</x:v>
      </x:c>
      <x:c r="D331" s="366" t="str">
        <x:v>Administración de sistemas y nube</x:v>
      </x:c>
      <x:c r="E331" s="366" t="str">
        <x:v>Redes, telecom y cloud</x:v>
      </x:c>
      <x:c r="F331" s="366" t="str">
        <x:v>Arquitectura en Google Cloud</x:v>
      </x:c>
      <x:c r="G331" s="366" t="str">
        <x:v>Arquitectura en Google Cloud. Implementación, automatización, identidad, monitoreo, continuidad y optimización de costos.</x:v>
      </x:c>
      <x:c r="H331" s="366" t="str">
        <x:v>NET-029</x:v>
      </x:c>
      <x:c r="I331" s="366" t="str">
        <x:v>Dominio profesional</x:v>
      </x:c>
      <x:c r="J331" s="366" t="n">
        <x:v>2</x:v>
      </x:c>
      <x:c r="K331" s="366" t="n">
        <x:v>20</x:v>
      </x:c>
      <x:c r="L331" s="366" t="n">
        <x:v>52</x:v>
      </x:c>
      <x:c r="M331" s="366" t="n">
        <x:v>20</x:v>
      </x:c>
      <x:c r="N331" s="367" t="n">
        <x:f>SUM(K331:M331)</x:f>
        <x:v>92</x:v>
      </x:c>
      <x:c r="O331" s="368" t="n">
        <x:f>N331/25</x:f>
        <x:v>3.68</x:v>
      </x:c>
      <x:c r="P331" s="366" t="str">
        <x:v>Infraestructura como código: Arquitectura en Google Cloud.</x:v>
      </x:c>
      <x:c r="Q331" s="366" t="str">
        <x:v>S03; S28; S29; S30; S31</x:v>
      </x:c>
      <x:c r="R331" s="366" t="str">
        <x:v>No iniciado</x:v>
      </x:c>
      <x:c r="S331" s="369" t="n">
        <x:v>0</x:v>
      </x:c>
      <x:c r="T331" s="370"/>
      <x:c r="U331" s="370"/>
      <x:c r="V331" s="366" t="str">
        <x:v>Integra telegrafía, telefonía, conmutación de paquetes, Internet, virtualización y nube.</x:v>
      </x:c>
      <x:c r="W331" s="366" t="str">
        <x:v>Alta: práctica vigente</x:v>
      </x:c>
      <x:c r="X331" s="366" t="str">
        <x:v>Presente 2026 y corto (2027–2029)</x:v>
      </x:c>
      <x:c r="Y331" s="366" t="str">
        <x:v>Actual</x:v>
      </x:c>
      <x:c r="Z331" s="366" t="str">
        <x:v>12 meses</x:v>
      </x:c>
      <x:c r="AA331" s="366" t="str">
        <x:v>5G-Advanced, IMT-2030/6G, edge, redes no terrestres, nube soberana y operación autónoma.</x:v>
      </x:c>
    </x:row>
    <x:row r="332" ht="58" customHeight="1">
      <x:c r="A332" s="351" t="str">
        <x:v>NET-031</x:v>
      </x:c>
      <x:c r="B332" s="351" t="n">
        <x:v>4</x:v>
      </x:c>
      <x:c r="C332" s="351" t="str">
        <x:v>Integración profesional</x:v>
      </x:c>
      <x:c r="D332" s="351" t="str">
        <x:v>Administración de sistemas y nube</x:v>
      </x:c>
      <x:c r="E332" s="351" t="str">
        <x:v>Redes, telecom y cloud</x:v>
      </x:c>
      <x:c r="F332" s="351" t="str">
        <x:v>Infraestructura como código con Terraform</x:v>
      </x:c>
      <x:c r="G332" s="351" t="str">
        <x:v>Infraestructura como código con Terraform. Implementación, automatización, identidad, monitoreo, continuidad y optimización de costos.</x:v>
      </x:c>
      <x:c r="H332" s="351" t="str">
        <x:v>NET-030</x:v>
      </x:c>
      <x:c r="I332" s="351" t="str">
        <x:v>Dominio profesional</x:v>
      </x:c>
      <x:c r="J332" s="351" t="n">
        <x:v>2</x:v>
      </x:c>
      <x:c r="K332" s="351" t="n">
        <x:v>20</x:v>
      </x:c>
      <x:c r="L332" s="351" t="n">
        <x:v>52</x:v>
      </x:c>
      <x:c r="M332" s="351" t="n">
        <x:v>20</x:v>
      </x:c>
      <x:c r="N332" s="352" t="n">
        <x:f>SUM(K332:M332)</x:f>
        <x:v>92</x:v>
      </x:c>
      <x:c r="O332" s="353" t="n">
        <x:f>N332/25</x:f>
        <x:v>3.68</x:v>
      </x:c>
      <x:c r="P332" s="351" t="str">
        <x:v>Infraestructura como código: Infraestructura como código con Terraform.</x:v>
      </x:c>
      <x:c r="Q332" s="351" t="str">
        <x:v>S03; S28; S29; S30; S31</x:v>
      </x:c>
      <x:c r="R332" s="351" t="str">
        <x:v>No iniciado</x:v>
      </x:c>
      <x:c r="S332" s="354" t="n">
        <x:v>0</x:v>
      </x:c>
      <x:c r="T332" s="355"/>
      <x:c r="U332" s="355"/>
      <x:c r="V332" s="351" t="str">
        <x:v>Integra telegrafía, telefonía, conmutación de paquetes, Internet, virtualización y nube.</x:v>
      </x:c>
      <x:c r="W332" s="351" t="str">
        <x:v>Alta: práctica vigente</x:v>
      </x:c>
      <x:c r="X332" s="351" t="str">
        <x:v>Presente 2026 y corto (2027–2029)</x:v>
      </x:c>
      <x:c r="Y332" s="351" t="str">
        <x:v>Actual</x:v>
      </x:c>
      <x:c r="Z332" s="351" t="str">
        <x:v>12 meses</x:v>
      </x:c>
      <x:c r="AA332" s="351" t="str">
        <x:v>5G-Advanced, IMT-2030/6G, edge, redes no terrestres, nube soberana y operación autónoma.</x:v>
      </x:c>
    </x:row>
    <x:row r="333" ht="58" customHeight="1">
      <x:c r="A333" s="366" t="str">
        <x:v>NET-032</x:v>
      </x:c>
      <x:c r="B333" s="366" t="n">
        <x:v>4</x:v>
      </x:c>
      <x:c r="C333" s="366" t="str">
        <x:v>Integración profesional</x:v>
      </x:c>
      <x:c r="D333" s="366" t="str">
        <x:v>Administración de sistemas y nube</x:v>
      </x:c>
      <x:c r="E333" s="366" t="str">
        <x:v>Redes, telecom y cloud</x:v>
      </x:c>
      <x:c r="F333" s="366" t="str">
        <x:v>Docker y construcción de contenedores</x:v>
      </x:c>
      <x:c r="G333" s="366" t="str">
        <x:v>Docker y construcción de contenedores. Implementación, automatización, identidad, monitoreo, continuidad y optimización de costos.</x:v>
      </x:c>
      <x:c r="H333" s="366" t="str">
        <x:v>NET-031</x:v>
      </x:c>
      <x:c r="I333" s="366" t="str">
        <x:v>Dominio profesional</x:v>
      </x:c>
      <x:c r="J333" s="366" t="n">
        <x:v>2</x:v>
      </x:c>
      <x:c r="K333" s="366" t="n">
        <x:v>20</x:v>
      </x:c>
      <x:c r="L333" s="366" t="n">
        <x:v>52</x:v>
      </x:c>
      <x:c r="M333" s="366" t="n">
        <x:v>20</x:v>
      </x:c>
      <x:c r="N333" s="367" t="n">
        <x:f>SUM(K333:M333)</x:f>
        <x:v>92</x:v>
      </x:c>
      <x:c r="O333" s="368" t="n">
        <x:f>N333/25</x:f>
        <x:v>3.68</x:v>
      </x:c>
      <x:c r="P333" s="366" t="str">
        <x:v>Infraestructura como código: Docker y construcción de contenedores.</x:v>
      </x:c>
      <x:c r="Q333" s="366" t="str">
        <x:v>S03; S28; S29; S30; S31</x:v>
      </x:c>
      <x:c r="R333" s="366" t="str">
        <x:v>No iniciado</x:v>
      </x:c>
      <x:c r="S333" s="369" t="n">
        <x:v>0</x:v>
      </x:c>
      <x:c r="T333" s="370"/>
      <x:c r="U333" s="370"/>
      <x:c r="V333" s="366" t="str">
        <x:v>Integra telegrafía, telefonía, conmutación de paquetes, Internet, virtualización y nube.</x:v>
      </x:c>
      <x:c r="W333" s="366" t="str">
        <x:v>Alta: práctica vigente</x:v>
      </x:c>
      <x:c r="X333" s="366" t="str">
        <x:v>Presente 2026 y corto (2027–2029)</x:v>
      </x:c>
      <x:c r="Y333" s="366" t="str">
        <x:v>Actual</x:v>
      </x:c>
      <x:c r="Z333" s="366" t="str">
        <x:v>12 meses</x:v>
      </x:c>
      <x:c r="AA333" s="366" t="str">
        <x:v>5G-Advanced, IMT-2030/6G, edge, redes no terrestres, nube soberana y operación autónoma.</x:v>
      </x:c>
    </x:row>
    <x:row r="334" ht="58" customHeight="1">
      <x:c r="A334" s="351" t="str">
        <x:v>NET-033</x:v>
      </x:c>
      <x:c r="B334" s="351" t="n">
        <x:v>4</x:v>
      </x:c>
      <x:c r="C334" s="351" t="str">
        <x:v>Integración profesional</x:v>
      </x:c>
      <x:c r="D334" s="351" t="str">
        <x:v>Administración de sistemas y nube</x:v>
      </x:c>
      <x:c r="E334" s="351" t="str">
        <x:v>Redes, telecom y cloud</x:v>
      </x:c>
      <x:c r="F334" s="351" t="str">
        <x:v>Administración de Kubernetes</x:v>
      </x:c>
      <x:c r="G334" s="351" t="str">
        <x:v>Administración de Kubernetes. Implementación, automatización, identidad, monitoreo, continuidad y optimización de costos.</x:v>
      </x:c>
      <x:c r="H334" s="351" t="str">
        <x:v>NET-032</x:v>
      </x:c>
      <x:c r="I334" s="351" t="str">
        <x:v>Dominio profesional</x:v>
      </x:c>
      <x:c r="J334" s="351" t="n">
        <x:v>2</x:v>
      </x:c>
      <x:c r="K334" s="351" t="n">
        <x:v>20</x:v>
      </x:c>
      <x:c r="L334" s="351" t="n">
        <x:v>52</x:v>
      </x:c>
      <x:c r="M334" s="351" t="n">
        <x:v>20</x:v>
      </x:c>
      <x:c r="N334" s="352" t="n">
        <x:f>SUM(K334:M334)</x:f>
        <x:v>92</x:v>
      </x:c>
      <x:c r="O334" s="353" t="n">
        <x:f>N334/25</x:f>
        <x:v>3.68</x:v>
      </x:c>
      <x:c r="P334" s="351" t="str">
        <x:v>Infraestructura como código: Administración de Kubernetes.</x:v>
      </x:c>
      <x:c r="Q334" s="351" t="str">
        <x:v>S03; S28; S29; S30; S31</x:v>
      </x:c>
      <x:c r="R334" s="351" t="str">
        <x:v>No iniciado</x:v>
      </x:c>
      <x:c r="S334" s="354" t="n">
        <x:v>0</x:v>
      </x:c>
      <x:c r="T334" s="355"/>
      <x:c r="U334" s="355"/>
      <x:c r="V334" s="351" t="str">
        <x:v>Integra telegrafía, telefonía, conmutación de paquetes, Internet, virtualización y nube.</x:v>
      </x:c>
      <x:c r="W334" s="351" t="str">
        <x:v>Alta: práctica vigente</x:v>
      </x:c>
      <x:c r="X334" s="351" t="str">
        <x:v>Presente 2026 y corto (2027–2029)</x:v>
      </x:c>
      <x:c r="Y334" s="351" t="str">
        <x:v>Actual</x:v>
      </x:c>
      <x:c r="Z334" s="351" t="str">
        <x:v>12 meses</x:v>
      </x:c>
      <x:c r="AA334" s="351" t="str">
        <x:v>5G-Advanced, IMT-2030/6G, edge, redes no terrestres, nube soberana y operación autónoma.</x:v>
      </x:c>
    </x:row>
    <x:row r="335" ht="58" customHeight="1">
      <x:c r="A335" s="366" t="str">
        <x:v>ROB-007</x:v>
      </x:c>
      <x:c r="B335" s="366" t="n">
        <x:v>4</x:v>
      </x:c>
      <x:c r="C335" s="366" t="str">
        <x:v>Integración profesional</x:v>
      </x:c>
      <x:c r="D335" s="366" t="str">
        <x:v>Mecatrónica, control y automatización</x:v>
      </x:c>
      <x:c r="E335" s="366" t="str">
        <x:v>Robótica y mecatrónica</x:v>
      </x:c>
      <x:c r="F335" s="366" t="str">
        <x:v>Modelado y simulación mecatrónica</x:v>
      </x:c>
      <x:c r="G335" s="366" t="str">
        <x:v>Modelado y simulación mecatrónica. Modelado físico, diseño, fabricación, control y pruebas seguras.</x:v>
      </x:c>
      <x:c r="H335" s="366" t="str">
        <x:v>ROB-006</x:v>
      </x:c>
      <x:c r="I335" s="366" t="str">
        <x:v>Dominio profesional</x:v>
      </x:c>
      <x:c r="J335" s="366" t="n">
        <x:v>2</x:v>
      </x:c>
      <x:c r="K335" s="366" t="n">
        <x:v>20</x:v>
      </x:c>
      <x:c r="L335" s="366" t="n">
        <x:v>52</x:v>
      </x:c>
      <x:c r="M335" s="366" t="n">
        <x:v>20</x:v>
      </x:c>
      <x:c r="N335" s="367" t="n">
        <x:f>SUM(K335:M335)</x:f>
        <x:v>92</x:v>
      </x:c>
      <x:c r="O335" s="368" t="n">
        <x:f>N335/25</x:f>
        <x:v>3.68</x:v>
      </x:c>
      <x:c r="P335" s="366" t="str">
        <x:v>Prototipo mecatrónico: Modelado y simulación mecatrónica.</x:v>
      </x:c>
      <x:c r="Q335" s="366" t="str">
        <x:v>S04; S24; S25; S48</x:v>
      </x:c>
      <x:c r="R335" s="366" t="str">
        <x:v>No iniciado</x:v>
      </x:c>
      <x:c r="S335" s="369" t="n">
        <x:v>0</x:v>
      </x:c>
      <x:c r="T335" s="370"/>
      <x:c r="U335" s="370"/>
      <x:c r="V335" s="366" t="str">
        <x:v>Converge mecánica, control, electrónica, percepción, planificación e inteligencia artificial.</x:v>
      </x:c>
      <x:c r="W335" s="366" t="str">
        <x:v>Alta: práctica vigente</x:v>
      </x:c>
      <x:c r="X335" s="366" t="str">
        <x:v>Presente 2026 y corto (2027–2029)</x:v>
      </x:c>
      <x:c r="Y335" s="366" t="str">
        <x:v>Actual</x:v>
      </x:c>
      <x:c r="Z335" s="366" t="str">
        <x:v>12 meses</x:v>
      </x:c>
      <x:c r="AA335" s="366" t="str">
        <x:v>IA corporeizada, robots colaborativos, autonomía, enjambres, robótica blanda y seguridad física.</x:v>
      </x:c>
    </x:row>
    <x:row r="336" ht="58" customHeight="1">
      <x:c r="A336" s="351" t="str">
        <x:v>ROB-008</x:v>
      </x:c>
      <x:c r="B336" s="351" t="n">
        <x:v>4</x:v>
      </x:c>
      <x:c r="C336" s="351" t="str">
        <x:v>Integración profesional</x:v>
      </x:c>
      <x:c r="D336" s="351" t="str">
        <x:v>Mecatrónica, control y automatización</x:v>
      </x:c>
      <x:c r="E336" s="351" t="str">
        <x:v>Robótica y mecatrónica</x:v>
      </x:c>
      <x:c r="F336" s="351" t="str">
        <x:v>Neumática e hidráulica</x:v>
      </x:c>
      <x:c r="G336" s="351" t="str">
        <x:v>Neumática e hidráulica. Modelado físico, diseño, fabricación, control y pruebas seguras.</x:v>
      </x:c>
      <x:c r="H336" s="351" t="str">
        <x:v>ROB-007</x:v>
      </x:c>
      <x:c r="I336" s="351" t="str">
        <x:v>Dominio profesional</x:v>
      </x:c>
      <x:c r="J336" s="351" t="n">
        <x:v>2</x:v>
      </x:c>
      <x:c r="K336" s="351" t="n">
        <x:v>20</x:v>
      </x:c>
      <x:c r="L336" s="351" t="n">
        <x:v>52</x:v>
      </x:c>
      <x:c r="M336" s="351" t="n">
        <x:v>20</x:v>
      </x:c>
      <x:c r="N336" s="352" t="n">
        <x:f>SUM(K336:M336)</x:f>
        <x:v>92</x:v>
      </x:c>
      <x:c r="O336" s="353" t="n">
        <x:f>N336/25</x:f>
        <x:v>3.68</x:v>
      </x:c>
      <x:c r="P336" s="351" t="str">
        <x:v>Prototipo mecatrónico: Neumática e hidráulica.</x:v>
      </x:c>
      <x:c r="Q336" s="351" t="str">
        <x:v>S04; S24; S25; S48</x:v>
      </x:c>
      <x:c r="R336" s="351" t="str">
        <x:v>No iniciado</x:v>
      </x:c>
      <x:c r="S336" s="354" t="n">
        <x:v>0</x:v>
      </x:c>
      <x:c r="T336" s="355"/>
      <x:c r="U336" s="355"/>
      <x:c r="V336" s="351" t="str">
        <x:v>Converge mecánica, control, electrónica, percepción, planificación e inteligencia artificial.</x:v>
      </x:c>
      <x:c r="W336" s="351" t="str">
        <x:v>Alta: práctica vigente</x:v>
      </x:c>
      <x:c r="X336" s="351" t="str">
        <x:v>Presente 2026 y corto (2027–2029)</x:v>
      </x:c>
      <x:c r="Y336" s="351" t="str">
        <x:v>Actual</x:v>
      </x:c>
      <x:c r="Z336" s="351" t="str">
        <x:v>12 meses</x:v>
      </x:c>
      <x:c r="AA336" s="351" t="str">
        <x:v>IA corporeizada, robots colaborativos, autonomía, enjambres, robótica blanda y seguridad física.</x:v>
      </x:c>
    </x:row>
    <x:row r="337" ht="58" customHeight="1">
      <x:c r="A337" s="366" t="str">
        <x:v>ROB-009</x:v>
      </x:c>
      <x:c r="B337" s="366" t="n">
        <x:v>4</x:v>
      </x:c>
      <x:c r="C337" s="366" t="str">
        <x:v>Integración profesional</x:v>
      </x:c>
      <x:c r="D337" s="366" t="str">
        <x:v>Mecatrónica, control y automatización</x:v>
      </x:c>
      <x:c r="E337" s="366" t="str">
        <x:v>Robótica y mecatrónica</x:v>
      </x:c>
      <x:c r="F337" s="366" t="str">
        <x:v>PLC y automatización industrial</x:v>
      </x:c>
      <x:c r="G337" s="366" t="str">
        <x:v>PLC y automatización industrial. Modelado físico, diseño, fabricación, control y pruebas seguras.</x:v>
      </x:c>
      <x:c r="H337" s="366" t="str">
        <x:v>ROB-008</x:v>
      </x:c>
      <x:c r="I337" s="366" t="str">
        <x:v>Dominio profesional</x:v>
      </x:c>
      <x:c r="J337" s="366" t="n">
        <x:v>2</x:v>
      </x:c>
      <x:c r="K337" s="366" t="n">
        <x:v>20</x:v>
      </x:c>
      <x:c r="L337" s="366" t="n">
        <x:v>52</x:v>
      </x:c>
      <x:c r="M337" s="366" t="n">
        <x:v>20</x:v>
      </x:c>
      <x:c r="N337" s="367" t="n">
        <x:f>SUM(K337:M337)</x:f>
        <x:v>92</x:v>
      </x:c>
      <x:c r="O337" s="368" t="n">
        <x:f>N337/25</x:f>
        <x:v>3.68</x:v>
      </x:c>
      <x:c r="P337" s="366" t="str">
        <x:v>Prototipo mecatrónico: PLC y automatización industrial.</x:v>
      </x:c>
      <x:c r="Q337" s="366" t="str">
        <x:v>S04; S24; S25; S48</x:v>
      </x:c>
      <x:c r="R337" s="366" t="str">
        <x:v>No iniciado</x:v>
      </x:c>
      <x:c r="S337" s="369" t="n">
        <x:v>0</x:v>
      </x:c>
      <x:c r="T337" s="370"/>
      <x:c r="U337" s="370"/>
      <x:c r="V337" s="366" t="str">
        <x:v>Converge mecánica, control, electrónica, percepción, planificación e inteligencia artificial.</x:v>
      </x:c>
      <x:c r="W337" s="366" t="str">
        <x:v>Alta: práctica vigente</x:v>
      </x:c>
      <x:c r="X337" s="366" t="str">
        <x:v>Presente 2026 y corto (2027–2029)</x:v>
      </x:c>
      <x:c r="Y337" s="366" t="str">
        <x:v>Actual</x:v>
      </x:c>
      <x:c r="Z337" s="366" t="str">
        <x:v>12 meses</x:v>
      </x:c>
      <x:c r="AA337" s="366" t="str">
        <x:v>IA corporeizada, robots colaborativos, autonomía, enjambres, robótica blanda y seguridad física.</x:v>
      </x:c>
    </x:row>
    <x:row r="338" ht="58" customHeight="1">
      <x:c r="A338" s="351" t="str">
        <x:v>ROB-010</x:v>
      </x:c>
      <x:c r="B338" s="351" t="n">
        <x:v>4</x:v>
      </x:c>
      <x:c r="C338" s="351" t="str">
        <x:v>Integración profesional</x:v>
      </x:c>
      <x:c r="D338" s="351" t="str">
        <x:v>Mecatrónica, control y automatización</x:v>
      </x:c>
      <x:c r="E338" s="351" t="str">
        <x:v>Robótica y mecatrónica</x:v>
      </x:c>
      <x:c r="F338" s="351" t="str">
        <x:v>SCADA y sistemas de supervisión</x:v>
      </x:c>
      <x:c r="G338" s="351" t="str">
        <x:v>SCADA y sistemas de supervisión. Modelado físico, diseño, fabricación, control y pruebas seguras.</x:v>
      </x:c>
      <x:c r="H338" s="351" t="str">
        <x:v>ROB-009</x:v>
      </x:c>
      <x:c r="I338" s="351" t="str">
        <x:v>Dominio profesional</x:v>
      </x:c>
      <x:c r="J338" s="351" t="n">
        <x:v>2</x:v>
      </x:c>
      <x:c r="K338" s="351" t="n">
        <x:v>20</x:v>
      </x:c>
      <x:c r="L338" s="351" t="n">
        <x:v>52</x:v>
      </x:c>
      <x:c r="M338" s="351" t="n">
        <x:v>20</x:v>
      </x:c>
      <x:c r="N338" s="352" t="n">
        <x:f>SUM(K338:M338)</x:f>
        <x:v>92</x:v>
      </x:c>
      <x:c r="O338" s="353" t="n">
        <x:f>N338/25</x:f>
        <x:v>3.68</x:v>
      </x:c>
      <x:c r="P338" s="351" t="str">
        <x:v>Prototipo mecatrónico: SCADA y sistemas de supervisión.</x:v>
      </x:c>
      <x:c r="Q338" s="351" t="str">
        <x:v>S04; S24; S25; S48</x:v>
      </x:c>
      <x:c r="R338" s="351" t="str">
        <x:v>No iniciado</x:v>
      </x:c>
      <x:c r="S338" s="354" t="n">
        <x:v>0</x:v>
      </x:c>
      <x:c r="T338" s="355"/>
      <x:c r="U338" s="355"/>
      <x:c r="V338" s="351" t="str">
        <x:v>Converge mecánica, control, electrónica, percepción, planificación e inteligencia artificial.</x:v>
      </x:c>
      <x:c r="W338" s="351" t="str">
        <x:v>Alta: práctica vigente</x:v>
      </x:c>
      <x:c r="X338" s="351" t="str">
        <x:v>Presente 2026 y corto (2027–2029)</x:v>
      </x:c>
      <x:c r="Y338" s="351" t="str">
        <x:v>Actual</x:v>
      </x:c>
      <x:c r="Z338" s="351" t="str">
        <x:v>12 meses</x:v>
      </x:c>
      <x:c r="AA338" s="351" t="str">
        <x:v>IA corporeizada, robots colaborativos, autonomía, enjambres, robótica blanda y seguridad física.</x:v>
      </x:c>
    </x:row>
    <x:row r="339" ht="58" customHeight="1">
      <x:c r="A339" s="366" t="str">
        <x:v>ROB-011</x:v>
      </x:c>
      <x:c r="B339" s="366" t="n">
        <x:v>4</x:v>
      </x:c>
      <x:c r="C339" s="366" t="str">
        <x:v>Integración profesional</x:v>
      </x:c>
      <x:c r="D339" s="366" t="str">
        <x:v>Mecatrónica, control y automatización</x:v>
      </x:c>
      <x:c r="E339" s="366" t="str">
        <x:v>Robótica y mecatrónica</x:v>
      </x:c>
      <x:c r="F339" s="366" t="str">
        <x:v>Integración de sistemas mecatrónicos</x:v>
      </x:c>
      <x:c r="G339" s="366" t="str">
        <x:v>Integración de sistemas mecatrónicos. Modelado físico, diseño, fabricación, control y pruebas seguras.</x:v>
      </x:c>
      <x:c r="H339" s="366" t="str">
        <x:v>ROB-010</x:v>
      </x:c>
      <x:c r="I339" s="366" t="str">
        <x:v>Dominio profesional</x:v>
      </x:c>
      <x:c r="J339" s="366" t="n">
        <x:v>2</x:v>
      </x:c>
      <x:c r="K339" s="366" t="n">
        <x:v>20</x:v>
      </x:c>
      <x:c r="L339" s="366" t="n">
        <x:v>52</x:v>
      </x:c>
      <x:c r="M339" s="366" t="n">
        <x:v>20</x:v>
      </x:c>
      <x:c r="N339" s="367" t="n">
        <x:f>SUM(K339:M339)</x:f>
        <x:v>92</x:v>
      </x:c>
      <x:c r="O339" s="368" t="n">
        <x:f>N339/25</x:f>
        <x:v>3.68</x:v>
      </x:c>
      <x:c r="P339" s="366" t="str">
        <x:v>Prototipo mecatrónico: Integración de sistemas mecatrónicos.</x:v>
      </x:c>
      <x:c r="Q339" s="366" t="str">
        <x:v>S04; S24; S25; S48</x:v>
      </x:c>
      <x:c r="R339" s="366" t="str">
        <x:v>No iniciado</x:v>
      </x:c>
      <x:c r="S339" s="369" t="n">
        <x:v>0</x:v>
      </x:c>
      <x:c r="T339" s="370"/>
      <x:c r="U339" s="370"/>
      <x:c r="V339" s="366" t="str">
        <x:v>Converge mecánica, control, electrónica, percepción, planificación e inteligencia artificial.</x:v>
      </x:c>
      <x:c r="W339" s="366" t="str">
        <x:v>Alta: práctica vigente</x:v>
      </x:c>
      <x:c r="X339" s="366" t="str">
        <x:v>Presente 2026 y corto (2027–2029)</x:v>
      </x:c>
      <x:c r="Y339" s="366" t="str">
        <x:v>Actual</x:v>
      </x:c>
      <x:c r="Z339" s="366" t="str">
        <x:v>12 meses</x:v>
      </x:c>
      <x:c r="AA339" s="366" t="str">
        <x:v>IA corporeizada, robots colaborativos, autonomía, enjambres, robótica blanda y seguridad física.</x:v>
      </x:c>
    </x:row>
    <x:row r="340" ht="58" customHeight="1">
      <x:c r="A340" s="351" t="str">
        <x:v>ROB-012</x:v>
      </x:c>
      <x:c r="B340" s="351" t="n">
        <x:v>4</x:v>
      </x:c>
      <x:c r="C340" s="351" t="str">
        <x:v>Integración profesional</x:v>
      </x:c>
      <x:c r="D340" s="351" t="str">
        <x:v>Mecatrónica, control y automatización</x:v>
      </x:c>
      <x:c r="E340" s="351" t="str">
        <x:v>Robótica y mecatrónica</x:v>
      </x:c>
      <x:c r="F340" s="351" t="str">
        <x:v>Mantenimiento industrial y predictivo</x:v>
      </x:c>
      <x:c r="G340" s="351" t="str">
        <x:v>Mantenimiento industrial y predictivo. Modelado físico, diseño, fabricación, control y pruebas seguras.</x:v>
      </x:c>
      <x:c r="H340" s="351" t="str">
        <x:v>ROB-011</x:v>
      </x:c>
      <x:c r="I340" s="351" t="str">
        <x:v>Dominio profesional</x:v>
      </x:c>
      <x:c r="J340" s="351" t="n">
        <x:v>2</x:v>
      </x:c>
      <x:c r="K340" s="351" t="n">
        <x:v>20</x:v>
      </x:c>
      <x:c r="L340" s="351" t="n">
        <x:v>52</x:v>
      </x:c>
      <x:c r="M340" s="351" t="n">
        <x:v>20</x:v>
      </x:c>
      <x:c r="N340" s="352" t="n">
        <x:f>SUM(K340:M340)</x:f>
        <x:v>92</x:v>
      </x:c>
      <x:c r="O340" s="353" t="n">
        <x:f>N340/25</x:f>
        <x:v>3.68</x:v>
      </x:c>
      <x:c r="P340" s="351" t="str">
        <x:v>Prototipo mecatrónico: Mantenimiento industrial y predictivo.</x:v>
      </x:c>
      <x:c r="Q340" s="351" t="str">
        <x:v>S04; S24; S25; S48</x:v>
      </x:c>
      <x:c r="R340" s="351" t="str">
        <x:v>No iniciado</x:v>
      </x:c>
      <x:c r="S340" s="354" t="n">
        <x:v>0</x:v>
      </x:c>
      <x:c r="T340" s="355"/>
      <x:c r="U340" s="355"/>
      <x:c r="V340" s="351" t="str">
        <x:v>Converge mecánica, control, electrónica, percepción, planificación e inteligencia artificial.</x:v>
      </x:c>
      <x:c r="W340" s="351" t="str">
        <x:v>Alta: práctica vigente</x:v>
      </x:c>
      <x:c r="X340" s="351" t="str">
        <x:v>Presente 2026 y corto (2027–2029)</x:v>
      </x:c>
      <x:c r="Y340" s="351" t="str">
        <x:v>Actual</x:v>
      </x:c>
      <x:c r="Z340" s="351" t="str">
        <x:v>12 meses</x:v>
      </x:c>
      <x:c r="AA340" s="351" t="str">
        <x:v>IA corporeizada, robots colaborativos, autonomía, enjambres, robótica blanda y seguridad física.</x:v>
      </x:c>
    </x:row>
    <x:row r="341" ht="58" customHeight="1">
      <x:c r="A341" s="366" t="str">
        <x:v>ROB-013</x:v>
      </x:c>
      <x:c r="B341" s="366" t="n">
        <x:v>4</x:v>
      </x:c>
      <x:c r="C341" s="366" t="str">
        <x:v>Integración profesional</x:v>
      </x:c>
      <x:c r="D341" s="366" t="str">
        <x:v>Robótica</x:v>
      </x:c>
      <x:c r="E341" s="366" t="str">
        <x:v>Robótica y mecatrónica</x:v>
      </x:c>
      <x:c r="F341" s="366" t="str">
        <x:v>Fundamentos de robótica</x:v>
      </x:c>
      <x:c r="G341" s="366" t="str">
        <x:v>Fundamentos de robótica. Percepción, movimiento, planificación, control, interacción y experimentación reproducible.</x:v>
      </x:c>
      <x:c r="H341" s="366" t="str">
        <x:v>ROB-005</x:v>
      </x:c>
      <x:c r="I341" s="366" t="str">
        <x:v>Dominio profesional</x:v>
      </x:c>
      <x:c r="J341" s="366" t="n">
        <x:v>2</x:v>
      </x:c>
      <x:c r="K341" s="366" t="n">
        <x:v>20</x:v>
      </x:c>
      <x:c r="L341" s="366" t="n">
        <x:v>52</x:v>
      </x:c>
      <x:c r="M341" s="366" t="n">
        <x:v>20</x:v>
      </x:c>
      <x:c r="N341" s="367" t="n">
        <x:f>SUM(K341:M341)</x:f>
        <x:v>92</x:v>
      </x:c>
      <x:c r="O341" s="368" t="n">
        <x:f>N341/25</x:f>
        <x:v>3.68</x:v>
      </x:c>
      <x:c r="P341" s="366" t="str">
        <x:v>Robot o simulación validada: Fundamentos de robótica.</x:v>
      </x:c>
      <x:c r="Q341" s="366" t="str">
        <x:v>S04; S12; S24; S25</x:v>
      </x:c>
      <x:c r="R341" s="366" t="str">
        <x:v>No iniciado</x:v>
      </x:c>
      <x:c r="S341" s="369" t="n">
        <x:v>0</x:v>
      </x:c>
      <x:c r="T341" s="370"/>
      <x:c r="U341" s="370"/>
      <x:c r="V341" s="366" t="str">
        <x:v>Converge mecánica, control, electrónica, percepción, planificación e inteligencia artificial.</x:v>
      </x:c>
      <x:c r="W341" s="366" t="str">
        <x:v>Alta: práctica vigente</x:v>
      </x:c>
      <x:c r="X341" s="366" t="str">
        <x:v>Presente 2026 y corto (2027–2029)</x:v>
      </x:c>
      <x:c r="Y341" s="366" t="str">
        <x:v>Actual</x:v>
      </x:c>
      <x:c r="Z341" s="366" t="str">
        <x:v>12 meses</x:v>
      </x:c>
      <x:c r="AA341" s="366" t="str">
        <x:v>IA corporeizada, robots colaborativos, autonomía, enjambres, robótica blanda y seguridad física.</x:v>
      </x:c>
    </x:row>
    <x:row r="342" ht="58" customHeight="1">
      <x:c r="A342" s="351" t="str">
        <x:v>ROB-014</x:v>
      </x:c>
      <x:c r="B342" s="351" t="n">
        <x:v>4</x:v>
      </x:c>
      <x:c r="C342" s="351" t="str">
        <x:v>Integración profesional</x:v>
      </x:c>
      <x:c r="D342" s="351" t="str">
        <x:v>Robótica</x:v>
      </x:c>
      <x:c r="E342" s="351" t="str">
        <x:v>Robótica y mecatrónica</x:v>
      </x:c>
      <x:c r="F342" s="351" t="str">
        <x:v>Cinemática de robots</x:v>
      </x:c>
      <x:c r="G342" s="351" t="str">
        <x:v>Cinemática de robots. Percepción, movimiento, planificación, control, interacción y experimentación reproducible.</x:v>
      </x:c>
      <x:c r="H342" s="351" t="str">
        <x:v>ROB-013</x:v>
      </x:c>
      <x:c r="I342" s="351" t="str">
        <x:v>Dominio profesional</x:v>
      </x:c>
      <x:c r="J342" s="351" t="n">
        <x:v>2</x:v>
      </x:c>
      <x:c r="K342" s="351" t="n">
        <x:v>20</x:v>
      </x:c>
      <x:c r="L342" s="351" t="n">
        <x:v>52</x:v>
      </x:c>
      <x:c r="M342" s="351" t="n">
        <x:v>20</x:v>
      </x:c>
      <x:c r="N342" s="352" t="n">
        <x:f>SUM(K342:M342)</x:f>
        <x:v>92</x:v>
      </x:c>
      <x:c r="O342" s="353" t="n">
        <x:f>N342/25</x:f>
        <x:v>3.68</x:v>
      </x:c>
      <x:c r="P342" s="351" t="str">
        <x:v>Robot o simulación validada: Cinemática de robots.</x:v>
      </x:c>
      <x:c r="Q342" s="351" t="str">
        <x:v>S04; S12; S24; S25</x:v>
      </x:c>
      <x:c r="R342" s="351" t="str">
        <x:v>No iniciado</x:v>
      </x:c>
      <x:c r="S342" s="354" t="n">
        <x:v>0</x:v>
      </x:c>
      <x:c r="T342" s="355"/>
      <x:c r="U342" s="355"/>
      <x:c r="V342" s="351" t="str">
        <x:v>Converge mecánica, control, electrónica, percepción, planificación e inteligencia artificial.</x:v>
      </x:c>
      <x:c r="W342" s="351" t="str">
        <x:v>Alta: práctica vigente</x:v>
      </x:c>
      <x:c r="X342" s="351" t="str">
        <x:v>Presente 2026 y corto (2027–2029)</x:v>
      </x:c>
      <x:c r="Y342" s="351" t="str">
        <x:v>Actual</x:v>
      </x:c>
      <x:c r="Z342" s="351" t="str">
        <x:v>12 meses</x:v>
      </x:c>
      <x:c r="AA342" s="351" t="str">
        <x:v>IA corporeizada, robots colaborativos, autonomía, enjambres, robótica blanda y seguridad física.</x:v>
      </x:c>
    </x:row>
    <x:row r="343" ht="58" customHeight="1">
      <x:c r="A343" s="366" t="str">
        <x:v>ROB-015</x:v>
      </x:c>
      <x:c r="B343" s="366" t="n">
        <x:v>4</x:v>
      </x:c>
      <x:c r="C343" s="366" t="str">
        <x:v>Integración profesional</x:v>
      </x:c>
      <x:c r="D343" s="366" t="str">
        <x:v>Robótica</x:v>
      </x:c>
      <x:c r="E343" s="366" t="str">
        <x:v>Robótica y mecatrónica</x:v>
      </x:c>
      <x:c r="F343" s="366" t="str">
        <x:v>Dinámica de robots</x:v>
      </x:c>
      <x:c r="G343" s="366" t="str">
        <x:v>Dinámica de robots. Percepción, movimiento, planificación, control, interacción y experimentación reproducible.</x:v>
      </x:c>
      <x:c r="H343" s="366" t="str">
        <x:v>ROB-014</x:v>
      </x:c>
      <x:c r="I343" s="366" t="str">
        <x:v>Dominio profesional</x:v>
      </x:c>
      <x:c r="J343" s="366" t="n">
        <x:v>2</x:v>
      </x:c>
      <x:c r="K343" s="366" t="n">
        <x:v>20</x:v>
      </x:c>
      <x:c r="L343" s="366" t="n">
        <x:v>52</x:v>
      </x:c>
      <x:c r="M343" s="366" t="n">
        <x:v>20</x:v>
      </x:c>
      <x:c r="N343" s="367" t="n">
        <x:f>SUM(K343:M343)</x:f>
        <x:v>92</x:v>
      </x:c>
      <x:c r="O343" s="368" t="n">
        <x:f>N343/25</x:f>
        <x:v>3.68</x:v>
      </x:c>
      <x:c r="P343" s="366" t="str">
        <x:v>Robot o simulación validada: Dinámica de robots.</x:v>
      </x:c>
      <x:c r="Q343" s="366" t="str">
        <x:v>S04; S12; S24; S25</x:v>
      </x:c>
      <x:c r="R343" s="366" t="str">
        <x:v>No iniciado</x:v>
      </x:c>
      <x:c r="S343" s="369" t="n">
        <x:v>0</x:v>
      </x:c>
      <x:c r="T343" s="370"/>
      <x:c r="U343" s="370"/>
      <x:c r="V343" s="366" t="str">
        <x:v>Converge mecánica, control, electrónica, percepción, planificación e inteligencia artificial.</x:v>
      </x:c>
      <x:c r="W343" s="366" t="str">
        <x:v>Alta: práctica vigente</x:v>
      </x:c>
      <x:c r="X343" s="366" t="str">
        <x:v>Presente 2026 y corto (2027–2029)</x:v>
      </x:c>
      <x:c r="Y343" s="366" t="str">
        <x:v>Actual</x:v>
      </x:c>
      <x:c r="Z343" s="366" t="str">
        <x:v>12 meses</x:v>
      </x:c>
      <x:c r="AA343" s="366" t="str">
        <x:v>IA corporeizada, robots colaborativos, autonomía, enjambres, robótica blanda y seguridad física.</x:v>
      </x:c>
    </x:row>
    <x:row r="344" ht="58" customHeight="1">
      <x:c r="A344" s="351" t="str">
        <x:v>ROB-016</x:v>
      </x:c>
      <x:c r="B344" s="351" t="n">
        <x:v>4</x:v>
      </x:c>
      <x:c r="C344" s="351" t="str">
        <x:v>Integración profesional</x:v>
      </x:c>
      <x:c r="D344" s="351" t="str">
        <x:v>Robótica</x:v>
      </x:c>
      <x:c r="E344" s="351" t="str">
        <x:v>Robótica y mecatrónica</x:v>
      </x:c>
      <x:c r="F344" s="351" t="str">
        <x:v>Percepción robótica y fusión de sensores</x:v>
      </x:c>
      <x:c r="G344" s="351" t="str">
        <x:v>Percepción robótica y fusión de sensores. Percepción, movimiento, planificación, control, interacción y experimentación reproducible.</x:v>
      </x:c>
      <x:c r="H344" s="351" t="str">
        <x:v>ROB-015</x:v>
      </x:c>
      <x:c r="I344" s="351" t="str">
        <x:v>Dominio profesional</x:v>
      </x:c>
      <x:c r="J344" s="351" t="n">
        <x:v>2</x:v>
      </x:c>
      <x:c r="K344" s="351" t="n">
        <x:v>20</x:v>
      </x:c>
      <x:c r="L344" s="351" t="n">
        <x:v>52</x:v>
      </x:c>
      <x:c r="M344" s="351" t="n">
        <x:v>20</x:v>
      </x:c>
      <x:c r="N344" s="352" t="n">
        <x:f>SUM(K344:M344)</x:f>
        <x:v>92</x:v>
      </x:c>
      <x:c r="O344" s="353" t="n">
        <x:f>N344/25</x:f>
        <x:v>3.68</x:v>
      </x:c>
      <x:c r="P344" s="351" t="str">
        <x:v>Robot o simulación validada: Percepción robótica y fusión de sensores.</x:v>
      </x:c>
      <x:c r="Q344" s="351" t="str">
        <x:v>S04; S12; S24; S25</x:v>
      </x:c>
      <x:c r="R344" s="351" t="str">
        <x:v>No iniciado</x:v>
      </x:c>
      <x:c r="S344" s="354" t="n">
        <x:v>0</x:v>
      </x:c>
      <x:c r="T344" s="355"/>
      <x:c r="U344" s="355"/>
      <x:c r="V344" s="351" t="str">
        <x:v>Converge mecánica, control, electrónica, percepción, planificación e inteligencia artificial.</x:v>
      </x:c>
      <x:c r="W344" s="351" t="str">
        <x:v>Alta: práctica vigente</x:v>
      </x:c>
      <x:c r="X344" s="351" t="str">
        <x:v>Presente 2026 y corto (2027–2029)</x:v>
      </x:c>
      <x:c r="Y344" s="351" t="str">
        <x:v>Actual</x:v>
      </x:c>
      <x:c r="Z344" s="351" t="str">
        <x:v>12 meses</x:v>
      </x:c>
      <x:c r="AA344" s="351" t="str">
        <x:v>IA corporeizada, robots colaborativos, autonomía, enjambres, robótica blanda y seguridad física.</x:v>
      </x:c>
    </x:row>
    <x:row r="345" ht="58" customHeight="1">
      <x:c r="A345" s="366" t="str">
        <x:v>ROB-017</x:v>
      </x:c>
      <x:c r="B345" s="366" t="n">
        <x:v>4</x:v>
      </x:c>
      <x:c r="C345" s="366" t="str">
        <x:v>Integración profesional</x:v>
      </x:c>
      <x:c r="D345" s="366" t="str">
        <x:v>Robótica</x:v>
      </x:c>
      <x:c r="E345" s="366" t="str">
        <x:v>Robótica y mecatrónica</x:v>
      </x:c>
      <x:c r="F345" s="366" t="str">
        <x:v>Visión para robótica</x:v>
      </x:c>
      <x:c r="G345" s="366" t="str">
        <x:v>Visión para robótica. Percepción, movimiento, planificación, control, interacción y experimentación reproducible.</x:v>
      </x:c>
      <x:c r="H345" s="366" t="str">
        <x:v>ROB-016</x:v>
      </x:c>
      <x:c r="I345" s="366" t="str">
        <x:v>Dominio profesional</x:v>
      </x:c>
      <x:c r="J345" s="366" t="n">
        <x:v>2</x:v>
      </x:c>
      <x:c r="K345" s="366" t="n">
        <x:v>20</x:v>
      </x:c>
      <x:c r="L345" s="366" t="n">
        <x:v>52</x:v>
      </x:c>
      <x:c r="M345" s="366" t="n">
        <x:v>20</x:v>
      </x:c>
      <x:c r="N345" s="367" t="n">
        <x:f>SUM(K345:M345)</x:f>
        <x:v>92</x:v>
      </x:c>
      <x:c r="O345" s="368" t="n">
        <x:f>N345/25</x:f>
        <x:v>3.68</x:v>
      </x:c>
      <x:c r="P345" s="366" t="str">
        <x:v>Robot o simulación validada: Visión para robótica.</x:v>
      </x:c>
      <x:c r="Q345" s="366" t="str">
        <x:v>S04; S12; S24; S25</x:v>
      </x:c>
      <x:c r="R345" s="366" t="str">
        <x:v>No iniciado</x:v>
      </x:c>
      <x:c r="S345" s="369" t="n">
        <x:v>0</x:v>
      </x:c>
      <x:c r="T345" s="370"/>
      <x:c r="U345" s="370"/>
      <x:c r="V345" s="366" t="str">
        <x:v>Converge mecánica, control, electrónica, percepción, planificación e inteligencia artificial.</x:v>
      </x:c>
      <x:c r="W345" s="366" t="str">
        <x:v>Alta: práctica vigente</x:v>
      </x:c>
      <x:c r="X345" s="366" t="str">
        <x:v>Presente 2026 y corto (2027–2029)</x:v>
      </x:c>
      <x:c r="Y345" s="366" t="str">
        <x:v>Actual</x:v>
      </x:c>
      <x:c r="Z345" s="366" t="str">
        <x:v>12 meses</x:v>
      </x:c>
      <x:c r="AA345" s="366" t="str">
        <x:v>IA corporeizada, robots colaborativos, autonomía, enjambres, robótica blanda y seguridad física.</x:v>
      </x:c>
    </x:row>
    <x:row r="346" ht="58" customHeight="1">
      <x:c r="A346" s="351" t="str">
        <x:v>ROB-018</x:v>
      </x:c>
      <x:c r="B346" s="351" t="n">
        <x:v>4</x:v>
      </x:c>
      <x:c r="C346" s="351" t="str">
        <x:v>Integración profesional</x:v>
      </x:c>
      <x:c r="D346" s="351" t="str">
        <x:v>Robótica</x:v>
      </x:c>
      <x:c r="E346" s="351" t="str">
        <x:v>Robótica y mecatrónica</x:v>
      </x:c>
      <x:c r="F346" s="351" t="str">
        <x:v>Planificación de movimiento</x:v>
      </x:c>
      <x:c r="G346" s="351" t="str">
        <x:v>Planificación de movimiento. Percepción, movimiento, planificación, control, interacción y experimentación reproducible.</x:v>
      </x:c>
      <x:c r="H346" s="351" t="str">
        <x:v>ROB-017</x:v>
      </x:c>
      <x:c r="I346" s="351" t="str">
        <x:v>Dominio profesional</x:v>
      </x:c>
      <x:c r="J346" s="351" t="n">
        <x:v>2</x:v>
      </x:c>
      <x:c r="K346" s="351" t="n">
        <x:v>20</x:v>
      </x:c>
      <x:c r="L346" s="351" t="n">
        <x:v>52</x:v>
      </x:c>
      <x:c r="M346" s="351" t="n">
        <x:v>20</x:v>
      </x:c>
      <x:c r="N346" s="352" t="n">
        <x:f>SUM(K346:M346)</x:f>
        <x:v>92</x:v>
      </x:c>
      <x:c r="O346" s="353" t="n">
        <x:f>N346/25</x:f>
        <x:v>3.68</x:v>
      </x:c>
      <x:c r="P346" s="351" t="str">
        <x:v>Robot o simulación validada: Planificación de movimiento.</x:v>
      </x:c>
      <x:c r="Q346" s="351" t="str">
        <x:v>S04; S12; S24; S25</x:v>
      </x:c>
      <x:c r="R346" s="351" t="str">
        <x:v>No iniciado</x:v>
      </x:c>
      <x:c r="S346" s="354" t="n">
        <x:v>0</x:v>
      </x:c>
      <x:c r="T346" s="355"/>
      <x:c r="U346" s="355"/>
      <x:c r="V346" s="351" t="str">
        <x:v>Converge mecánica, control, electrónica, percepción, planificación e inteligencia artificial.</x:v>
      </x:c>
      <x:c r="W346" s="351" t="str">
        <x:v>Alta: práctica vigente</x:v>
      </x:c>
      <x:c r="X346" s="351" t="str">
        <x:v>Presente 2026 y corto (2027–2029)</x:v>
      </x:c>
      <x:c r="Y346" s="351" t="str">
        <x:v>Actual</x:v>
      </x:c>
      <x:c r="Z346" s="351" t="str">
        <x:v>12 meses</x:v>
      </x:c>
      <x:c r="AA346" s="351" t="str">
        <x:v>IA corporeizada, robots colaborativos, autonomía, enjambres, robótica blanda y seguridad física.</x:v>
      </x:c>
    </x:row>
    <x:row r="347" ht="58" customHeight="1">
      <x:c r="A347" s="366" t="str">
        <x:v>ISM-015</x:v>
      </x:c>
      <x:c r="B347" s="366" t="n">
        <x:v>4</x:v>
      </x:c>
      <x:c r="C347" s="366" t="str">
        <x:v>Integración profesional</x:v>
      </x:c>
      <x:c r="D347" s="366" t="str">
        <x:v>Sistemas empresariales y gestión</x:v>
      </x:c>
      <x:c r="E347" s="366" t="str">
        <x:v>Sistemas de información y gestión TI</x:v>
      </x:c>
      <x:c r="F347" s="366" t="str">
        <x:v>CMDB y gestión de activos TI</x:v>
      </x:c>
      <x:c r="G347" s="366" t="str">
        <x:v>CMDB y gestión de activos TI. Alineación negocio–tecnología, procesos, arquitectura, control, servicio y transformación.</x:v>
      </x:c>
      <x:c r="H347" s="366" t="str">
        <x:v>ISM-014</x:v>
      </x:c>
      <x:c r="I347" s="366" t="str">
        <x:v>Dominio profesional</x:v>
      </x:c>
      <x:c r="J347" s="366" t="n">
        <x:v>2</x:v>
      </x:c>
      <x:c r="K347" s="366" t="n">
        <x:v>28</x:v>
      </x:c>
      <x:c r="L347" s="366" t="n">
        <x:v>36</x:v>
      </x:c>
      <x:c r="M347" s="366" t="n">
        <x:v>20</x:v>
      </x:c>
      <x:c r="N347" s="367" t="n">
        <x:f>SUM(K347:M347)</x:f>
        <x:v>84</x:v>
      </x:c>
      <x:c r="O347" s="368" t="n">
        <x:f>N347/25</x:f>
        <x:v>3.36</x:v>
      </x:c>
      <x:c r="P347" s="366" t="str">
        <x:v>Caso empresarial y arquitectura: CMDB y gestión de activos TI.</x:v>
      </x:c>
      <x:c r="Q347" s="366" t="str">
        <x:v>S02; S03; S05; S06; S22; S34</x:v>
      </x:c>
      <x:c r="R347" s="366" t="str">
        <x:v>No iniciado</x:v>
      </x:c>
      <x:c r="S347" s="369" t="n">
        <x:v>0</x:v>
      </x:c>
      <x:c r="T347" s="370"/>
      <x:c r="U347" s="370"/>
      <x:c r="V347" s="366" t="str">
        <x:v>Evoluciona desde contabilidad y procesamiento de datos hacia ERP, plataformas y gobierno digital.</x:v>
      </x:c>
      <x:c r="W347" s="366" t="str">
        <x:v>Alta: práctica vigente</x:v>
      </x:c>
      <x:c r="X347" s="366" t="str">
        <x:v>Presente 2026 y corto (2027–2029)</x:v>
      </x:c>
      <x:c r="Y347" s="366" t="str">
        <x:v>Actual</x:v>
      </x:c>
      <x:c r="Z347" s="366" t="str">
        <x:v>12 meses</x:v>
      </x:c>
      <x:c r="AA347" s="366" t="str">
        <x:v>AIOps, FinOps/GreenOps, process mining, organizaciones aumentadas y gobierno de agentes.</x:v>
      </x:c>
    </x:row>
    <x:row r="348" ht="58" customHeight="1">
      <x:c r="A348" s="351" t="str">
        <x:v>ISM-016</x:v>
      </x:c>
      <x:c r="B348" s="351" t="n">
        <x:v>4</x:v>
      </x:c>
      <x:c r="C348" s="351" t="str">
        <x:v>Integración profesional</x:v>
      </x:c>
      <x:c r="D348" s="351" t="str">
        <x:v>Sistemas empresariales y gestión</x:v>
      </x:c>
      <x:c r="E348" s="351" t="str">
        <x:v>Sistemas de información y gestión TI</x:v>
      </x:c>
      <x:c r="F348" s="351" t="str">
        <x:v>Gestión de cambios y configuración</x:v>
      </x:c>
      <x:c r="G348" s="351" t="str">
        <x:v>Gestión de cambios y configuración. Alineación negocio–tecnología, procesos, arquitectura, control, servicio y transformación.</x:v>
      </x:c>
      <x:c r="H348" s="351" t="str">
        <x:v>ISM-015</x:v>
      </x:c>
      <x:c r="I348" s="351" t="str">
        <x:v>Dominio profesional</x:v>
      </x:c>
      <x:c r="J348" s="351" t="n">
        <x:v>2</x:v>
      </x:c>
      <x:c r="K348" s="351" t="n">
        <x:v>28</x:v>
      </x:c>
      <x:c r="L348" s="351" t="n">
        <x:v>36</x:v>
      </x:c>
      <x:c r="M348" s="351" t="n">
        <x:v>20</x:v>
      </x:c>
      <x:c r="N348" s="352" t="n">
        <x:f>SUM(K348:M348)</x:f>
        <x:v>84</x:v>
      </x:c>
      <x:c r="O348" s="353" t="n">
        <x:f>N348/25</x:f>
        <x:v>3.36</x:v>
      </x:c>
      <x:c r="P348" s="351" t="str">
        <x:v>Caso empresarial y arquitectura: Gestión de cambios y configuración.</x:v>
      </x:c>
      <x:c r="Q348" s="351" t="str">
        <x:v>S02; S03; S05; S06; S22; S34</x:v>
      </x:c>
      <x:c r="R348" s="351" t="str">
        <x:v>No iniciado</x:v>
      </x:c>
      <x:c r="S348" s="354" t="n">
        <x:v>0</x:v>
      </x:c>
      <x:c r="T348" s="355"/>
      <x:c r="U348" s="355"/>
      <x:c r="V348" s="351" t="str">
        <x:v>Evoluciona desde contabilidad y procesamiento de datos hacia ERP, plataformas y gobierno digital.</x:v>
      </x:c>
      <x:c r="W348" s="351" t="str">
        <x:v>Alta: práctica vigente</x:v>
      </x:c>
      <x:c r="X348" s="351" t="str">
        <x:v>Presente 2026 y corto (2027–2029)</x:v>
      </x:c>
      <x:c r="Y348" s="351" t="str">
        <x:v>Actual</x:v>
      </x:c>
      <x:c r="Z348" s="351" t="str">
        <x:v>12 meses</x:v>
      </x:c>
      <x:c r="AA348" s="351" t="str">
        <x:v>AIOps, FinOps/GreenOps, process mining, organizaciones aumentadas y gobierno de agentes.</x:v>
      </x:c>
    </x:row>
    <x:row r="349" ht="58" customHeight="1">
      <x:c r="A349" s="366" t="str">
        <x:v>ISM-017</x:v>
      </x:c>
      <x:c r="B349" s="366" t="n">
        <x:v>4</x:v>
      </x:c>
      <x:c r="C349" s="366" t="str">
        <x:v>Integración profesional</x:v>
      </x:c>
      <x:c r="D349" s="366" t="str">
        <x:v>Sistemas empresariales y gestión</x:v>
      </x:c>
      <x:c r="E349" s="366" t="str">
        <x:v>Sistemas de información y gestión TI</x:v>
      </x:c>
      <x:c r="F349" s="366" t="str">
        <x:v>Estrategia de sistemas de información</x:v>
      </x:c>
      <x:c r="G349" s="366" t="str">
        <x:v>Estrategia de sistemas de información. Alineación negocio–tecnología, procesos, arquitectura, control, servicio y transformación.</x:v>
      </x:c>
      <x:c r="H349" s="366" t="str">
        <x:v>ISM-016</x:v>
      </x:c>
      <x:c r="I349" s="366" t="str">
        <x:v>Dominio profesional</x:v>
      </x:c>
      <x:c r="J349" s="366" t="n">
        <x:v>2</x:v>
      </x:c>
      <x:c r="K349" s="366" t="n">
        <x:v>28</x:v>
      </x:c>
      <x:c r="L349" s="366" t="n">
        <x:v>36</x:v>
      </x:c>
      <x:c r="M349" s="366" t="n">
        <x:v>20</x:v>
      </x:c>
      <x:c r="N349" s="367" t="n">
        <x:f>SUM(K349:M349)</x:f>
        <x:v>84</x:v>
      </x:c>
      <x:c r="O349" s="368" t="n">
        <x:f>N349/25</x:f>
        <x:v>3.36</x:v>
      </x:c>
      <x:c r="P349" s="366" t="str">
        <x:v>Caso empresarial y arquitectura: Estrategia de sistemas de información.</x:v>
      </x:c>
      <x:c r="Q349" s="366" t="str">
        <x:v>S02; S03; S05; S06; S22; S34</x:v>
      </x:c>
      <x:c r="R349" s="366" t="str">
        <x:v>No iniciado</x:v>
      </x:c>
      <x:c r="S349" s="369" t="n">
        <x:v>0</x:v>
      </x:c>
      <x:c r="T349" s="370"/>
      <x:c r="U349" s="370"/>
      <x:c r="V349" s="366" t="str">
        <x:v>Evoluciona desde contabilidad y procesamiento de datos hacia ERP, plataformas y gobierno digital.</x:v>
      </x:c>
      <x:c r="W349" s="366" t="str">
        <x:v>Alta: práctica vigente</x:v>
      </x:c>
      <x:c r="X349" s="366" t="str">
        <x:v>Presente 2026 y corto (2027–2029)</x:v>
      </x:c>
      <x:c r="Y349" s="366" t="str">
        <x:v>Actual</x:v>
      </x:c>
      <x:c r="Z349" s="366" t="str">
        <x:v>12 meses</x:v>
      </x:c>
      <x:c r="AA349" s="366" t="str">
        <x:v>AIOps, FinOps/GreenOps, process mining, organizaciones aumentadas y gobierno de agentes.</x:v>
      </x:c>
    </x:row>
    <x:row r="350" ht="58" customHeight="1">
      <x:c r="A350" s="351" t="str">
        <x:v>ISM-018</x:v>
      </x:c>
      <x:c r="B350" s="351" t="n">
        <x:v>4</x:v>
      </x:c>
      <x:c r="C350" s="351" t="str">
        <x:v>Integración profesional</x:v>
      </x:c>
      <x:c r="D350" s="351" t="str">
        <x:v>Sistemas empresariales y gestión</x:v>
      </x:c>
      <x:c r="E350" s="351" t="str">
        <x:v>Sistemas de información y gestión TI</x:v>
      </x:c>
      <x:c r="F350" s="351" t="str">
        <x:v>Transformación digital</x:v>
      </x:c>
      <x:c r="G350" s="351" t="str">
        <x:v>Transformación digital. Alineación negocio–tecnología, procesos, arquitectura, control, servicio y transformación.</x:v>
      </x:c>
      <x:c r="H350" s="351" t="str">
        <x:v>ISM-017</x:v>
      </x:c>
      <x:c r="I350" s="351" t="str">
        <x:v>Dominio profesional</x:v>
      </x:c>
      <x:c r="J350" s="351" t="n">
        <x:v>2</x:v>
      </x:c>
      <x:c r="K350" s="351" t="n">
        <x:v>28</x:v>
      </x:c>
      <x:c r="L350" s="351" t="n">
        <x:v>36</x:v>
      </x:c>
      <x:c r="M350" s="351" t="n">
        <x:v>20</x:v>
      </x:c>
      <x:c r="N350" s="352" t="n">
        <x:f>SUM(K350:M350)</x:f>
        <x:v>84</x:v>
      </x:c>
      <x:c r="O350" s="353" t="n">
        <x:f>N350/25</x:f>
        <x:v>3.36</x:v>
      </x:c>
      <x:c r="P350" s="351" t="str">
        <x:v>Caso empresarial y arquitectura: Transformación digital.</x:v>
      </x:c>
      <x:c r="Q350" s="351" t="str">
        <x:v>S02; S03; S05; S06; S22; S34</x:v>
      </x:c>
      <x:c r="R350" s="351" t="str">
        <x:v>No iniciado</x:v>
      </x:c>
      <x:c r="S350" s="354" t="n">
        <x:v>0</x:v>
      </x:c>
      <x:c r="T350" s="355"/>
      <x:c r="U350" s="355"/>
      <x:c r="V350" s="351" t="str">
        <x:v>Evoluciona desde contabilidad y procesamiento de datos hacia ERP, plataformas y gobierno digital.</x:v>
      </x:c>
      <x:c r="W350" s="351" t="str">
        <x:v>Alta: práctica vigente</x:v>
      </x:c>
      <x:c r="X350" s="351" t="str">
        <x:v>Presente 2026 y corto (2027–2029)</x:v>
      </x:c>
      <x:c r="Y350" s="351" t="str">
        <x:v>Actual</x:v>
      </x:c>
      <x:c r="Z350" s="351" t="str">
        <x:v>12 meses</x:v>
      </x:c>
      <x:c r="AA350" s="351" t="str">
        <x:v>AIOps, FinOps/GreenOps, process mining, organizaciones aumentadas y gobierno de agentes.</x:v>
      </x:c>
    </x:row>
    <x:row r="351" ht="58" customHeight="1">
      <x:c r="A351" s="366" t="str">
        <x:v>ISM-019</x:v>
      </x:c>
      <x:c r="B351" s="366" t="n">
        <x:v>4</x:v>
      </x:c>
      <x:c r="C351" s="366" t="str">
        <x:v>Integración profesional</x:v>
      </x:c>
      <x:c r="D351" s="366" t="str">
        <x:v>Sistemas empresariales y gestión</x:v>
      </x:c>
      <x:c r="E351" s="366" t="str">
        <x:v>Sistemas de información y gestión TI</x:v>
      </x:c>
      <x:c r="F351" s="366" t="str">
        <x:v>Gestión de proveedores y adquisiciones TI</x:v>
      </x:c>
      <x:c r="G351" s="366" t="str">
        <x:v>Gestión de proveedores y adquisiciones TI. Alineación negocio–tecnología, procesos, arquitectura, control, servicio y transformación.</x:v>
      </x:c>
      <x:c r="H351" s="366" t="str">
        <x:v>ISM-018</x:v>
      </x:c>
      <x:c r="I351" s="366" t="str">
        <x:v>Dominio profesional</x:v>
      </x:c>
      <x:c r="J351" s="366" t="n">
        <x:v>2</x:v>
      </x:c>
      <x:c r="K351" s="366" t="n">
        <x:v>28</x:v>
      </x:c>
      <x:c r="L351" s="366" t="n">
        <x:v>36</x:v>
      </x:c>
      <x:c r="M351" s="366" t="n">
        <x:v>20</x:v>
      </x:c>
      <x:c r="N351" s="367" t="n">
        <x:f>SUM(K351:M351)</x:f>
        <x:v>84</x:v>
      </x:c>
      <x:c r="O351" s="368" t="n">
        <x:f>N351/25</x:f>
        <x:v>3.36</x:v>
      </x:c>
      <x:c r="P351" s="366" t="str">
        <x:v>Caso empresarial y arquitectura: Gestión de proveedores y adquisiciones TI.</x:v>
      </x:c>
      <x:c r="Q351" s="366" t="str">
        <x:v>S02; S03; S05; S06; S22; S34</x:v>
      </x:c>
      <x:c r="R351" s="366" t="str">
        <x:v>No iniciado</x:v>
      </x:c>
      <x:c r="S351" s="369" t="n">
        <x:v>0</x:v>
      </x:c>
      <x:c r="T351" s="370"/>
      <x:c r="U351" s="370"/>
      <x:c r="V351" s="366" t="str">
        <x:v>Evoluciona desde contabilidad y procesamiento de datos hacia ERP, plataformas y gobierno digital.</x:v>
      </x:c>
      <x:c r="W351" s="366" t="str">
        <x:v>Alta: práctica vigente</x:v>
      </x:c>
      <x:c r="X351" s="366" t="str">
        <x:v>Presente 2026 y corto (2027–2029)</x:v>
      </x:c>
      <x:c r="Y351" s="366" t="str">
        <x:v>Actual</x:v>
      </x:c>
      <x:c r="Z351" s="366" t="str">
        <x:v>12 meses</x:v>
      </x:c>
      <x:c r="AA351" s="366" t="str">
        <x:v>AIOps, FinOps/GreenOps, process mining, organizaciones aumentadas y gobierno de agentes.</x:v>
      </x:c>
    </x:row>
    <x:row r="352" ht="58" customHeight="1">
      <x:c r="A352" s="351" t="str">
        <x:v>ISM-020</x:v>
      </x:c>
      <x:c r="B352" s="351" t="n">
        <x:v>4</x:v>
      </x:c>
      <x:c r="C352" s="351" t="str">
        <x:v>Integración profesional</x:v>
      </x:c>
      <x:c r="D352" s="351" t="str">
        <x:v>Sistemas empresariales y gestión</x:v>
      </x:c>
      <x:c r="E352" s="351" t="str">
        <x:v>Sistemas de información y gestión TI</x:v>
      </x:c>
      <x:c r="F352" s="351" t="str">
        <x:v>Gestión del conocimiento empresarial</x:v>
      </x:c>
      <x:c r="G352" s="351" t="str">
        <x:v>Gestión del conocimiento empresarial. Alineación negocio–tecnología, procesos, arquitectura, control, servicio y transformación.</x:v>
      </x:c>
      <x:c r="H352" s="351" t="str">
        <x:v>ISM-019</x:v>
      </x:c>
      <x:c r="I352" s="351" t="str">
        <x:v>Dominio profesional</x:v>
      </x:c>
      <x:c r="J352" s="351" t="n">
        <x:v>2</x:v>
      </x:c>
      <x:c r="K352" s="351" t="n">
        <x:v>28</x:v>
      </x:c>
      <x:c r="L352" s="351" t="n">
        <x:v>36</x:v>
      </x:c>
      <x:c r="M352" s="351" t="n">
        <x:v>20</x:v>
      </x:c>
      <x:c r="N352" s="352" t="n">
        <x:f>SUM(K352:M352)</x:f>
        <x:v>84</x:v>
      </x:c>
      <x:c r="O352" s="353" t="n">
        <x:f>N352/25</x:f>
        <x:v>3.36</x:v>
      </x:c>
      <x:c r="P352" s="351" t="str">
        <x:v>Caso empresarial y arquitectura: Gestión del conocimiento empresarial.</x:v>
      </x:c>
      <x:c r="Q352" s="351" t="str">
        <x:v>S02; S03; S05; S06; S22; S34</x:v>
      </x:c>
      <x:c r="R352" s="351" t="str">
        <x:v>No iniciado</x:v>
      </x:c>
      <x:c r="S352" s="354" t="n">
        <x:v>0</x:v>
      </x:c>
      <x:c r="T352" s="355"/>
      <x:c r="U352" s="355"/>
      <x:c r="V352" s="351" t="str">
        <x:v>Evoluciona desde contabilidad y procesamiento de datos hacia ERP, plataformas y gobierno digital.</x:v>
      </x:c>
      <x:c r="W352" s="351" t="str">
        <x:v>Alta: práctica vigente</x:v>
      </x:c>
      <x:c r="X352" s="351" t="str">
        <x:v>Presente 2026 y corto (2027–2029)</x:v>
      </x:c>
      <x:c r="Y352" s="351" t="str">
        <x:v>Actual</x:v>
      </x:c>
      <x:c r="Z352" s="351" t="str">
        <x:v>12 meses</x:v>
      </x:c>
      <x:c r="AA352" s="351" t="str">
        <x:v>AIOps, FinOps/GreenOps, process mining, organizaciones aumentadas y gobierno de agentes.</x:v>
      </x:c>
    </x:row>
    <x:row r="353" ht="58" customHeight="1">
      <x:c r="A353" s="366" t="str">
        <x:v>ISM-021</x:v>
      </x:c>
      <x:c r="B353" s="366" t="n">
        <x:v>4</x:v>
      </x:c>
      <x:c r="C353" s="366" t="str">
        <x:v>Integración profesional</x:v>
      </x:c>
      <x:c r="D353" s="366" t="str">
        <x:v>Sistemas empresariales y gestión</x:v>
      </x:c>
      <x:c r="E353" s="366" t="str">
        <x:v>Sistemas de información y gestión TI</x:v>
      </x:c>
      <x:c r="F353" s="366" t="str">
        <x:v>Riesgo, cumplimiento y controles internos</x:v>
      </x:c>
      <x:c r="G353" s="366" t="str">
        <x:v>Riesgo, cumplimiento y controles internos. Alineación negocio–tecnología, procesos, arquitectura, control, servicio y transformación.</x:v>
      </x:c>
      <x:c r="H353" s="366" t="str">
        <x:v>ISM-020</x:v>
      </x:c>
      <x:c r="I353" s="366" t="str">
        <x:v>Dominio profesional</x:v>
      </x:c>
      <x:c r="J353" s="366" t="n">
        <x:v>2</x:v>
      </x:c>
      <x:c r="K353" s="366" t="n">
        <x:v>28</x:v>
      </x:c>
      <x:c r="L353" s="366" t="n">
        <x:v>36</x:v>
      </x:c>
      <x:c r="M353" s="366" t="n">
        <x:v>20</x:v>
      </x:c>
      <x:c r="N353" s="367" t="n">
        <x:f>SUM(K353:M353)</x:f>
        <x:v>84</x:v>
      </x:c>
      <x:c r="O353" s="368" t="n">
        <x:f>N353/25</x:f>
        <x:v>3.36</x:v>
      </x:c>
      <x:c r="P353" s="366" t="str">
        <x:v>Caso empresarial y arquitectura: Riesgo, cumplimiento y controles internos.</x:v>
      </x:c>
      <x:c r="Q353" s="366" t="str">
        <x:v>S02; S03; S05; S06; S22; S34</x:v>
      </x:c>
      <x:c r="R353" s="366" t="str">
        <x:v>No iniciado</x:v>
      </x:c>
      <x:c r="S353" s="369" t="n">
        <x:v>0</x:v>
      </x:c>
      <x:c r="T353" s="370"/>
      <x:c r="U353" s="370"/>
      <x:c r="V353" s="366" t="str">
        <x:v>Evoluciona desde contabilidad y procesamiento de datos hacia ERP, plataformas y gobierno digital.</x:v>
      </x:c>
      <x:c r="W353" s="366" t="str">
        <x:v>Alta: práctica vigente</x:v>
      </x:c>
      <x:c r="X353" s="366" t="str">
        <x:v>Presente 2026 y corto (2027–2029)</x:v>
      </x:c>
      <x:c r="Y353" s="366" t="str">
        <x:v>Actual</x:v>
      </x:c>
      <x:c r="Z353" s="366" t="str">
        <x:v>12 meses</x:v>
      </x:c>
      <x:c r="AA353" s="366" t="str">
        <x:v>AIOps, FinOps/GreenOps, process mining, organizaciones aumentadas y gobierno de agentes.</x:v>
      </x:c>
    </x:row>
    <x:row r="354" ht="58" customHeight="1">
      <x:c r="A354" s="351" t="str">
        <x:v>SYS-013</x:v>
      </x:c>
      <x:c r="B354" s="351" t="n">
        <x:v>4</x:v>
      </x:c>
      <x:c r="C354" s="351" t="str">
        <x:v>Integración profesional</x:v>
      </x:c>
      <x:c r="D354" s="351" t="str">
        <x:v>Sistemas computacionales</x:v>
      </x:c>
      <x:c r="E354" s="351" t="str">
        <x:v>Sistemas y arquitectura</x:v>
      </x:c>
      <x:c r="F354" s="351" t="str">
        <x:v>Computación de alto rendimiento</x:v>
      </x:c>
      <x:c r="G354" s="351" t="str">
        <x:v>Computación de alto rendimiento. Funcionamiento interno, diseño, medición de rendimiento y laboratorios reproducibles.</x:v>
      </x:c>
      <x:c r="H354" s="351" t="str">
        <x:v>SYS-012</x:v>
      </x:c>
      <x:c r="I354" s="351" t="str">
        <x:v>Núcleo esencial</x:v>
      </x:c>
      <x:c r="J354" s="351" t="n">
        <x:v>1</x:v>
      </x:c>
      <x:c r="K354" s="351" t="n">
        <x:v>36</x:v>
      </x:c>
      <x:c r="L354" s="351" t="n">
        <x:v>42</x:v>
      </x:c>
      <x:c r="M354" s="351" t="n">
        <x:v>22</x:v>
      </x:c>
      <x:c r="N354" s="352" t="n">
        <x:f>SUM(K354:M354)</x:f>
        <x:v>100</x:v>
      </x:c>
      <x:c r="O354" s="353" t="n">
        <x:f>N354/25</x:f>
        <x:v>4</x:v>
      </x:c>
      <x:c r="P354" s="351" t="str">
        <x:v>Laboratorio de sistema: Computación de alto rendimiento.</x:v>
      </x:c>
      <x:c r="Q354" s="351" t="str">
        <x:v>S01; S02; S09; S13; S16; S17; S20</x:v>
      </x:c>
      <x:c r="R354" s="351" t="str">
        <x:v>No iniciado</x:v>
      </x:c>
      <x:c r="S354" s="354" t="n">
        <x:v>0</x:v>
      </x:c>
      <x:c r="T354" s="355"/>
      <x:c r="U354" s="355"/>
      <x:c r="V354" s="351" t="str">
        <x:v>Evoluciona desde relés y válvulas hacia transistores, circuitos integrados y sistemas heterogéneos.</x:v>
      </x:c>
      <x:c r="W354" s="351" t="str">
        <x:v>Muy alta: fundamento durable</x:v>
      </x:c>
      <x:c r="X354" s="351" t="str">
        <x:v>Transversal permanente</x:v>
      </x:c>
      <x:c r="Y354" s="351" t="str">
        <x:v>Consolidada</x:v>
      </x:c>
      <x:c r="Z354" s="351" t="str">
        <x:v>24 meses</x:v>
      </x:c>
      <x:c r="AA354" s="351" t="str">
        <x:v>Chiplets, RISC-V, memoria desagregada, aceleradores, fotónica, neuromórfica y eficiencia energética.</x:v>
      </x:c>
    </x:row>
    <x:row r="355" ht="58" customHeight="1">
      <x:c r="A355" s="366" t="str">
        <x:v>SYS-014</x:v>
      </x:c>
      <x:c r="B355" s="366" t="n">
        <x:v>4</x:v>
      </x:c>
      <x:c r="C355" s="366" t="str">
        <x:v>Integración profesional</x:v>
      </x:c>
      <x:c r="D355" s="366" t="str">
        <x:v>Sistemas computacionales</x:v>
      </x:c>
      <x:c r="E355" s="366" t="str">
        <x:v>Sistemas y arquitectura</x:v>
      </x:c>
      <x:c r="F355" s="366" t="str">
        <x:v>Evaluación y optimización de rendimiento</x:v>
      </x:c>
      <x:c r="G355" s="366" t="str">
        <x:v>Evaluación y optimización de rendimiento. Funcionamiento interno, diseño, medición de rendimiento y laboratorios reproducibles.</x:v>
      </x:c>
      <x:c r="H355" s="366" t="str">
        <x:v>SYS-013</x:v>
      </x:c>
      <x:c r="I355" s="366" t="str">
        <x:v>Núcleo esencial</x:v>
      </x:c>
      <x:c r="J355" s="366" t="n">
        <x:v>1</x:v>
      </x:c>
      <x:c r="K355" s="366" t="n">
        <x:v>36</x:v>
      </x:c>
      <x:c r="L355" s="366" t="n">
        <x:v>42</x:v>
      </x:c>
      <x:c r="M355" s="366" t="n">
        <x:v>22</x:v>
      </x:c>
      <x:c r="N355" s="367" t="n">
        <x:f>SUM(K355:M355)</x:f>
        <x:v>100</x:v>
      </x:c>
      <x:c r="O355" s="368" t="n">
        <x:f>N355/25</x:f>
        <x:v>4</x:v>
      </x:c>
      <x:c r="P355" s="366" t="str">
        <x:v>Laboratorio de sistema: Evaluación y optimización de rendimiento.</x:v>
      </x:c>
      <x:c r="Q355" s="366" t="str">
        <x:v>S01; S02; S09; S13; S16; S17; S20</x:v>
      </x:c>
      <x:c r="R355" s="366" t="str">
        <x:v>No iniciado</x:v>
      </x:c>
      <x:c r="S355" s="369" t="n">
        <x:v>0</x:v>
      </x:c>
      <x:c r="T355" s="370"/>
      <x:c r="U355" s="370"/>
      <x:c r="V355" s="366" t="str">
        <x:v>Evoluciona desde relés y válvulas hacia transistores, circuitos integrados y sistemas heterogéneos.</x:v>
      </x:c>
      <x:c r="W355" s="366" t="str">
        <x:v>Muy alta: fundamento durable</x:v>
      </x:c>
      <x:c r="X355" s="366" t="str">
        <x:v>Transversal permanente</x:v>
      </x:c>
      <x:c r="Y355" s="366" t="str">
        <x:v>Consolidada</x:v>
      </x:c>
      <x:c r="Z355" s="366" t="str">
        <x:v>24 meses</x:v>
      </x:c>
      <x:c r="AA355" s="366" t="str">
        <x:v>Chiplets, RISC-V, memoria desagregada, aceleradores, fotónica, neuromórfica y eficiencia energética.</x:v>
      </x:c>
    </x:row>
    <x:row r="356" ht="58" customHeight="1">
      <x:c r="A356" s="351" t="str">
        <x:v>SYS-015</x:v>
      </x:c>
      <x:c r="B356" s="351" t="n">
        <x:v>4</x:v>
      </x:c>
      <x:c r="C356" s="351" t="str">
        <x:v>Integración profesional</x:v>
      </x:c>
      <x:c r="D356" s="351" t="str">
        <x:v>Sistemas computacionales</x:v>
      </x:c>
      <x:c r="E356" s="351" t="str">
        <x:v>Sistemas y arquitectura</x:v>
      </x:c>
      <x:c r="F356" s="351" t="str">
        <x:v>Confiabilidad y tolerancia a fallos</x:v>
      </x:c>
      <x:c r="G356" s="351" t="str">
        <x:v>Confiabilidad y tolerancia a fallos. Funcionamiento interno, diseño, medición de rendimiento y laboratorios reproducibles.</x:v>
      </x:c>
      <x:c r="H356" s="351" t="str">
        <x:v>SYS-014</x:v>
      </x:c>
      <x:c r="I356" s="351" t="str">
        <x:v>Núcleo esencial</x:v>
      </x:c>
      <x:c r="J356" s="351" t="n">
        <x:v>1</x:v>
      </x:c>
      <x:c r="K356" s="351" t="n">
        <x:v>36</x:v>
      </x:c>
      <x:c r="L356" s="351" t="n">
        <x:v>42</x:v>
      </x:c>
      <x:c r="M356" s="351" t="n">
        <x:v>22</x:v>
      </x:c>
      <x:c r="N356" s="352" t="n">
        <x:f>SUM(K356:M356)</x:f>
        <x:v>100</x:v>
      </x:c>
      <x:c r="O356" s="353" t="n">
        <x:f>N356/25</x:f>
        <x:v>4</x:v>
      </x:c>
      <x:c r="P356" s="351" t="str">
        <x:v>Laboratorio de sistema: Confiabilidad y tolerancia a fallos.</x:v>
      </x:c>
      <x:c r="Q356" s="351" t="str">
        <x:v>S01; S02; S09; S13; S16; S17; S20</x:v>
      </x:c>
      <x:c r="R356" s="351" t="str">
        <x:v>No iniciado</x:v>
      </x:c>
      <x:c r="S356" s="354" t="n">
        <x:v>0</x:v>
      </x:c>
      <x:c r="T356" s="355"/>
      <x:c r="U356" s="355"/>
      <x:c r="V356" s="351" t="str">
        <x:v>Evoluciona desde relés y válvulas hacia transistores, circuitos integrados y sistemas heterogéneos.</x:v>
      </x:c>
      <x:c r="W356" s="351" t="str">
        <x:v>Muy alta: fundamento durable</x:v>
      </x:c>
      <x:c r="X356" s="351" t="str">
        <x:v>Transversal permanente</x:v>
      </x:c>
      <x:c r="Y356" s="351" t="str">
        <x:v>Consolidada</x:v>
      </x:c>
      <x:c r="Z356" s="351" t="str">
        <x:v>24 meses</x:v>
      </x:c>
      <x:c r="AA356" s="351" t="str">
        <x:v>Chiplets, RISC-V, memoria desagregada, aceleradores, fotónica, neuromórfica y eficiencia energética.</x:v>
      </x:c>
    </x:row>
    <x:row r="357" ht="58" customHeight="1">
      <x:c r="A357" s="366" t="str">
        <x:v>SYS-016</x:v>
      </x:c>
      <x:c r="B357" s="366" t="n">
        <x:v>4</x:v>
      </x:c>
      <x:c r="C357" s="366" t="str">
        <x:v>Integración profesional</x:v>
      </x:c>
      <x:c r="D357" s="366" t="str">
        <x:v>Sistemas computacionales</x:v>
      </x:c>
      <x:c r="E357" s="366" t="str">
        <x:v>Sistemas y arquitectura</x:v>
      </x:c>
      <x:c r="F357" s="366" t="str">
        <x:v>Arquitectura de centros de datos</x:v>
      </x:c>
      <x:c r="G357" s="366" t="str">
        <x:v>Arquitectura de centros de datos. Funcionamiento interno, diseño, medición de rendimiento y laboratorios reproducibles.</x:v>
      </x:c>
      <x:c r="H357" s="366" t="str">
        <x:v>SYS-015</x:v>
      </x:c>
      <x:c r="I357" s="366" t="str">
        <x:v>Núcleo esencial</x:v>
      </x:c>
      <x:c r="J357" s="366" t="n">
        <x:v>1</x:v>
      </x:c>
      <x:c r="K357" s="366" t="n">
        <x:v>36</x:v>
      </x:c>
      <x:c r="L357" s="366" t="n">
        <x:v>42</x:v>
      </x:c>
      <x:c r="M357" s="366" t="n">
        <x:v>22</x:v>
      </x:c>
      <x:c r="N357" s="367" t="n">
        <x:f>SUM(K357:M357)</x:f>
        <x:v>100</x:v>
      </x:c>
      <x:c r="O357" s="368" t="n">
        <x:f>N357/25</x:f>
        <x:v>4</x:v>
      </x:c>
      <x:c r="P357" s="366" t="str">
        <x:v>Laboratorio de sistema: Arquitectura de centros de datos.</x:v>
      </x:c>
      <x:c r="Q357" s="366" t="str">
        <x:v>S01; S02; S09; S13; S16; S17; S20</x:v>
      </x:c>
      <x:c r="R357" s="366" t="str">
        <x:v>No iniciado</x:v>
      </x:c>
      <x:c r="S357" s="369" t="n">
        <x:v>0</x:v>
      </x:c>
      <x:c r="T357" s="370"/>
      <x:c r="U357" s="370"/>
      <x:c r="V357" s="366" t="str">
        <x:v>Evoluciona desde relés y válvulas hacia transistores, circuitos integrados y sistemas heterogéneos.</x:v>
      </x:c>
      <x:c r="W357" s="366" t="str">
        <x:v>Muy alta: fundamento durable</x:v>
      </x:c>
      <x:c r="X357" s="366" t="str">
        <x:v>Transversal permanente</x:v>
      </x:c>
      <x:c r="Y357" s="366" t="str">
        <x:v>Consolidada</x:v>
      </x:c>
      <x:c r="Z357" s="366" t="str">
        <x:v>24 meses</x:v>
      </x:c>
      <x:c r="AA357" s="366" t="str">
        <x:v>Chiplets, RISC-V, memoria desagregada, aceleradores, fotónica, neuromórfica y eficiencia energética.</x:v>
      </x:c>
    </x:row>
    <x:row r="358" ht="58" customHeight="1">
      <x:c r="A358" s="351" t="str">
        <x:v>SYS-017</x:v>
      </x:c>
      <x:c r="B358" s="351" t="n">
        <x:v>4</x:v>
      </x:c>
      <x:c r="C358" s="351" t="str">
        <x:v>Integración profesional</x:v>
      </x:c>
      <x:c r="D358" s="351" t="str">
        <x:v>Sistemas computacionales</x:v>
      </x:c>
      <x:c r="E358" s="351" t="str">
        <x:v>Sistemas y arquitectura</x:v>
      </x:c>
      <x:c r="F358" s="351" t="str">
        <x:v>Computación edge y fog</x:v>
      </x:c>
      <x:c r="G358" s="351" t="str">
        <x:v>Computación edge y fog. Funcionamiento interno, diseño, medición de rendimiento y laboratorios reproducibles.</x:v>
      </x:c>
      <x:c r="H358" s="351" t="str">
        <x:v>SYS-016</x:v>
      </x:c>
      <x:c r="I358" s="351" t="str">
        <x:v>Núcleo esencial</x:v>
      </x:c>
      <x:c r="J358" s="351" t="n">
        <x:v>1</x:v>
      </x:c>
      <x:c r="K358" s="351" t="n">
        <x:v>36</x:v>
      </x:c>
      <x:c r="L358" s="351" t="n">
        <x:v>42</x:v>
      </x:c>
      <x:c r="M358" s="351" t="n">
        <x:v>22</x:v>
      </x:c>
      <x:c r="N358" s="352" t="n">
        <x:f>SUM(K358:M358)</x:f>
        <x:v>100</x:v>
      </x:c>
      <x:c r="O358" s="353" t="n">
        <x:f>N358/25</x:f>
        <x:v>4</x:v>
      </x:c>
      <x:c r="P358" s="351" t="str">
        <x:v>Laboratorio de sistema: Computación edge y fog.</x:v>
      </x:c>
      <x:c r="Q358" s="351" t="str">
        <x:v>S01; S02; S09; S13; S16; S17; S20</x:v>
      </x:c>
      <x:c r="R358" s="351" t="str">
        <x:v>No iniciado</x:v>
      </x:c>
      <x:c r="S358" s="354" t="n">
        <x:v>0</x:v>
      </x:c>
      <x:c r="T358" s="355"/>
      <x:c r="U358" s="355"/>
      <x:c r="V358" s="351" t="str">
        <x:v>Evoluciona desde relés y válvulas hacia transistores, circuitos integrados y sistemas heterogéneos.</x:v>
      </x:c>
      <x:c r="W358" s="351" t="str">
        <x:v>Muy alta: fundamento durable</x:v>
      </x:c>
      <x:c r="X358" s="351" t="str">
        <x:v>Corto (2027–2029) y mediano (2030–2035)</x:v>
      </x:c>
      <x:c r="Y358" s="351" t="str">
        <x:v>Emergente</x:v>
      </x:c>
      <x:c r="Z358" s="351" t="str">
        <x:v>6 meses</x:v>
      </x:c>
      <x:c r="AA358" s="351" t="str">
        <x:v>Chiplets, RISC-V, memoria desagregada, aceleradores, fotónica, neuromórfica y eficiencia energética.</x:v>
      </x:c>
    </x:row>
    <x:row r="359" ht="58" customHeight="1">
      <x:c r="A359" s="366" t="str">
        <x:v>SYS-018</x:v>
      </x:c>
      <x:c r="B359" s="366" t="n">
        <x:v>4</x:v>
      </x:c>
      <x:c r="C359" s="366" t="str">
        <x:v>Integración profesional</x:v>
      </x:c>
      <x:c r="D359" s="366" t="str">
        <x:v>Sistemas computacionales</x:v>
      </x:c>
      <x:c r="E359" s="366" t="str">
        <x:v>Sistemas y arquitectura</x:v>
      </x:c>
      <x:c r="F359" s="366" t="str">
        <x:v>Sistemas móviles</x:v>
      </x:c>
      <x:c r="G359" s="366" t="str">
        <x:v>Sistemas móviles. Funcionamiento interno, diseño, medición de rendimiento y laboratorios reproducibles.</x:v>
      </x:c>
      <x:c r="H359" s="366" t="str">
        <x:v>SYS-017</x:v>
      </x:c>
      <x:c r="I359" s="366" t="str">
        <x:v>Núcleo esencial</x:v>
      </x:c>
      <x:c r="J359" s="366" t="n">
        <x:v>1</x:v>
      </x:c>
      <x:c r="K359" s="366" t="n">
        <x:v>36</x:v>
      </x:c>
      <x:c r="L359" s="366" t="n">
        <x:v>42</x:v>
      </x:c>
      <x:c r="M359" s="366" t="n">
        <x:v>22</x:v>
      </x:c>
      <x:c r="N359" s="367" t="n">
        <x:f>SUM(K359:M359)</x:f>
        <x:v>100</x:v>
      </x:c>
      <x:c r="O359" s="368" t="n">
        <x:f>N359/25</x:f>
        <x:v>4</x:v>
      </x:c>
      <x:c r="P359" s="366" t="str">
        <x:v>Laboratorio de sistema: Sistemas móviles.</x:v>
      </x:c>
      <x:c r="Q359" s="366" t="str">
        <x:v>S01; S02; S09; S13; S16; S17; S20</x:v>
      </x:c>
      <x:c r="R359" s="366" t="str">
        <x:v>No iniciado</x:v>
      </x:c>
      <x:c r="S359" s="369" t="n">
        <x:v>0</x:v>
      </x:c>
      <x:c r="T359" s="370"/>
      <x:c r="U359" s="370"/>
      <x:c r="V359" s="366" t="str">
        <x:v>Evoluciona desde relés y válvulas hacia transistores, circuitos integrados y sistemas heterogéneos.</x:v>
      </x:c>
      <x:c r="W359" s="366" t="str">
        <x:v>Muy alta: fundamento durable</x:v>
      </x:c>
      <x:c r="X359" s="366" t="str">
        <x:v>Transversal permanente</x:v>
      </x:c>
      <x:c r="Y359" s="366" t="str">
        <x:v>Consolidada</x:v>
      </x:c>
      <x:c r="Z359" s="366" t="str">
        <x:v>24 meses</x:v>
      </x:c>
      <x:c r="AA359" s="366" t="str">
        <x:v>Chiplets, RISC-V, memoria desagregada, aceleradores, fotónica, neuromórfica y eficiencia energética.</x:v>
      </x:c>
    </x:row>
    <x:row r="360" ht="58" customHeight="1">
      <x:c r="A360" s="351" t="str">
        <x:v>CYB-015</x:v>
      </x:c>
      <x:c r="B360" s="351" t="n">
        <x:v>5</x:v>
      </x:c>
      <x:c r="C360" s="351" t="str">
        <x:v>Especialización I</x:v>
      </x:c>
      <x:c r="D360" s="351" t="str">
        <x:v>Seguridad defensiva y gobierno</x:v>
      </x:c>
      <x:c r="E360" s="351" t="str">
        <x:v>Ciberseguridad, forense y auditoría</x:v>
      </x:c>
      <x:c r="F360" s="351" t="str">
        <x:v>Gestión de vulnerabilidades</x:v>
      </x:c>
      <x:c r="G360" s="351" t="str">
        <x:v>Gestión de vulnerabilidades. Diseño de controles, laboratorios aislados, gestión de riesgo y evidencia auditable.</x:v>
      </x:c>
      <x:c r="H360" s="351" t="str">
        <x:v>CYB-014</x:v>
      </x:c>
      <x:c r="I360" s="351" t="str">
        <x:v>Dominio profesional</x:v>
      </x:c>
      <x:c r="J360" s="351" t="n">
        <x:v>2</x:v>
      </x:c>
      <x:c r="K360" s="351" t="n">
        <x:v>28</x:v>
      </x:c>
      <x:c r="L360" s="351" t="n">
        <x:v>36</x:v>
      </x:c>
      <x:c r="M360" s="351" t="n">
        <x:v>20</x:v>
      </x:c>
      <x:c r="N360" s="352" t="n">
        <x:f>SUM(K360:M360)</x:f>
        <x:v>84</x:v>
      </x:c>
      <x:c r="O360" s="353" t="n">
        <x:f>N360/25</x:f>
        <x:v>3.36</x:v>
      </x:c>
      <x:c r="P360" s="351" t="str">
        <x:v>Evaluación defensiva: Gestión de vulnerabilidades.</x:v>
      </x:c>
      <x:c r="Q360" s="351" t="str">
        <x:v>S03; S05; S08; S33; S34; S36</x:v>
      </x:c>
      <x:c r="R360" s="351" t="str">
        <x:v>No iniciado</x:v>
      </x:c>
      <x:c r="S360" s="354" t="n">
        <x:v>0</x:v>
      </x:c>
      <x:c r="T360" s="355"/>
      <x:c r="U360" s="355"/>
      <x:c r="V360" s="351" t="str">
        <x:v>Evoluciona con sistemas multiusuario, criptografía, delitos digitales, regulación y gestión del riesgo.</x:v>
      </x:c>
      <x:c r="W360" s="351" t="str">
        <x:v>Alta: práctica vigente</x:v>
      </x:c>
      <x:c r="X360" s="351" t="str">
        <x:v>Presente 2026 y corto (2027–2029)</x:v>
      </x:c>
      <x:c r="Y360" s="351" t="str">
        <x:v>Actual</x:v>
      </x:c>
      <x:c r="Z360" s="351" t="str">
        <x:v>12 meses</x:v>
      </x:c>
      <x:c r="AA360" s="351" t="str">
        <x:v>Migración poscuántica, seguridad de IA, explotación activa, identidad, privacidad y resiliencia de proveedores.</x:v>
      </x:c>
    </x:row>
    <x:row r="361" ht="58" customHeight="1">
      <x:c r="A361" s="366" t="str">
        <x:v>CYB-016</x:v>
      </x:c>
      <x:c r="B361" s="366" t="n">
        <x:v>5</x:v>
      </x:c>
      <x:c r="C361" s="366" t="str">
        <x:v>Especialización I</x:v>
      </x:c>
      <x:c r="D361" s="366" t="str">
        <x:v>Seguridad defensiva y gobierno</x:v>
      </x:c>
      <x:c r="E361" s="366" t="str">
        <x:v>Ciberseguridad, forense y auditoría</x:v>
      </x:c>
      <x:c r="F361" s="366" t="str">
        <x:v>SOC y operaciones de seguridad</x:v>
      </x:c>
      <x:c r="G361" s="366" t="str">
        <x:v>SOC y operaciones de seguridad. Diseño de controles, laboratorios aislados, gestión de riesgo y evidencia auditable.</x:v>
      </x:c>
      <x:c r="H361" s="366" t="str">
        <x:v>CYB-015</x:v>
      </x:c>
      <x:c r="I361" s="366" t="str">
        <x:v>Dominio profesional</x:v>
      </x:c>
      <x:c r="J361" s="366" t="n">
        <x:v>2</x:v>
      </x:c>
      <x:c r="K361" s="366" t="n">
        <x:v>28</x:v>
      </x:c>
      <x:c r="L361" s="366" t="n">
        <x:v>36</x:v>
      </x:c>
      <x:c r="M361" s="366" t="n">
        <x:v>20</x:v>
      </x:c>
      <x:c r="N361" s="367" t="n">
        <x:f>SUM(K361:M361)</x:f>
        <x:v>84</x:v>
      </x:c>
      <x:c r="O361" s="368" t="n">
        <x:f>N361/25</x:f>
        <x:v>3.36</x:v>
      </x:c>
      <x:c r="P361" s="366" t="str">
        <x:v>Evaluación defensiva: SOC y operaciones de seguridad.</x:v>
      </x:c>
      <x:c r="Q361" s="366" t="str">
        <x:v>S03; S05; S08; S33; S34; S36</x:v>
      </x:c>
      <x:c r="R361" s="366" t="str">
        <x:v>No iniciado</x:v>
      </x:c>
      <x:c r="S361" s="369" t="n">
        <x:v>0</x:v>
      </x:c>
      <x:c r="T361" s="370"/>
      <x:c r="U361" s="370"/>
      <x:c r="V361" s="366" t="str">
        <x:v>Evoluciona con sistemas multiusuario, criptografía, delitos digitales, regulación y gestión del riesgo.</x:v>
      </x:c>
      <x:c r="W361" s="366" t="str">
        <x:v>Alta: práctica vigente</x:v>
      </x:c>
      <x:c r="X361" s="366" t="str">
        <x:v>Presente 2026 y corto (2027–2029)</x:v>
      </x:c>
      <x:c r="Y361" s="366" t="str">
        <x:v>Actual</x:v>
      </x:c>
      <x:c r="Z361" s="366" t="str">
        <x:v>12 meses</x:v>
      </x:c>
      <x:c r="AA361" s="366" t="str">
        <x:v>Migración poscuántica, seguridad de IA, explotación activa, identidad, privacidad y resiliencia de proveedores.</x:v>
      </x:c>
    </x:row>
    <x:row r="362" ht="58" customHeight="1">
      <x:c r="A362" s="351" t="str">
        <x:v>CYB-017</x:v>
      </x:c>
      <x:c r="B362" s="351" t="n">
        <x:v>5</x:v>
      </x:c>
      <x:c r="C362" s="351" t="str">
        <x:v>Especialización I</x:v>
      </x:c>
      <x:c r="D362" s="351" t="str">
        <x:v>Seguridad defensiva y gobierno</x:v>
      </x:c>
      <x:c r="E362" s="351" t="str">
        <x:v>Ciberseguridad, forense y auditoría</x:v>
      </x:c>
      <x:c r="F362" s="351" t="str">
        <x:v>SIEM y analítica de seguridad</x:v>
      </x:c>
      <x:c r="G362" s="351" t="str">
        <x:v>SIEM y analítica de seguridad. Diseño de controles, laboratorios aislados, gestión de riesgo y evidencia auditable.</x:v>
      </x:c>
      <x:c r="H362" s="351" t="str">
        <x:v>CYB-016</x:v>
      </x:c>
      <x:c r="I362" s="351" t="str">
        <x:v>Dominio profesional</x:v>
      </x:c>
      <x:c r="J362" s="351" t="n">
        <x:v>2</x:v>
      </x:c>
      <x:c r="K362" s="351" t="n">
        <x:v>28</x:v>
      </x:c>
      <x:c r="L362" s="351" t="n">
        <x:v>36</x:v>
      </x:c>
      <x:c r="M362" s="351" t="n">
        <x:v>20</x:v>
      </x:c>
      <x:c r="N362" s="352" t="n">
        <x:f>SUM(K362:M362)</x:f>
        <x:v>84</x:v>
      </x:c>
      <x:c r="O362" s="353" t="n">
        <x:f>N362/25</x:f>
        <x:v>3.36</x:v>
      </x:c>
      <x:c r="P362" s="351" t="str">
        <x:v>Evaluación defensiva: SIEM y analítica de seguridad.</x:v>
      </x:c>
      <x:c r="Q362" s="351" t="str">
        <x:v>S03; S05; S08; S33; S34; S36</x:v>
      </x:c>
      <x:c r="R362" s="351" t="str">
        <x:v>No iniciado</x:v>
      </x:c>
      <x:c r="S362" s="354" t="n">
        <x:v>0</x:v>
      </x:c>
      <x:c r="T362" s="355"/>
      <x:c r="U362" s="355"/>
      <x:c r="V362" s="351" t="str">
        <x:v>Evoluciona con sistemas multiusuario, criptografía, delitos digitales, regulación y gestión del riesgo.</x:v>
      </x:c>
      <x:c r="W362" s="351" t="str">
        <x:v>Alta: práctica vigente</x:v>
      </x:c>
      <x:c r="X362" s="351" t="str">
        <x:v>Presente 2026 y corto (2027–2029)</x:v>
      </x:c>
      <x:c r="Y362" s="351" t="str">
        <x:v>Actual</x:v>
      </x:c>
      <x:c r="Z362" s="351" t="str">
        <x:v>12 meses</x:v>
      </x:c>
      <x:c r="AA362" s="351" t="str">
        <x:v>Migración poscuántica, seguridad de IA, explotación activa, identidad, privacidad y resiliencia de proveedores.</x:v>
      </x:c>
    </x:row>
    <x:row r="363" ht="58" customHeight="1">
      <x:c r="A363" s="366" t="str">
        <x:v>CYB-018</x:v>
      </x:c>
      <x:c r="B363" s="366" t="n">
        <x:v>5</x:v>
      </x:c>
      <x:c r="C363" s="366" t="str">
        <x:v>Especialización I</x:v>
      </x:c>
      <x:c r="D363" s="366" t="str">
        <x:v>Seguridad defensiva y gobierno</x:v>
      </x:c>
      <x:c r="E363" s="366" t="str">
        <x:v>Ciberseguridad, forense y auditoría</x:v>
      </x:c>
      <x:c r="F363" s="366" t="str">
        <x:v>Inteligencia de amenazas</x:v>
      </x:c>
      <x:c r="G363" s="366" t="str">
        <x:v>Inteligencia de amenazas. Diseño de controles, laboratorios aislados, gestión de riesgo y evidencia auditable.</x:v>
      </x:c>
      <x:c r="H363" s="366" t="str">
        <x:v>CYB-017</x:v>
      </x:c>
      <x:c r="I363" s="366" t="str">
        <x:v>Dominio profesional</x:v>
      </x:c>
      <x:c r="J363" s="366" t="n">
        <x:v>2</x:v>
      </x:c>
      <x:c r="K363" s="366" t="n">
        <x:v>28</x:v>
      </x:c>
      <x:c r="L363" s="366" t="n">
        <x:v>36</x:v>
      </x:c>
      <x:c r="M363" s="366" t="n">
        <x:v>20</x:v>
      </x:c>
      <x:c r="N363" s="367" t="n">
        <x:f>SUM(K363:M363)</x:f>
        <x:v>84</x:v>
      </x:c>
      <x:c r="O363" s="368" t="n">
        <x:f>N363/25</x:f>
        <x:v>3.36</x:v>
      </x:c>
      <x:c r="P363" s="366" t="str">
        <x:v>Evaluación defensiva: Inteligencia de amenazas.</x:v>
      </x:c>
      <x:c r="Q363" s="366" t="str">
        <x:v>S03; S05; S08; S33; S34; S36</x:v>
      </x:c>
      <x:c r="R363" s="366" t="str">
        <x:v>No iniciado</x:v>
      </x:c>
      <x:c r="S363" s="369" t="n">
        <x:v>0</x:v>
      </x:c>
      <x:c r="T363" s="370"/>
      <x:c r="U363" s="370"/>
      <x:c r="V363" s="366" t="str">
        <x:v>Evoluciona con sistemas multiusuario, criptografía, delitos digitales, regulación y gestión del riesgo.</x:v>
      </x:c>
      <x:c r="W363" s="366" t="str">
        <x:v>Alta: práctica vigente</x:v>
      </x:c>
      <x:c r="X363" s="366" t="str">
        <x:v>Presente 2026 y corto (2027–2029)</x:v>
      </x:c>
      <x:c r="Y363" s="366" t="str">
        <x:v>Actual</x:v>
      </x:c>
      <x:c r="Z363" s="366" t="str">
        <x:v>12 meses</x:v>
      </x:c>
      <x:c r="AA363" s="366" t="str">
        <x:v>Migración poscuántica, seguridad de IA, explotación activa, identidad, privacidad y resiliencia de proveedores.</x:v>
      </x:c>
    </x:row>
    <x:row r="364" ht="58" customHeight="1">
      <x:c r="A364" s="351" t="str">
        <x:v>CYB-019</x:v>
      </x:c>
      <x:c r="B364" s="351" t="n">
        <x:v>5</x:v>
      </x:c>
      <x:c r="C364" s="351" t="str">
        <x:v>Especialización I</x:v>
      </x:c>
      <x:c r="D364" s="351" t="str">
        <x:v>Seguridad defensiva y gobierno</x:v>
      </x:c>
      <x:c r="E364" s="351" t="str">
        <x:v>Ciberseguridad, forense y auditoría</x:v>
      </x:c>
      <x:c r="F364" s="351" t="str">
        <x:v>Threat hunting</x:v>
      </x:c>
      <x:c r="G364" s="351" t="str">
        <x:v>Threat hunting. Diseño de controles, laboratorios aislados, gestión de riesgo y evidencia auditable.</x:v>
      </x:c>
      <x:c r="H364" s="351" t="str">
        <x:v>CYB-018</x:v>
      </x:c>
      <x:c r="I364" s="351" t="str">
        <x:v>Dominio profesional</x:v>
      </x:c>
      <x:c r="J364" s="351" t="n">
        <x:v>2</x:v>
      </x:c>
      <x:c r="K364" s="351" t="n">
        <x:v>28</x:v>
      </x:c>
      <x:c r="L364" s="351" t="n">
        <x:v>36</x:v>
      </x:c>
      <x:c r="M364" s="351" t="n">
        <x:v>20</x:v>
      </x:c>
      <x:c r="N364" s="352" t="n">
        <x:f>SUM(K364:M364)</x:f>
        <x:v>84</x:v>
      </x:c>
      <x:c r="O364" s="353" t="n">
        <x:f>N364/25</x:f>
        <x:v>3.36</x:v>
      </x:c>
      <x:c r="P364" s="351" t="str">
        <x:v>Evaluación defensiva: Threat hunting.</x:v>
      </x:c>
      <x:c r="Q364" s="351" t="str">
        <x:v>S03; S05; S08; S33; S34; S36</x:v>
      </x:c>
      <x:c r="R364" s="351" t="str">
        <x:v>No iniciado</x:v>
      </x:c>
      <x:c r="S364" s="354" t="n">
        <x:v>0</x:v>
      </x:c>
      <x:c r="T364" s="355"/>
      <x:c r="U364" s="355"/>
      <x:c r="V364" s="351" t="str">
        <x:v>Evoluciona con sistemas multiusuario, criptografía, delitos digitales, regulación y gestión del riesgo.</x:v>
      </x:c>
      <x:c r="W364" s="351" t="str">
        <x:v>Alta: práctica vigente</x:v>
      </x:c>
      <x:c r="X364" s="351" t="str">
        <x:v>Presente 2026 y corto (2027–2029)</x:v>
      </x:c>
      <x:c r="Y364" s="351" t="str">
        <x:v>Actual</x:v>
      </x:c>
      <x:c r="Z364" s="351" t="str">
        <x:v>12 meses</x:v>
      </x:c>
      <x:c r="AA364" s="351" t="str">
        <x:v>Migración poscuántica, seguridad de IA, explotación activa, identidad, privacidad y resiliencia de proveedores.</x:v>
      </x:c>
    </x:row>
    <x:row r="365" ht="58" customHeight="1">
      <x:c r="A365" s="366" t="str">
        <x:v>CYB-020</x:v>
      </x:c>
      <x:c r="B365" s="366" t="n">
        <x:v>5</x:v>
      </x:c>
      <x:c r="C365" s="366" t="str">
        <x:v>Especialización I</x:v>
      </x:c>
      <x:c r="D365" s="366" t="str">
        <x:v>Seguridad defensiva y gobierno</x:v>
      </x:c>
      <x:c r="E365" s="366" t="str">
        <x:v>Ciberseguridad, forense y auditoría</x:v>
      </x:c>
      <x:c r="F365" s="366" t="str">
        <x:v>Respuesta a incidentes</x:v>
      </x:c>
      <x:c r="G365" s="366" t="str">
        <x:v>Respuesta a incidentes. Diseño de controles, laboratorios aislados, gestión de riesgo y evidencia auditable.</x:v>
      </x:c>
      <x:c r="H365" s="366" t="str">
        <x:v>CYB-019</x:v>
      </x:c>
      <x:c r="I365" s="366" t="str">
        <x:v>Dominio profesional</x:v>
      </x:c>
      <x:c r="J365" s="366" t="n">
        <x:v>2</x:v>
      </x:c>
      <x:c r="K365" s="366" t="n">
        <x:v>28</x:v>
      </x:c>
      <x:c r="L365" s="366" t="n">
        <x:v>36</x:v>
      </x:c>
      <x:c r="M365" s="366" t="n">
        <x:v>20</x:v>
      </x:c>
      <x:c r="N365" s="367" t="n">
        <x:f>SUM(K365:M365)</x:f>
        <x:v>84</x:v>
      </x:c>
      <x:c r="O365" s="368" t="n">
        <x:f>N365/25</x:f>
        <x:v>3.36</x:v>
      </x:c>
      <x:c r="P365" s="366" t="str">
        <x:v>Evaluación defensiva: Respuesta a incidentes.</x:v>
      </x:c>
      <x:c r="Q365" s="366" t="str">
        <x:v>S03; S05; S08; S33; S34; S36</x:v>
      </x:c>
      <x:c r="R365" s="366" t="str">
        <x:v>No iniciado</x:v>
      </x:c>
      <x:c r="S365" s="369" t="n">
        <x:v>0</x:v>
      </x:c>
      <x:c r="T365" s="370"/>
      <x:c r="U365" s="370"/>
      <x:c r="V365" s="366" t="str">
        <x:v>Evoluciona con sistemas multiusuario, criptografía, delitos digitales, regulación y gestión del riesgo.</x:v>
      </x:c>
      <x:c r="W365" s="366" t="str">
        <x:v>Alta: práctica vigente</x:v>
      </x:c>
      <x:c r="X365" s="366" t="str">
        <x:v>Presente 2026 y corto (2027–2029)</x:v>
      </x:c>
      <x:c r="Y365" s="366" t="str">
        <x:v>Actual</x:v>
      </x:c>
      <x:c r="Z365" s="366" t="str">
        <x:v>12 meses</x:v>
      </x:c>
      <x:c r="AA365" s="366" t="str">
        <x:v>Migración poscuántica, seguridad de IA, explotación activa, identidad, privacidad y resiliencia de proveedores.</x:v>
      </x:c>
    </x:row>
    <x:row r="366" ht="58" customHeight="1">
      <x:c r="A366" s="351" t="str">
        <x:v>CYB-021</x:v>
      </x:c>
      <x:c r="B366" s="351" t="n">
        <x:v>5</x:v>
      </x:c>
      <x:c r="C366" s="351" t="str">
        <x:v>Especialización I</x:v>
      </x:c>
      <x:c r="D366" s="351" t="str">
        <x:v>Seguridad defensiva y gobierno</x:v>
      </x:c>
      <x:c r="E366" s="351" t="str">
        <x:v>Ciberseguridad, forense y auditoría</x:v>
      </x:c>
      <x:c r="F366" s="351" t="str">
        <x:v>Análisis de malware</x:v>
      </x:c>
      <x:c r="G366" s="351" t="str">
        <x:v>Análisis de malware. Diseño de controles, laboratorios aislados, gestión de riesgo y evidencia auditable.</x:v>
      </x:c>
      <x:c r="H366" s="351" t="str">
        <x:v>CYB-020</x:v>
      </x:c>
      <x:c r="I366" s="351" t="str">
        <x:v>Dominio profesional</x:v>
      </x:c>
      <x:c r="J366" s="351" t="n">
        <x:v>2</x:v>
      </x:c>
      <x:c r="K366" s="351" t="n">
        <x:v>28</x:v>
      </x:c>
      <x:c r="L366" s="351" t="n">
        <x:v>36</x:v>
      </x:c>
      <x:c r="M366" s="351" t="n">
        <x:v>20</x:v>
      </x:c>
      <x:c r="N366" s="352" t="n">
        <x:f>SUM(K366:M366)</x:f>
        <x:v>84</x:v>
      </x:c>
      <x:c r="O366" s="353" t="n">
        <x:f>N366/25</x:f>
        <x:v>3.36</x:v>
      </x:c>
      <x:c r="P366" s="351" t="str">
        <x:v>Evaluación defensiva: Análisis de malware.</x:v>
      </x:c>
      <x:c r="Q366" s="351" t="str">
        <x:v>S03; S05; S08; S33; S34; S36</x:v>
      </x:c>
      <x:c r="R366" s="351" t="str">
        <x:v>No iniciado</x:v>
      </x:c>
      <x:c r="S366" s="354" t="n">
        <x:v>0</x:v>
      </x:c>
      <x:c r="T366" s="355"/>
      <x:c r="U366" s="355"/>
      <x:c r="V366" s="351" t="str">
        <x:v>Evoluciona con sistemas multiusuario, criptografía, delitos digitales, regulación y gestión del riesgo.</x:v>
      </x:c>
      <x:c r="W366" s="351" t="str">
        <x:v>Alta: práctica vigente</x:v>
      </x:c>
      <x:c r="X366" s="351" t="str">
        <x:v>Presente 2026 y corto (2027–2029)</x:v>
      </x:c>
      <x:c r="Y366" s="351" t="str">
        <x:v>Actual</x:v>
      </x:c>
      <x:c r="Z366" s="351" t="str">
        <x:v>12 meses</x:v>
      </x:c>
      <x:c r="AA366" s="351" t="str">
        <x:v>Migración poscuántica, seguridad de IA, explotación activa, identidad, privacidad y resiliencia de proveedores.</x:v>
      </x:c>
    </x:row>
    <x:row r="367" ht="58" customHeight="1">
      <x:c r="A367" s="366" t="str">
        <x:v>CYB-031</x:v>
      </x:c>
      <x:c r="B367" s="366" t="n">
        <x:v>5</x:v>
      </x:c>
      <x:c r="C367" s="366" t="str">
        <x:v>Especialización I</x:v>
      </x:c>
      <x:c r="D367" s="366" t="str">
        <x:v>Seguridad ofensiva ética</x:v>
      </x:c>
      <x:c r="E367" s="366" t="str">
        <x:v>Ciberseguridad, forense y auditoría</x:v>
      </x:c>
      <x:c r="F367" s="366" t="str">
        <x:v>Metodología de hacking ético y alcance legal</x:v>
      </x:c>
      <x:c r="G367" s="366" t="str">
        <x:v>Metodología de hacking ético y alcance legal. Exclusivamente en laboratorios propios o con autorización expresa; reporte, remediación y ética obligatorios.</x:v>
      </x:c>
      <x:c r="H367" s="366" t="str">
        <x:v>CYB-015</x:v>
      </x:c>
      <x:c r="I367" s="366" t="str">
        <x:v>Dominio profesional</x:v>
      </x:c>
      <x:c r="J367" s="366" t="n">
        <x:v>2</x:v>
      </x:c>
      <x:c r="K367" s="366" t="n">
        <x:v>20</x:v>
      </x:c>
      <x:c r="L367" s="366" t="n">
        <x:v>52</x:v>
      </x:c>
      <x:c r="M367" s="366" t="n">
        <x:v>20</x:v>
      </x:c>
      <x:c r="N367" s="367" t="n">
        <x:f>SUM(K367:M367)</x:f>
        <x:v>92</x:v>
      </x:c>
      <x:c r="O367" s="368" t="n">
        <x:f>N367/25</x:f>
        <x:v>3.68</x:v>
      </x:c>
      <x:c r="P367" s="366" t="str">
        <x:v>Informe de pentest autorizado: Metodología de hacking ético y alcance legal.</x:v>
      </x:c>
      <x:c r="Q367" s="366" t="str">
        <x:v>S08; S32; S33</x:v>
      </x:c>
      <x:c r="R367" s="366" t="str">
        <x:v>No iniciado</x:v>
      </x:c>
      <x:c r="S367" s="369" t="n">
        <x:v>0</x:v>
      </x:c>
      <x:c r="T367" s="370"/>
      <x:c r="U367" s="370"/>
      <x:c r="V367" s="366" t="str">
        <x:v>Evoluciona con sistemas multiusuario, criptografía, delitos digitales, regulación y gestión del riesgo.</x:v>
      </x:c>
      <x:c r="W367" s="366" t="str">
        <x:v>Alta: práctica vigente</x:v>
      </x:c>
      <x:c r="X367" s="366" t="str">
        <x:v>Presente 2026 y corto (2027–2029)</x:v>
      </x:c>
      <x:c r="Y367" s="366" t="str">
        <x:v>Actual</x:v>
      </x:c>
      <x:c r="Z367" s="366" t="str">
        <x:v>12 meses</x:v>
      </x:c>
      <x:c r="AA367" s="366" t="str">
        <x:v>Migración poscuántica, seguridad de IA, explotación activa, identidad, privacidad y resiliencia de proveedores.</x:v>
      </x:c>
    </x:row>
    <x:row r="368" ht="58" customHeight="1">
      <x:c r="A368" s="351" t="str">
        <x:v>CYB-032</x:v>
      </x:c>
      <x:c r="B368" s="351" t="n">
        <x:v>5</x:v>
      </x:c>
      <x:c r="C368" s="351" t="str">
        <x:v>Especialización I</x:v>
      </x:c>
      <x:c r="D368" s="351" t="str">
        <x:v>Seguridad ofensiva ética</x:v>
      </x:c>
      <x:c r="E368" s="351" t="str">
        <x:v>Ciberseguridad, forense y auditoría</x:v>
      </x:c>
      <x:c r="F368" s="351" t="str">
        <x:v>Reconocimiento y enumeración autorizados</x:v>
      </x:c>
      <x:c r="G368" s="351" t="str">
        <x:v>Reconocimiento y enumeración autorizados. Exclusivamente en laboratorios propios o con autorización expresa; reporte, remediación y ética obligatorios.</x:v>
      </x:c>
      <x:c r="H368" s="351" t="str">
        <x:v>CYB-031</x:v>
      </x:c>
      <x:c r="I368" s="351" t="str">
        <x:v>Dominio profesional</x:v>
      </x:c>
      <x:c r="J368" s="351" t="n">
        <x:v>2</x:v>
      </x:c>
      <x:c r="K368" s="351" t="n">
        <x:v>20</x:v>
      </x:c>
      <x:c r="L368" s="351" t="n">
        <x:v>52</x:v>
      </x:c>
      <x:c r="M368" s="351" t="n">
        <x:v>20</x:v>
      </x:c>
      <x:c r="N368" s="352" t="n">
        <x:f>SUM(K368:M368)</x:f>
        <x:v>92</x:v>
      </x:c>
      <x:c r="O368" s="353" t="n">
        <x:f>N368/25</x:f>
        <x:v>3.68</x:v>
      </x:c>
      <x:c r="P368" s="351" t="str">
        <x:v>Informe de pentest autorizado: Reconocimiento y enumeración autorizados.</x:v>
      </x:c>
      <x:c r="Q368" s="351" t="str">
        <x:v>S08; S32; S33</x:v>
      </x:c>
      <x:c r="R368" s="351" t="str">
        <x:v>No iniciado</x:v>
      </x:c>
      <x:c r="S368" s="354" t="n">
        <x:v>0</x:v>
      </x:c>
      <x:c r="T368" s="355"/>
      <x:c r="U368" s="355"/>
      <x:c r="V368" s="351" t="str">
        <x:v>Evoluciona con sistemas multiusuario, criptografía, delitos digitales, regulación y gestión del riesgo.</x:v>
      </x:c>
      <x:c r="W368" s="351" t="str">
        <x:v>Alta: práctica vigente</x:v>
      </x:c>
      <x:c r="X368" s="351" t="str">
        <x:v>Presente 2026 y corto (2027–2029)</x:v>
      </x:c>
      <x:c r="Y368" s="351" t="str">
        <x:v>Actual</x:v>
      </x:c>
      <x:c r="Z368" s="351" t="str">
        <x:v>12 meses</x:v>
      </x:c>
      <x:c r="AA368" s="351" t="str">
        <x:v>Migración poscuántica, seguridad de IA, explotación activa, identidad, privacidad y resiliencia de proveedores.</x:v>
      </x:c>
    </x:row>
    <x:row r="369" ht="58" customHeight="1">
      <x:c r="A369" s="366" t="str">
        <x:v>CYB-033</x:v>
      </x:c>
      <x:c r="B369" s="366" t="n">
        <x:v>5</x:v>
      </x:c>
      <x:c r="C369" s="366" t="str">
        <x:v>Especialización I</x:v>
      </x:c>
      <x:c r="D369" s="366" t="str">
        <x:v>Seguridad ofensiva ética</x:v>
      </x:c>
      <x:c r="E369" s="366" t="str">
        <x:v>Ciberseguridad, forense y auditoría</x:v>
      </x:c>
      <x:c r="F369" s="366" t="str">
        <x:v>Pruebas de penetración de redes</x:v>
      </x:c>
      <x:c r="G369" s="366" t="str">
        <x:v>Pruebas de penetración de redes. Exclusivamente en laboratorios propios o con autorización expresa; reporte, remediación y ética obligatorios.</x:v>
      </x:c>
      <x:c r="H369" s="366" t="str">
        <x:v>CYB-032</x:v>
      </x:c>
      <x:c r="I369" s="366" t="str">
        <x:v>Dominio profesional</x:v>
      </x:c>
      <x:c r="J369" s="366" t="n">
        <x:v>2</x:v>
      </x:c>
      <x:c r="K369" s="366" t="n">
        <x:v>20</x:v>
      </x:c>
      <x:c r="L369" s="366" t="n">
        <x:v>52</x:v>
      </x:c>
      <x:c r="M369" s="366" t="n">
        <x:v>20</x:v>
      </x:c>
      <x:c r="N369" s="367" t="n">
        <x:f>SUM(K369:M369)</x:f>
        <x:v>92</x:v>
      </x:c>
      <x:c r="O369" s="368" t="n">
        <x:f>N369/25</x:f>
        <x:v>3.68</x:v>
      </x:c>
      <x:c r="P369" s="366" t="str">
        <x:v>Informe de pentest autorizado: Pruebas de penetración de redes.</x:v>
      </x:c>
      <x:c r="Q369" s="366" t="str">
        <x:v>S08; S32; S33</x:v>
      </x:c>
      <x:c r="R369" s="366" t="str">
        <x:v>No iniciado</x:v>
      </x:c>
      <x:c r="S369" s="369" t="n">
        <x:v>0</x:v>
      </x:c>
      <x:c r="T369" s="370"/>
      <x:c r="U369" s="370"/>
      <x:c r="V369" s="366" t="str">
        <x:v>Evoluciona con sistemas multiusuario, criptografía, delitos digitales, regulación y gestión del riesgo.</x:v>
      </x:c>
      <x:c r="W369" s="366" t="str">
        <x:v>Alta: práctica vigente</x:v>
      </x:c>
      <x:c r="X369" s="366" t="str">
        <x:v>Presente 2026 y corto (2027–2029)</x:v>
      </x:c>
      <x:c r="Y369" s="366" t="str">
        <x:v>Actual</x:v>
      </x:c>
      <x:c r="Z369" s="366" t="str">
        <x:v>12 meses</x:v>
      </x:c>
      <x:c r="AA369" s="366" t="str">
        <x:v>Migración poscuántica, seguridad de IA, explotación activa, identidad, privacidad y resiliencia de proveedores.</x:v>
      </x:c>
    </x:row>
    <x:row r="370" ht="58" customHeight="1">
      <x:c r="A370" s="351" t="str">
        <x:v>CYB-034</x:v>
      </x:c>
      <x:c r="B370" s="351" t="n">
        <x:v>5</x:v>
      </x:c>
      <x:c r="C370" s="351" t="str">
        <x:v>Especialización I</x:v>
      </x:c>
      <x:c r="D370" s="351" t="str">
        <x:v>Seguridad ofensiva ética</x:v>
      </x:c>
      <x:c r="E370" s="351" t="str">
        <x:v>Ciberseguridad, forense y auditoría</x:v>
      </x:c>
      <x:c r="F370" s="351" t="str">
        <x:v>Pruebas de penetración web</x:v>
      </x:c>
      <x:c r="G370" s="351" t="str">
        <x:v>Pruebas de penetración web. Exclusivamente en laboratorios propios o con autorización expresa; reporte, remediación y ética obligatorios.</x:v>
      </x:c>
      <x:c r="H370" s="351" t="str">
        <x:v>CYB-033</x:v>
      </x:c>
      <x:c r="I370" s="351" t="str">
        <x:v>Dominio profesional</x:v>
      </x:c>
      <x:c r="J370" s="351" t="n">
        <x:v>2</x:v>
      </x:c>
      <x:c r="K370" s="351" t="n">
        <x:v>20</x:v>
      </x:c>
      <x:c r="L370" s="351" t="n">
        <x:v>52</x:v>
      </x:c>
      <x:c r="M370" s="351" t="n">
        <x:v>20</x:v>
      </x:c>
      <x:c r="N370" s="352" t="n">
        <x:f>SUM(K370:M370)</x:f>
        <x:v>92</x:v>
      </x:c>
      <x:c r="O370" s="353" t="n">
        <x:f>N370/25</x:f>
        <x:v>3.68</x:v>
      </x:c>
      <x:c r="P370" s="351" t="str">
        <x:v>Informe de pentest autorizado: Pruebas de penetración web.</x:v>
      </x:c>
      <x:c r="Q370" s="351" t="str">
        <x:v>S08; S32; S33</x:v>
      </x:c>
      <x:c r="R370" s="351" t="str">
        <x:v>No iniciado</x:v>
      </x:c>
      <x:c r="S370" s="354" t="n">
        <x:v>0</x:v>
      </x:c>
      <x:c r="T370" s="355"/>
      <x:c r="U370" s="355"/>
      <x:c r="V370" s="351" t="str">
        <x:v>Evoluciona con sistemas multiusuario, criptografía, delitos digitales, regulación y gestión del riesgo.</x:v>
      </x:c>
      <x:c r="W370" s="351" t="str">
        <x:v>Alta: práctica vigente</x:v>
      </x:c>
      <x:c r="X370" s="351" t="str">
        <x:v>Presente 2026 y corto (2027–2029)</x:v>
      </x:c>
      <x:c r="Y370" s="351" t="str">
        <x:v>Actual</x:v>
      </x:c>
      <x:c r="Z370" s="351" t="str">
        <x:v>12 meses</x:v>
      </x:c>
      <x:c r="AA370" s="351" t="str">
        <x:v>Migración poscuántica, seguridad de IA, explotación activa, identidad, privacidad y resiliencia de proveedores.</x:v>
      </x:c>
    </x:row>
    <x:row r="371" ht="58" customHeight="1">
      <x:c r="A371" s="366" t="str">
        <x:v>CYB-035</x:v>
      </x:c>
      <x:c r="B371" s="366" t="n">
        <x:v>5</x:v>
      </x:c>
      <x:c r="C371" s="366" t="str">
        <x:v>Especialización I</x:v>
      </x:c>
      <x:c r="D371" s="366" t="str">
        <x:v>Seguridad ofensiva ética</x:v>
      </x:c>
      <x:c r="E371" s="366" t="str">
        <x:v>Ciberseguridad, forense y auditoría</x:v>
      </x:c>
      <x:c r="F371" s="366" t="str">
        <x:v>Auditoría de redes inalámbricas</x:v>
      </x:c>
      <x:c r="G371" s="366" t="str">
        <x:v>Auditoría de redes inalámbricas. Exclusivamente en laboratorios propios o con autorización expresa; reporte, remediación y ética obligatorios.</x:v>
      </x:c>
      <x:c r="H371" s="366" t="str">
        <x:v>CYB-034</x:v>
      </x:c>
      <x:c r="I371" s="366" t="str">
        <x:v>Dominio profesional</x:v>
      </x:c>
      <x:c r="J371" s="366" t="n">
        <x:v>2</x:v>
      </x:c>
      <x:c r="K371" s="366" t="n">
        <x:v>20</x:v>
      </x:c>
      <x:c r="L371" s="366" t="n">
        <x:v>52</x:v>
      </x:c>
      <x:c r="M371" s="366" t="n">
        <x:v>20</x:v>
      </x:c>
      <x:c r="N371" s="367" t="n">
        <x:f>SUM(K371:M371)</x:f>
        <x:v>92</x:v>
      </x:c>
      <x:c r="O371" s="368" t="n">
        <x:f>N371/25</x:f>
        <x:v>3.68</x:v>
      </x:c>
      <x:c r="P371" s="366" t="str">
        <x:v>Informe de pentest autorizado: Auditoría de redes inalámbricas.</x:v>
      </x:c>
      <x:c r="Q371" s="366" t="str">
        <x:v>S08; S32; S33</x:v>
      </x:c>
      <x:c r="R371" s="366" t="str">
        <x:v>No iniciado</x:v>
      </x:c>
      <x:c r="S371" s="369" t="n">
        <x:v>0</x:v>
      </x:c>
      <x:c r="T371" s="370"/>
      <x:c r="U371" s="370"/>
      <x:c r="V371" s="366" t="str">
        <x:v>Evoluciona con sistemas multiusuario, criptografía, delitos digitales, regulación y gestión del riesgo.</x:v>
      </x:c>
      <x:c r="W371" s="366" t="str">
        <x:v>Alta: práctica vigente</x:v>
      </x:c>
      <x:c r="X371" s="366" t="str">
        <x:v>Presente 2026 y corto (2027–2029)</x:v>
      </x:c>
      <x:c r="Y371" s="366" t="str">
        <x:v>Actual</x:v>
      </x:c>
      <x:c r="Z371" s="366" t="str">
        <x:v>12 meses</x:v>
      </x:c>
      <x:c r="AA371" s="366" t="str">
        <x:v>Migración poscuántica, seguridad de IA, explotación activa, identidad, privacidad y resiliencia de proveedores.</x:v>
      </x:c>
    </x:row>
    <x:row r="372" ht="58" customHeight="1">
      <x:c r="A372" s="351" t="str">
        <x:v>CYB-046</x:v>
      </x:c>
      <x:c r="B372" s="351" t="n">
        <x:v>5</x:v>
      </x:c>
      <x:c r="C372" s="351" t="str">
        <x:v>Especialización I</x:v>
      </x:c>
      <x:c r="D372" s="351" t="str">
        <x:v>Informática forense y auditoría</x:v>
      </x:c>
      <x:c r="E372" s="351" t="str">
        <x:v>Ciberseguridad, forense y auditoría</x:v>
      </x:c>
      <x:c r="F372" s="351" t="str">
        <x:v>Fundamentos de informática forense</x:v>
      </x:c>
      <x:c r="G372" s="351" t="str">
        <x:v>Fundamentos de informática forense. Autoridad legal, preservación, cadena de custodia, validación, repetibilidad y testimonio técnico.</x:v>
      </x:c>
      <x:c r="H372" s="351" t="str">
        <x:v>CYB-020</x:v>
      </x:c>
      <x:c r="I372" s="351" t="str">
        <x:v>Dominio profesional</x:v>
      </x:c>
      <x:c r="J372" s="351" t="n">
        <x:v>2</x:v>
      </x:c>
      <x:c r="K372" s="351" t="n">
        <x:v>28</x:v>
      </x:c>
      <x:c r="L372" s="351" t="n">
        <x:v>36</x:v>
      </x:c>
      <x:c r="M372" s="351" t="n">
        <x:v>20</x:v>
      </x:c>
      <x:c r="N372" s="352" t="n">
        <x:f>SUM(K372:M372)</x:f>
        <x:v>84</x:v>
      </x:c>
      <x:c r="O372" s="353" t="n">
        <x:f>N372/25</x:f>
        <x:v>3.36</x:v>
      </x:c>
      <x:c r="P372" s="351" t="str">
        <x:v>Expediente forense: Fundamentos de informática forense.</x:v>
      </x:c>
      <x:c r="Q372" s="351" t="str">
        <x:v>S08; S34; S35; S36</x:v>
      </x:c>
      <x:c r="R372" s="351" t="str">
        <x:v>No iniciado</x:v>
      </x:c>
      <x:c r="S372" s="354" t="n">
        <x:v>0</x:v>
      </x:c>
      <x:c r="T372" s="355"/>
      <x:c r="U372" s="355"/>
      <x:c r="V372" s="351" t="str">
        <x:v>Evoluciona con sistemas multiusuario, criptografía, delitos digitales, regulación y gestión del riesgo.</x:v>
      </x:c>
      <x:c r="W372" s="351" t="str">
        <x:v>Alta: práctica vigente</x:v>
      </x:c>
      <x:c r="X372" s="351" t="str">
        <x:v>Presente 2026 y corto (2027–2029)</x:v>
      </x:c>
      <x:c r="Y372" s="351" t="str">
        <x:v>Actual</x:v>
      </x:c>
      <x:c r="Z372" s="351" t="str">
        <x:v>12 meses</x:v>
      </x:c>
      <x:c r="AA372" s="351" t="str">
        <x:v>Migración poscuántica, seguridad de IA, explotación activa, identidad, privacidad y resiliencia de proveedores.</x:v>
      </x:c>
    </x:row>
    <x:row r="373" ht="58" customHeight="1">
      <x:c r="A373" s="366" t="str">
        <x:v>CYB-047</x:v>
      </x:c>
      <x:c r="B373" s="366" t="n">
        <x:v>5</x:v>
      </x:c>
      <x:c r="C373" s="366" t="str">
        <x:v>Especialización I</x:v>
      </x:c>
      <x:c r="D373" s="366" t="str">
        <x:v>Informática forense y auditoría</x:v>
      </x:c>
      <x:c r="E373" s="366" t="str">
        <x:v>Ciberseguridad, forense y auditoría</x:v>
      </x:c>
      <x:c r="F373" s="366" t="str">
        <x:v>Adquisición y preservación de evidencia digital</x:v>
      </x:c>
      <x:c r="G373" s="366" t="str">
        <x:v>Adquisición y preservación de evidencia digital. Autoridad legal, preservación, cadena de custodia, validación, repetibilidad y testimonio técnico.</x:v>
      </x:c>
      <x:c r="H373" s="366" t="str">
        <x:v>CYB-046</x:v>
      </x:c>
      <x:c r="I373" s="366" t="str">
        <x:v>Dominio profesional</x:v>
      </x:c>
      <x:c r="J373" s="366" t="n">
        <x:v>2</x:v>
      </x:c>
      <x:c r="K373" s="366" t="n">
        <x:v>28</x:v>
      </x:c>
      <x:c r="L373" s="366" t="n">
        <x:v>36</x:v>
      </x:c>
      <x:c r="M373" s="366" t="n">
        <x:v>20</x:v>
      </x:c>
      <x:c r="N373" s="367" t="n">
        <x:f>SUM(K373:M373)</x:f>
        <x:v>84</x:v>
      </x:c>
      <x:c r="O373" s="368" t="n">
        <x:f>N373/25</x:f>
        <x:v>3.36</x:v>
      </x:c>
      <x:c r="P373" s="366" t="str">
        <x:v>Expediente forense: Adquisición y preservación de evidencia digital.</x:v>
      </x:c>
      <x:c r="Q373" s="366" t="str">
        <x:v>S08; S34; S35; S36</x:v>
      </x:c>
      <x:c r="R373" s="366" t="str">
        <x:v>No iniciado</x:v>
      </x:c>
      <x:c r="S373" s="369" t="n">
        <x:v>0</x:v>
      </x:c>
      <x:c r="T373" s="370"/>
      <x:c r="U373" s="370"/>
      <x:c r="V373" s="366" t="str">
        <x:v>Evoluciona con sistemas multiusuario, criptografía, delitos digitales, regulación y gestión del riesgo.</x:v>
      </x:c>
      <x:c r="W373" s="366" t="str">
        <x:v>Alta: práctica vigente</x:v>
      </x:c>
      <x:c r="X373" s="366" t="str">
        <x:v>Presente 2026 y corto (2027–2029)</x:v>
      </x:c>
      <x:c r="Y373" s="366" t="str">
        <x:v>Actual</x:v>
      </x:c>
      <x:c r="Z373" s="366" t="str">
        <x:v>12 meses</x:v>
      </x:c>
      <x:c r="AA373" s="366" t="str">
        <x:v>Migración poscuántica, seguridad de IA, explotación activa, identidad, privacidad y resiliencia de proveedores.</x:v>
      </x:c>
    </x:row>
    <x:row r="374" ht="58" customHeight="1">
      <x:c r="A374" s="351" t="str">
        <x:v>CYB-048</x:v>
      </x:c>
      <x:c r="B374" s="351" t="n">
        <x:v>5</x:v>
      </x:c>
      <x:c r="C374" s="351" t="str">
        <x:v>Especialización I</x:v>
      </x:c>
      <x:c r="D374" s="351" t="str">
        <x:v>Informática forense y auditoría</x:v>
      </x:c>
      <x:c r="E374" s="351" t="str">
        <x:v>Ciberseguridad, forense y auditoría</x:v>
      </x:c>
      <x:c r="F374" s="351" t="str">
        <x:v>Forense de discos y sistemas de archivos</x:v>
      </x:c>
      <x:c r="G374" s="351" t="str">
        <x:v>Forense de discos y sistemas de archivos. Autoridad legal, preservación, cadena de custodia, validación, repetibilidad y testimonio técnico.</x:v>
      </x:c>
      <x:c r="H374" s="351" t="str">
        <x:v>CYB-047</x:v>
      </x:c>
      <x:c r="I374" s="351" t="str">
        <x:v>Dominio profesional</x:v>
      </x:c>
      <x:c r="J374" s="351" t="n">
        <x:v>2</x:v>
      </x:c>
      <x:c r="K374" s="351" t="n">
        <x:v>28</x:v>
      </x:c>
      <x:c r="L374" s="351" t="n">
        <x:v>36</x:v>
      </x:c>
      <x:c r="M374" s="351" t="n">
        <x:v>20</x:v>
      </x:c>
      <x:c r="N374" s="352" t="n">
        <x:f>SUM(K374:M374)</x:f>
        <x:v>84</x:v>
      </x:c>
      <x:c r="O374" s="353" t="n">
        <x:f>N374/25</x:f>
        <x:v>3.36</x:v>
      </x:c>
      <x:c r="P374" s="351" t="str">
        <x:v>Expediente forense: Forense de discos y sistemas de archivos.</x:v>
      </x:c>
      <x:c r="Q374" s="351" t="str">
        <x:v>S08; S34; S35; S36</x:v>
      </x:c>
      <x:c r="R374" s="351" t="str">
        <x:v>No iniciado</x:v>
      </x:c>
      <x:c r="S374" s="354" t="n">
        <x:v>0</x:v>
      </x:c>
      <x:c r="T374" s="355"/>
      <x:c r="U374" s="355"/>
      <x:c r="V374" s="351" t="str">
        <x:v>Evoluciona con sistemas multiusuario, criptografía, delitos digitales, regulación y gestión del riesgo.</x:v>
      </x:c>
      <x:c r="W374" s="351" t="str">
        <x:v>Alta: práctica vigente</x:v>
      </x:c>
      <x:c r="X374" s="351" t="str">
        <x:v>Presente 2026 y corto (2027–2029)</x:v>
      </x:c>
      <x:c r="Y374" s="351" t="str">
        <x:v>Actual</x:v>
      </x:c>
      <x:c r="Z374" s="351" t="str">
        <x:v>12 meses</x:v>
      </x:c>
      <x:c r="AA374" s="351" t="str">
        <x:v>Migración poscuántica, seguridad de IA, explotación activa, identidad, privacidad y resiliencia de proveedores.</x:v>
      </x:c>
    </x:row>
    <x:row r="375" ht="58" customHeight="1">
      <x:c r="A375" s="366" t="str">
        <x:v>CYB-049</x:v>
      </x:c>
      <x:c r="B375" s="366" t="n">
        <x:v>5</x:v>
      </x:c>
      <x:c r="C375" s="366" t="str">
        <x:v>Especialización I</x:v>
      </x:c>
      <x:c r="D375" s="366" t="str">
        <x:v>Informática forense y auditoría</x:v>
      </x:c>
      <x:c r="E375" s="366" t="str">
        <x:v>Ciberseguridad, forense y auditoría</x:v>
      </x:c>
      <x:c r="F375" s="366" t="str">
        <x:v>Forense de memoria</x:v>
      </x:c>
      <x:c r="G375" s="366" t="str">
        <x:v>Forense de memoria. Autoridad legal, preservación, cadena de custodia, validación, repetibilidad y testimonio técnico.</x:v>
      </x:c>
      <x:c r="H375" s="366" t="str">
        <x:v>CYB-048</x:v>
      </x:c>
      <x:c r="I375" s="366" t="str">
        <x:v>Dominio profesional</x:v>
      </x:c>
      <x:c r="J375" s="366" t="n">
        <x:v>2</x:v>
      </x:c>
      <x:c r="K375" s="366" t="n">
        <x:v>28</x:v>
      </x:c>
      <x:c r="L375" s="366" t="n">
        <x:v>36</x:v>
      </x:c>
      <x:c r="M375" s="366" t="n">
        <x:v>20</x:v>
      </x:c>
      <x:c r="N375" s="367" t="n">
        <x:f>SUM(K375:M375)</x:f>
        <x:v>84</x:v>
      </x:c>
      <x:c r="O375" s="368" t="n">
        <x:f>N375/25</x:f>
        <x:v>3.36</x:v>
      </x:c>
      <x:c r="P375" s="366" t="str">
        <x:v>Expediente forense: Forense de memoria.</x:v>
      </x:c>
      <x:c r="Q375" s="366" t="str">
        <x:v>S08; S34; S35; S36</x:v>
      </x:c>
      <x:c r="R375" s="366" t="str">
        <x:v>No iniciado</x:v>
      </x:c>
      <x:c r="S375" s="369" t="n">
        <x:v>0</x:v>
      </x:c>
      <x:c r="T375" s="370"/>
      <x:c r="U375" s="370"/>
      <x:c r="V375" s="366" t="str">
        <x:v>Evoluciona con sistemas multiusuario, criptografía, delitos digitales, regulación y gestión del riesgo.</x:v>
      </x:c>
      <x:c r="W375" s="366" t="str">
        <x:v>Alta: práctica vigente</x:v>
      </x:c>
      <x:c r="X375" s="366" t="str">
        <x:v>Presente 2026 y corto (2027–2029)</x:v>
      </x:c>
      <x:c r="Y375" s="366" t="str">
        <x:v>Actual</x:v>
      </x:c>
      <x:c r="Z375" s="366" t="str">
        <x:v>12 meses</x:v>
      </x:c>
      <x:c r="AA375" s="366" t="str">
        <x:v>Migración poscuántica, seguridad de IA, explotación activa, identidad, privacidad y resiliencia de proveedores.</x:v>
      </x:c>
    </x:row>
    <x:row r="376" ht="58" customHeight="1">
      <x:c r="A376" s="351" t="str">
        <x:v>CYB-050</x:v>
      </x:c>
      <x:c r="B376" s="351" t="n">
        <x:v>5</x:v>
      </x:c>
      <x:c r="C376" s="351" t="str">
        <x:v>Especialización I</x:v>
      </x:c>
      <x:c r="D376" s="351" t="str">
        <x:v>Informática forense y auditoría</x:v>
      </x:c>
      <x:c r="E376" s="351" t="str">
        <x:v>Ciberseguridad, forense y auditoría</x:v>
      </x:c>
      <x:c r="F376" s="351" t="str">
        <x:v>Forense de redes</x:v>
      </x:c>
      <x:c r="G376" s="351" t="str">
        <x:v>Forense de redes. Autoridad legal, preservación, cadena de custodia, validación, repetibilidad y testimonio técnico.</x:v>
      </x:c>
      <x:c r="H376" s="351" t="str">
        <x:v>CYB-049</x:v>
      </x:c>
      <x:c r="I376" s="351" t="str">
        <x:v>Dominio profesional</x:v>
      </x:c>
      <x:c r="J376" s="351" t="n">
        <x:v>2</x:v>
      </x:c>
      <x:c r="K376" s="351" t="n">
        <x:v>28</x:v>
      </x:c>
      <x:c r="L376" s="351" t="n">
        <x:v>36</x:v>
      </x:c>
      <x:c r="M376" s="351" t="n">
        <x:v>20</x:v>
      </x:c>
      <x:c r="N376" s="352" t="n">
        <x:f>SUM(K376:M376)</x:f>
        <x:v>84</x:v>
      </x:c>
      <x:c r="O376" s="353" t="n">
        <x:f>N376/25</x:f>
        <x:v>3.36</x:v>
      </x:c>
      <x:c r="P376" s="351" t="str">
        <x:v>Expediente forense: Forense de redes.</x:v>
      </x:c>
      <x:c r="Q376" s="351" t="str">
        <x:v>S08; S34; S35; S36</x:v>
      </x:c>
      <x:c r="R376" s="351" t="str">
        <x:v>No iniciado</x:v>
      </x:c>
      <x:c r="S376" s="354" t="n">
        <x:v>0</x:v>
      </x:c>
      <x:c r="T376" s="355"/>
      <x:c r="U376" s="355"/>
      <x:c r="V376" s="351" t="str">
        <x:v>Evoluciona con sistemas multiusuario, criptografía, delitos digitales, regulación y gestión del riesgo.</x:v>
      </x:c>
      <x:c r="W376" s="351" t="str">
        <x:v>Alta: práctica vigente</x:v>
      </x:c>
      <x:c r="X376" s="351" t="str">
        <x:v>Presente 2026 y corto (2027–2029)</x:v>
      </x:c>
      <x:c r="Y376" s="351" t="str">
        <x:v>Actual</x:v>
      </x:c>
      <x:c r="Z376" s="351" t="str">
        <x:v>12 meses</x:v>
      </x:c>
      <x:c r="AA376" s="351" t="str">
        <x:v>Migración poscuántica, seguridad de IA, explotación activa, identidad, privacidad y resiliencia de proveedores.</x:v>
      </x:c>
    </x:row>
    <x:row r="377" ht="58" customHeight="1">
      <x:c r="A377" s="366" t="str">
        <x:v>CYB-051</x:v>
      </x:c>
      <x:c r="B377" s="366" t="n">
        <x:v>5</x:v>
      </x:c>
      <x:c r="C377" s="366" t="str">
        <x:v>Especialización I</x:v>
      </x:c>
      <x:c r="D377" s="366" t="str">
        <x:v>Informática forense y auditoría</x:v>
      </x:c>
      <x:c r="E377" s="366" t="str">
        <x:v>Ciberseguridad, forense y auditoría</x:v>
      </x:c>
      <x:c r="F377" s="366" t="str">
        <x:v>Forense móvil</x:v>
      </x:c>
      <x:c r="G377" s="366" t="str">
        <x:v>Forense móvil. Autoridad legal, preservación, cadena de custodia, validación, repetibilidad y testimonio técnico.</x:v>
      </x:c>
      <x:c r="H377" s="366" t="str">
        <x:v>CYB-050</x:v>
      </x:c>
      <x:c r="I377" s="366" t="str">
        <x:v>Dominio profesional</x:v>
      </x:c>
      <x:c r="J377" s="366" t="n">
        <x:v>2</x:v>
      </x:c>
      <x:c r="K377" s="366" t="n">
        <x:v>28</x:v>
      </x:c>
      <x:c r="L377" s="366" t="n">
        <x:v>36</x:v>
      </x:c>
      <x:c r="M377" s="366" t="n">
        <x:v>20</x:v>
      </x:c>
      <x:c r="N377" s="367" t="n">
        <x:f>SUM(K377:M377)</x:f>
        <x:v>84</x:v>
      </x:c>
      <x:c r="O377" s="368" t="n">
        <x:f>N377/25</x:f>
        <x:v>3.36</x:v>
      </x:c>
      <x:c r="P377" s="366" t="str">
        <x:v>Expediente forense: Forense móvil.</x:v>
      </x:c>
      <x:c r="Q377" s="366" t="str">
        <x:v>S08; S34; S35; S36</x:v>
      </x:c>
      <x:c r="R377" s="366" t="str">
        <x:v>No iniciado</x:v>
      </x:c>
      <x:c r="S377" s="369" t="n">
        <x:v>0</x:v>
      </x:c>
      <x:c r="T377" s="370"/>
      <x:c r="U377" s="370"/>
      <x:c r="V377" s="366" t="str">
        <x:v>Evoluciona con sistemas multiusuario, criptografía, delitos digitales, regulación y gestión del riesgo.</x:v>
      </x:c>
      <x:c r="W377" s="366" t="str">
        <x:v>Alta: práctica vigente</x:v>
      </x:c>
      <x:c r="X377" s="366" t="str">
        <x:v>Presente 2026 y corto (2027–2029)</x:v>
      </x:c>
      <x:c r="Y377" s="366" t="str">
        <x:v>Actual</x:v>
      </x:c>
      <x:c r="Z377" s="366" t="str">
        <x:v>12 meses</x:v>
      </x:c>
      <x:c r="AA377" s="366" t="str">
        <x:v>Migración poscuántica, seguridad de IA, explotación activa, identidad, privacidad y resiliencia de proveedores.</x:v>
      </x:c>
    </x:row>
    <x:row r="378" ht="58" customHeight="1">
      <x:c r="A378" s="351" t="str">
        <x:v>DAI-034</x:v>
      </x:c>
      <x:c r="B378" s="351" t="n">
        <x:v>5</x:v>
      </x:c>
      <x:c r="C378" s="351" t="str">
        <x:v>Especialización I</x:v>
      </x:c>
      <x:c r="D378" s="351" t="str">
        <x:v>Inteligencia artificial y aprendizaje automático</x:v>
      </x:c>
      <x:c r="E378" s="351" t="str">
        <x:v>Datos, BI e IA</x:v>
      </x:c>
      <x:c r="F378" s="351" t="str">
        <x:v>Aprendizaje por refuerzo</x:v>
      </x:c>
      <x:c r="G378" s="351" t="str">
        <x:v>Aprendizaje por refuerzo. Fundamentos, evaluación rigurosa, implementación, despliegue responsable y aplicaciones.</x:v>
      </x:c>
      <x:c r="H378" s="351" t="str">
        <x:v>DAI-033</x:v>
      </x:c>
      <x:c r="I378" s="351" t="str">
        <x:v>Dominio profesional</x:v>
      </x:c>
      <x:c r="J378" s="351" t="n">
        <x:v>2</x:v>
      </x:c>
      <x:c r="K378" s="351" t="n">
        <x:v>28</x:v>
      </x:c>
      <x:c r="L378" s="351" t="n">
        <x:v>36</x:v>
      </x:c>
      <x:c r="M378" s="351" t="n">
        <x:v>20</x:v>
      </x:c>
      <x:c r="N378" s="352" t="n">
        <x:f>SUM(K378:M378)</x:f>
        <x:v>84</x:v>
      </x:c>
      <x:c r="O378" s="353" t="n">
        <x:f>N378/25</x:f>
        <x:v>3.36</x:v>
      </x:c>
      <x:c r="P378" s="351" t="str">
        <x:v>Modelo evaluado y desplegado: Aprendizaje por refuerzo.</x:v>
      </x:c>
      <x:c r="Q378" s="351" t="str">
        <x:v>S01; S07; S12; S18; S19; S20; S38</x:v>
      </x:c>
      <x:c r="R378" s="351" t="str">
        <x:v>No iniciado</x:v>
      </x:c>
      <x:c r="S378" s="354" t="n">
        <x:v>0</x:v>
      </x:c>
      <x:c r="T378" s="355"/>
      <x:c r="U378" s="355"/>
      <x:c r="V378" s="351" t="str">
        <x:v>Une estadística, bases de datos, investigación operativa, aprendizaje automático e IA generativa.</x:v>
      </x:c>
      <x:c r="W378" s="351" t="str">
        <x:v>Alta: práctica vigente</x:v>
      </x:c>
      <x:c r="X378" s="351" t="str">
        <x:v>Presente 2026 y corto (2027–2029)</x:v>
      </x:c>
      <x:c r="Y378" s="351" t="str">
        <x:v>Actual</x:v>
      </x:c>
      <x:c r="Z378" s="351" t="str">
        <x:v>12 meses</x:v>
      </x:c>
      <x:c r="AA378" s="351" t="str">
        <x:v>Modelos multimodales, IA agente, causalidad, privacidad, aprendizaje federado, evaluación y gobernanza.</x:v>
      </x:c>
    </x:row>
    <x:row r="379" ht="58" customHeight="1">
      <x:c r="A379" s="366" t="str">
        <x:v>DAI-035</x:v>
      </x:c>
      <x:c r="B379" s="366" t="n">
        <x:v>5</x:v>
      </x:c>
      <x:c r="C379" s="366" t="str">
        <x:v>Especialización I</x:v>
      </x:c>
      <x:c r="D379" s="366" t="str">
        <x:v>Inteligencia artificial y aprendizaje automático</x:v>
      </x:c>
      <x:c r="E379" s="366" t="str">
        <x:v>Datos, BI e IA</x:v>
      </x:c>
      <x:c r="F379" s="366" t="str">
        <x:v>Sistemas de recomendación</x:v>
      </x:c>
      <x:c r="G379" s="366" t="str">
        <x:v>Sistemas de recomendación. Fundamentos, evaluación rigurosa, implementación, despliegue responsable y aplicaciones.</x:v>
      </x:c>
      <x:c r="H379" s="366" t="str">
        <x:v>DAI-034</x:v>
      </x:c>
      <x:c r="I379" s="366" t="str">
        <x:v>Dominio profesional</x:v>
      </x:c>
      <x:c r="J379" s="366" t="n">
        <x:v>2</x:v>
      </x:c>
      <x:c r="K379" s="366" t="n">
        <x:v>28</x:v>
      </x:c>
      <x:c r="L379" s="366" t="n">
        <x:v>36</x:v>
      </x:c>
      <x:c r="M379" s="366" t="n">
        <x:v>20</x:v>
      </x:c>
      <x:c r="N379" s="367" t="n">
        <x:f>SUM(K379:M379)</x:f>
        <x:v>84</x:v>
      </x:c>
      <x:c r="O379" s="368" t="n">
        <x:f>N379/25</x:f>
        <x:v>3.36</x:v>
      </x:c>
      <x:c r="P379" s="366" t="str">
        <x:v>Modelo evaluado y desplegado: Sistemas de recomendación.</x:v>
      </x:c>
      <x:c r="Q379" s="366" t="str">
        <x:v>S01; S07; S12; S18; S19; S20; S38</x:v>
      </x:c>
      <x:c r="R379" s="366" t="str">
        <x:v>No iniciado</x:v>
      </x:c>
      <x:c r="S379" s="369" t="n">
        <x:v>0</x:v>
      </x:c>
      <x:c r="T379" s="370"/>
      <x:c r="U379" s="370"/>
      <x:c r="V379" s="366" t="str">
        <x:v>Une estadística, bases de datos, investigación operativa, aprendizaje automático e IA generativa.</x:v>
      </x:c>
      <x:c r="W379" s="366" t="str">
        <x:v>Alta: práctica vigente</x:v>
      </x:c>
      <x:c r="X379" s="366" t="str">
        <x:v>Presente 2026 y corto (2027–2029)</x:v>
      </x:c>
      <x:c r="Y379" s="366" t="str">
        <x:v>Actual</x:v>
      </x:c>
      <x:c r="Z379" s="366" t="str">
        <x:v>12 meses</x:v>
      </x:c>
      <x:c r="AA379" s="366" t="str">
        <x:v>Modelos multimodales, IA agente, causalidad, privacidad, aprendizaje federado, evaluación y gobernanza.</x:v>
      </x:c>
    </x:row>
    <x:row r="380" ht="58" customHeight="1">
      <x:c r="A380" s="351" t="str">
        <x:v>DAI-036</x:v>
      </x:c>
      <x:c r="B380" s="351" t="n">
        <x:v>5</x:v>
      </x:c>
      <x:c r="C380" s="351" t="str">
        <x:v>Especialización I</x:v>
      </x:c>
      <x:c r="D380" s="351" t="str">
        <x:v>Inteligencia artificial y aprendizaje automático</x:v>
      </x:c>
      <x:c r="E380" s="351" t="str">
        <x:v>Datos, BI e IA</x:v>
      </x:c>
      <x:c r="F380" s="351" t="str">
        <x:v>Minería de datos</x:v>
      </x:c>
      <x:c r="G380" s="351" t="str">
        <x:v>Minería de datos. Fundamentos, evaluación rigurosa, implementación, despliegue responsable y aplicaciones.</x:v>
      </x:c>
      <x:c r="H380" s="351" t="str">
        <x:v>DAI-035</x:v>
      </x:c>
      <x:c r="I380" s="351" t="str">
        <x:v>Dominio profesional</x:v>
      </x:c>
      <x:c r="J380" s="351" t="n">
        <x:v>2</x:v>
      </x:c>
      <x:c r="K380" s="351" t="n">
        <x:v>28</x:v>
      </x:c>
      <x:c r="L380" s="351" t="n">
        <x:v>36</x:v>
      </x:c>
      <x:c r="M380" s="351" t="n">
        <x:v>20</x:v>
      </x:c>
      <x:c r="N380" s="352" t="n">
        <x:f>SUM(K380:M380)</x:f>
        <x:v>84</x:v>
      </x:c>
      <x:c r="O380" s="353" t="n">
        <x:f>N380/25</x:f>
        <x:v>3.36</x:v>
      </x:c>
      <x:c r="P380" s="351" t="str">
        <x:v>Modelo evaluado y desplegado: Minería de datos.</x:v>
      </x:c>
      <x:c r="Q380" s="351" t="str">
        <x:v>S01; S07; S12; S18; S19; S20; S38</x:v>
      </x:c>
      <x:c r="R380" s="351" t="str">
        <x:v>No iniciado</x:v>
      </x:c>
      <x:c r="S380" s="354" t="n">
        <x:v>0</x:v>
      </x:c>
      <x:c r="T380" s="355"/>
      <x:c r="U380" s="355"/>
      <x:c r="V380" s="351" t="str">
        <x:v>Une estadística, bases de datos, investigación operativa, aprendizaje automático e IA generativa.</x:v>
      </x:c>
      <x:c r="W380" s="351" t="str">
        <x:v>Alta: práctica vigente</x:v>
      </x:c>
      <x:c r="X380" s="351" t="str">
        <x:v>Presente 2026 y corto (2027–2029)</x:v>
      </x:c>
      <x:c r="Y380" s="351" t="str">
        <x:v>Actual</x:v>
      </x:c>
      <x:c r="Z380" s="351" t="str">
        <x:v>12 meses</x:v>
      </x:c>
      <x:c r="AA380" s="351" t="str">
        <x:v>Modelos multimodales, IA agente, causalidad, privacidad, aprendizaje federado, evaluación y gobernanza.</x:v>
      </x:c>
    </x:row>
    <x:row r="381" ht="58" customHeight="1">
      <x:c r="A381" s="366" t="str">
        <x:v>DAI-037</x:v>
      </x:c>
      <x:c r="B381" s="366" t="n">
        <x:v>5</x:v>
      </x:c>
      <x:c r="C381" s="366" t="str">
        <x:v>Especialización I</x:v>
      </x:c>
      <x:c r="D381" s="366" t="str">
        <x:v>Inteligencia artificial y aprendizaje automático</x:v>
      </x:c>
      <x:c r="E381" s="366" t="str">
        <x:v>Datos, BI e IA</x:v>
      </x:c>
      <x:c r="F381" s="366" t="str">
        <x:v>IA generativa</x:v>
      </x:c>
      <x:c r="G381" s="366" t="str">
        <x:v>IA generativa. Fundamentos, evaluación rigurosa, implementación, despliegue responsable y aplicaciones.</x:v>
      </x:c>
      <x:c r="H381" s="366" t="str">
        <x:v>DAI-036</x:v>
      </x:c>
      <x:c r="I381" s="366" t="str">
        <x:v>Dominio profesional</x:v>
      </x:c>
      <x:c r="J381" s="366" t="n">
        <x:v>2</x:v>
      </x:c>
      <x:c r="K381" s="366" t="n">
        <x:v>28</x:v>
      </x:c>
      <x:c r="L381" s="366" t="n">
        <x:v>36</x:v>
      </x:c>
      <x:c r="M381" s="366" t="n">
        <x:v>20</x:v>
      </x:c>
      <x:c r="N381" s="367" t="n">
        <x:f>SUM(K381:M381)</x:f>
        <x:v>84</x:v>
      </x:c>
      <x:c r="O381" s="368" t="n">
        <x:f>N381/25</x:f>
        <x:v>3.36</x:v>
      </x:c>
      <x:c r="P381" s="366" t="str">
        <x:v>Modelo evaluado y desplegado: IA generativa.</x:v>
      </x:c>
      <x:c r="Q381" s="366" t="str">
        <x:v>S01; S07; S12; S18; S19; S20; S38</x:v>
      </x:c>
      <x:c r="R381" s="366" t="str">
        <x:v>No iniciado</x:v>
      </x:c>
      <x:c r="S381" s="369" t="n">
        <x:v>0</x:v>
      </x:c>
      <x:c r="T381" s="370"/>
      <x:c r="U381" s="370"/>
      <x:c r="V381" s="366" t="str">
        <x:v>Une estadística, bases de datos, investigación operativa, aprendizaje automático e IA generativa.</x:v>
      </x:c>
      <x:c r="W381" s="366" t="str">
        <x:v>Variable: validar evidencia y madurez</x:v>
      </x:c>
      <x:c r="X381" s="366" t="str">
        <x:v>Corto (2027–2029) y mediano (2030–2035)</x:v>
      </x:c>
      <x:c r="Y381" s="366" t="str">
        <x:v>Emergente</x:v>
      </x:c>
      <x:c r="Z381" s="366" t="str">
        <x:v>6 meses</x:v>
      </x:c>
      <x:c r="AA381" s="366" t="str">
        <x:v>Modelos multimodales, IA agente, causalidad, privacidad, aprendizaje federado, evaluación y gobernanza.</x:v>
      </x:c>
    </x:row>
    <x:row r="382" ht="58" customHeight="1">
      <x:c r="A382" s="351" t="str">
        <x:v>DAI-038</x:v>
      </x:c>
      <x:c r="B382" s="351" t="n">
        <x:v>5</x:v>
      </x:c>
      <x:c r="C382" s="351" t="str">
        <x:v>Especialización I</x:v>
      </x:c>
      <x:c r="D382" s="351" t="str">
        <x:v>Inteligencia artificial y aprendizaje automático</x:v>
      </x:c>
      <x:c r="E382" s="351" t="str">
        <x:v>Datos, BI e IA</x:v>
      </x:c>
      <x:c r="F382" s="351" t="str">
        <x:v>Modelos de lenguaje grandes</x:v>
      </x:c>
      <x:c r="G382" s="351" t="str">
        <x:v>Modelos de lenguaje grandes. Fundamentos, evaluación rigurosa, implementación, despliegue responsable y aplicaciones.</x:v>
      </x:c>
      <x:c r="H382" s="351" t="str">
        <x:v>DAI-037</x:v>
      </x:c>
      <x:c r="I382" s="351" t="str">
        <x:v>Dominio profesional</x:v>
      </x:c>
      <x:c r="J382" s="351" t="n">
        <x:v>2</x:v>
      </x:c>
      <x:c r="K382" s="351" t="n">
        <x:v>28</x:v>
      </x:c>
      <x:c r="L382" s="351" t="n">
        <x:v>36</x:v>
      </x:c>
      <x:c r="M382" s="351" t="n">
        <x:v>20</x:v>
      </x:c>
      <x:c r="N382" s="352" t="n">
        <x:f>SUM(K382:M382)</x:f>
        <x:v>84</x:v>
      </x:c>
      <x:c r="O382" s="353" t="n">
        <x:f>N382/25</x:f>
        <x:v>3.36</x:v>
      </x:c>
      <x:c r="P382" s="351" t="str">
        <x:v>Modelo evaluado y desplegado: Modelos de lenguaje grandes.</x:v>
      </x:c>
      <x:c r="Q382" s="351" t="str">
        <x:v>S01; S07; S12; S18; S19; S20; S38</x:v>
      </x:c>
      <x:c r="R382" s="351" t="str">
        <x:v>No iniciado</x:v>
      </x:c>
      <x:c r="S382" s="354" t="n">
        <x:v>0</x:v>
      </x:c>
      <x:c r="T382" s="355"/>
      <x:c r="U382" s="355"/>
      <x:c r="V382" s="351" t="str">
        <x:v>Une estadística, bases de datos, investigación operativa, aprendizaje automático e IA generativa.</x:v>
      </x:c>
      <x:c r="W382" s="351" t="str">
        <x:v>Alta: práctica vigente</x:v>
      </x:c>
      <x:c r="X382" s="351" t="str">
        <x:v>Presente 2026 y corto (2027–2029)</x:v>
      </x:c>
      <x:c r="Y382" s="351" t="str">
        <x:v>Actual</x:v>
      </x:c>
      <x:c r="Z382" s="351" t="str">
        <x:v>12 meses</x:v>
      </x:c>
      <x:c r="AA382" s="351" t="str">
        <x:v>Modelos multimodales, IA agente, causalidad, privacidad, aprendizaje federado, evaluación y gobernanza.</x:v>
      </x:c>
    </x:row>
    <x:row r="383" ht="58" customHeight="1">
      <x:c r="A383" s="366" t="str">
        <x:v>DAI-039</x:v>
      </x:c>
      <x:c r="B383" s="366" t="n">
        <x:v>5</x:v>
      </x:c>
      <x:c r="C383" s="366" t="str">
        <x:v>Especialización I</x:v>
      </x:c>
      <x:c r="D383" s="366" t="str">
        <x:v>Inteligencia artificial y aprendizaje automático</x:v>
      </x:c>
      <x:c r="E383" s="366" t="str">
        <x:v>Datos, BI e IA</x:v>
      </x:c>
      <x:c r="F383" s="366" t="str">
        <x:v>Ingeniería de prompts y contexto</x:v>
      </x:c>
      <x:c r="G383" s="366" t="str">
        <x:v>Ingeniería de prompts y contexto. Fundamentos, evaluación rigurosa, implementación, despliegue responsable y aplicaciones.</x:v>
      </x:c>
      <x:c r="H383" s="366" t="str">
        <x:v>DAI-038</x:v>
      </x:c>
      <x:c r="I383" s="366" t="str">
        <x:v>Dominio profesional</x:v>
      </x:c>
      <x:c r="J383" s="366" t="n">
        <x:v>2</x:v>
      </x:c>
      <x:c r="K383" s="366" t="n">
        <x:v>28</x:v>
      </x:c>
      <x:c r="L383" s="366" t="n">
        <x:v>36</x:v>
      </x:c>
      <x:c r="M383" s="366" t="n">
        <x:v>20</x:v>
      </x:c>
      <x:c r="N383" s="367" t="n">
        <x:f>SUM(K383:M383)</x:f>
        <x:v>84</x:v>
      </x:c>
      <x:c r="O383" s="368" t="n">
        <x:f>N383/25</x:f>
        <x:v>3.36</x:v>
      </x:c>
      <x:c r="P383" s="366" t="str">
        <x:v>Modelo evaluado y desplegado: Ingeniería de prompts y contexto.</x:v>
      </x:c>
      <x:c r="Q383" s="366" t="str">
        <x:v>S01; S07; S12; S18; S19; S20; S38</x:v>
      </x:c>
      <x:c r="R383" s="366" t="str">
        <x:v>No iniciado</x:v>
      </x:c>
      <x:c r="S383" s="369" t="n">
        <x:v>0</x:v>
      </x:c>
      <x:c r="T383" s="370"/>
      <x:c r="U383" s="370"/>
      <x:c r="V383" s="366" t="str">
        <x:v>Une estadística, bases de datos, investigación operativa, aprendizaje automático e IA generativa.</x:v>
      </x:c>
      <x:c r="W383" s="366" t="str">
        <x:v>Alta: práctica vigente</x:v>
      </x:c>
      <x:c r="X383" s="366" t="str">
        <x:v>Presente 2026 y corto (2027–2029)</x:v>
      </x:c>
      <x:c r="Y383" s="366" t="str">
        <x:v>Actual</x:v>
      </x:c>
      <x:c r="Z383" s="366" t="str">
        <x:v>12 meses</x:v>
      </x:c>
      <x:c r="AA383" s="366" t="str">
        <x:v>Modelos multimodales, IA agente, causalidad, privacidad, aprendizaje federado, evaluación y gobernanza.</x:v>
      </x:c>
    </x:row>
    <x:row r="384" ht="58" customHeight="1">
      <x:c r="A384" s="351" t="str">
        <x:v>EIO-028</x:v>
      </x:c>
      <x:c r="B384" s="351" t="n">
        <x:v>5</x:v>
      </x:c>
      <x:c r="C384" s="351" t="str">
        <x:v>Especialización I</x:v>
      </x:c>
      <x:c r="D384" s="351" t="str">
        <x:v>Embebidos e Internet de las Cosas</x:v>
      </x:c>
      <x:c r="E384" s="351" t="str">
        <x:v>Electrónica, embebidos e IoT</x:v>
      </x:c>
      <x:c r="F384" s="351" t="str">
        <x:v>Diseño de wearables</x:v>
      </x:c>
      <x:c r="G384" s="351" t="str">
        <x:v>Diseño de wearables. Integración hardware–software, comunicaciones, energía, seguridad y despliegue.</x:v>
      </x:c>
      <x:c r="H384" s="351" t="str">
        <x:v>EIO-027</x:v>
      </x:c>
      <x:c r="I384" s="351" t="str">
        <x:v>Dominio profesional</x:v>
      </x:c>
      <x:c r="J384" s="351" t="n">
        <x:v>2</x:v>
      </x:c>
      <x:c r="K384" s="351" t="n">
        <x:v>20</x:v>
      </x:c>
      <x:c r="L384" s="351" t="n">
        <x:v>52</x:v>
      </x:c>
      <x:c r="M384" s="351" t="n">
        <x:v>20</x:v>
      </x:c>
      <x:c r="N384" s="352" t="n">
        <x:f>SUM(K384:M384)</x:f>
        <x:v>92</x:v>
      </x:c>
      <x:c r="O384" s="353" t="n">
        <x:f>N384/25</x:f>
        <x:v>3.68</x:v>
      </x:c>
      <x:c r="P384" s="351" t="str">
        <x:v>Dispositivo IoT funcional: Diseño de wearables.</x:v>
      </x:c>
      <x:c r="Q384" s="351" t="str">
        <x:v>S02; S04; S18; S21; S24; S26</x:v>
      </x:c>
      <x:c r="R384" s="351" t="str">
        <x:v>No iniciado</x:v>
      </x:c>
      <x:c r="S384" s="354" t="n">
        <x:v>0</x:v>
      </x:c>
      <x:c r="T384" s="355"/>
      <x:c r="U384" s="355"/>
      <x:c r="V384" s="351" t="str">
        <x:v>Desciende de electricidad, radio, semiconductores, microcontroladores y control digital.</x:v>
      </x:c>
      <x:c r="W384" s="351" t="str">
        <x:v>Alta: práctica vigente</x:v>
      </x:c>
      <x:c r="X384" s="351" t="str">
        <x:v>Presente 2026 y corto (2027–2029)</x:v>
      </x:c>
      <x:c r="Y384" s="351" t="str">
        <x:v>Actual</x:v>
      </x:c>
      <x:c r="Z384" s="351" t="str">
        <x:v>12 meses</x:v>
      </x:c>
      <x:c r="AA384" s="351" t="str">
        <x:v>TinyML, gemelos digitales, sensores distribuidos, diseño abierto y electrónica flexible o integrada.</x:v>
      </x:c>
    </x:row>
    <x:row r="385" ht="58" customHeight="1">
      <x:c r="A385" s="366" t="str">
        <x:v>EIO-029</x:v>
      </x:c>
      <x:c r="B385" s="366" t="n">
        <x:v>5</x:v>
      </x:c>
      <x:c r="C385" s="366" t="str">
        <x:v>Especialización I</x:v>
      </x:c>
      <x:c r="D385" s="366" t="str">
        <x:v>Embebidos e Internet de las Cosas</x:v>
      </x:c>
      <x:c r="E385" s="366" t="str">
        <x:v>Electrónica, embebidos e IoT</x:v>
      </x:c>
      <x:c r="F385" s="366" t="str">
        <x:v>IoT industrial</x:v>
      </x:c>
      <x:c r="G385" s="366" t="str">
        <x:v>IoT industrial. Integración hardware–software, comunicaciones, energía, seguridad y despliegue.</x:v>
      </x:c>
      <x:c r="H385" s="366" t="str">
        <x:v>EIO-028</x:v>
      </x:c>
      <x:c r="I385" s="366" t="str">
        <x:v>Dominio profesional</x:v>
      </x:c>
      <x:c r="J385" s="366" t="n">
        <x:v>2</x:v>
      </x:c>
      <x:c r="K385" s="366" t="n">
        <x:v>20</x:v>
      </x:c>
      <x:c r="L385" s="366" t="n">
        <x:v>52</x:v>
      </x:c>
      <x:c r="M385" s="366" t="n">
        <x:v>20</x:v>
      </x:c>
      <x:c r="N385" s="367" t="n">
        <x:f>SUM(K385:M385)</x:f>
        <x:v>92</x:v>
      </x:c>
      <x:c r="O385" s="368" t="n">
        <x:f>N385/25</x:f>
        <x:v>3.68</x:v>
      </x:c>
      <x:c r="P385" s="366" t="str">
        <x:v>Dispositivo IoT funcional: IoT industrial.</x:v>
      </x:c>
      <x:c r="Q385" s="366" t="str">
        <x:v>S02; S04; S18; S21; S24; S26</x:v>
      </x:c>
      <x:c r="R385" s="366" t="str">
        <x:v>No iniciado</x:v>
      </x:c>
      <x:c r="S385" s="369" t="n">
        <x:v>0</x:v>
      </x:c>
      <x:c r="T385" s="370"/>
      <x:c r="U385" s="370"/>
      <x:c r="V385" s="366" t="str">
        <x:v>Desciende de electricidad, radio, semiconductores, microcontroladores y control digital.</x:v>
      </x:c>
      <x:c r="W385" s="366" t="str">
        <x:v>Alta: práctica vigente</x:v>
      </x:c>
      <x:c r="X385" s="366" t="str">
        <x:v>Presente 2026 y corto (2027–2029)</x:v>
      </x:c>
      <x:c r="Y385" s="366" t="str">
        <x:v>Actual</x:v>
      </x:c>
      <x:c r="Z385" s="366" t="str">
        <x:v>12 meses</x:v>
      </x:c>
      <x:c r="AA385" s="366" t="str">
        <x:v>TinyML, gemelos digitales, sensores distribuidos, diseño abierto y electrónica flexible o integrada.</x:v>
      </x:c>
    </x:row>
    <x:row r="386" ht="58" customHeight="1">
      <x:c r="A386" s="351" t="str">
        <x:v>EIO-030</x:v>
      </x:c>
      <x:c r="B386" s="351" t="n">
        <x:v>5</x:v>
      </x:c>
      <x:c r="C386" s="351" t="str">
        <x:v>Especialización I</x:v>
      </x:c>
      <x:c r="D386" s="351" t="str">
        <x:v>Embebidos e Internet de las Cosas</x:v>
      </x:c>
      <x:c r="E386" s="351" t="str">
        <x:v>Electrónica, embebidos e IoT</x:v>
      </x:c>
      <x:c r="F386" s="351" t="str">
        <x:v>Gemelos digitales</x:v>
      </x:c>
      <x:c r="G386" s="351" t="str">
        <x:v>Gemelos digitales. Integración hardware–software, comunicaciones, energía, seguridad y despliegue.</x:v>
      </x:c>
      <x:c r="H386" s="351" t="str">
        <x:v>EIO-029</x:v>
      </x:c>
      <x:c r="I386" s="351" t="str">
        <x:v>Dominio profesional</x:v>
      </x:c>
      <x:c r="J386" s="351" t="n">
        <x:v>2</x:v>
      </x:c>
      <x:c r="K386" s="351" t="n">
        <x:v>20</x:v>
      </x:c>
      <x:c r="L386" s="351" t="n">
        <x:v>52</x:v>
      </x:c>
      <x:c r="M386" s="351" t="n">
        <x:v>20</x:v>
      </x:c>
      <x:c r="N386" s="352" t="n">
        <x:f>SUM(K386:M386)</x:f>
        <x:v>92</x:v>
      </x:c>
      <x:c r="O386" s="353" t="n">
        <x:f>N386/25</x:f>
        <x:v>3.68</x:v>
      </x:c>
      <x:c r="P386" s="351" t="str">
        <x:v>Dispositivo IoT funcional: Gemelos digitales.</x:v>
      </x:c>
      <x:c r="Q386" s="351" t="str">
        <x:v>S02; S04; S18; S21; S24; S26</x:v>
      </x:c>
      <x:c r="R386" s="351" t="str">
        <x:v>No iniciado</x:v>
      </x:c>
      <x:c r="S386" s="354" t="n">
        <x:v>0</x:v>
      </x:c>
      <x:c r="T386" s="355"/>
      <x:c r="U386" s="355"/>
      <x:c r="V386" s="351" t="str">
        <x:v>Desciende de electricidad, radio, semiconductores, microcontroladores y control digital.</x:v>
      </x:c>
      <x:c r="W386" s="351" t="str">
        <x:v>Alta: práctica vigente</x:v>
      </x:c>
      <x:c r="X386" s="351" t="str">
        <x:v>Presente 2026 y corto (2027–2029)</x:v>
      </x:c>
      <x:c r="Y386" s="351" t="str">
        <x:v>Actual</x:v>
      </x:c>
      <x:c r="Z386" s="351" t="str">
        <x:v>12 meses</x:v>
      </x:c>
      <x:c r="AA386" s="351" t="str">
        <x:v>TinyML, gemelos digitales, sensores distribuidos, diseño abierto y electrónica flexible o integrada.</x:v>
      </x:c>
    </x:row>
    <x:row r="387" ht="58" customHeight="1">
      <x:c r="A387" s="366" t="str">
        <x:v>GXR-007</x:v>
      </x:c>
      <x:c r="B387" s="366" t="n">
        <x:v>5</x:v>
      </x:c>
      <x:c r="C387" s="366" t="str">
        <x:v>Especialización I</x:v>
      </x:c>
      <x:c r="D387" s="366" t="str">
        <x:v>Computación gráfica, videojuegos y entornos</x:v>
      </x:c>
      <x:c r="E387" s="366" t="str">
        <x:v>Gráficos, juegos y XR</x:v>
      </x:c>
      <x:c r="F387" s="366" t="str">
        <x:v>Simulación física para gráficos</x:v>
      </x:c>
      <x:c r="G387" s="366" t="str">
        <x:v>Simulación física para gráficos. Matemática visual, interacción en tiempo real, optimización, experiencia y producción.</x:v>
      </x:c>
      <x:c r="H387" s="366" t="str">
        <x:v>GXR-006</x:v>
      </x:c>
      <x:c r="I387" s="366" t="str">
        <x:v>Dominio profesional</x:v>
      </x:c>
      <x:c r="J387" s="366" t="n">
        <x:v>2</x:v>
      </x:c>
      <x:c r="K387" s="366" t="n">
        <x:v>18</x:v>
      </x:c>
      <x:c r="L387" s="366" t="n">
        <x:v>52</x:v>
      </x:c>
      <x:c r="M387" s="366" t="n">
        <x:v>26</x:v>
      </x:c>
      <x:c r="N387" s="367" t="n">
        <x:f>SUM(K387:M387)</x:f>
        <x:v>96</x:v>
      </x:c>
      <x:c r="O387" s="368" t="n">
        <x:f>N387/25</x:f>
        <x:v>3.84</x:v>
      </x:c>
      <x:c r="P387" s="366" t="str">
        <x:v>Demo interactiva: Simulación física para gráficos.</x:v>
      </x:c>
      <x:c r="Q387" s="366" t="str">
        <x:v>S01; S12; S18; S20; S22; S23</x:v>
      </x:c>
      <x:c r="R387" s="366" t="str">
        <x:v>No iniciado</x:v>
      </x:c>
      <x:c r="S387" s="369" t="n">
        <x:v>0</x:v>
      </x:c>
      <x:c r="T387" s="370"/>
      <x:c r="U387" s="370"/>
      <x:c r="V387" s="366" t="str">
        <x:v>Combina geometría, óptica, simulación, interacción, animación y cómputo en tiempo real.</x:v>
      </x:c>
      <x:c r="W387" s="366" t="str">
        <x:v>Alta: práctica vigente</x:v>
      </x:c>
      <x:c r="X387" s="366" t="str">
        <x:v>Presente 2026 y corto (2027–2029)</x:v>
      </x:c>
      <x:c r="Y387" s="366" t="str">
        <x:v>Actual</x:v>
      </x:c>
      <x:c r="Z387" s="366" t="str">
        <x:v>12 meses</x:v>
      </x:c>
      <x:c r="AA387" s="366" t="str">
        <x:v>Render neural, computación espacial, captura volumétrica, háptica y mundos persistentes interoperables.</x:v>
      </x:c>
    </x:row>
    <x:row r="388" ht="58" customHeight="1">
      <x:c r="A388" s="351" t="str">
        <x:v>GXR-008</x:v>
      </x:c>
      <x:c r="B388" s="351" t="n">
        <x:v>5</x:v>
      </x:c>
      <x:c r="C388" s="351" t="str">
        <x:v>Especialización I</x:v>
      </x:c>
      <x:c r="D388" s="351" t="str">
        <x:v>Computación gráfica, videojuegos y entornos</x:v>
      </x:c>
      <x:c r="E388" s="351" t="str">
        <x:v>Gráficos, juegos y XR</x:v>
      </x:c>
      <x:c r="F388" s="351" t="str">
        <x:v>Diseño de videojuegos</x:v>
      </x:c>
      <x:c r="G388" s="351" t="str">
        <x:v>Diseño de videojuegos. Matemática visual, interacción en tiempo real, optimización, experiencia y producción.</x:v>
      </x:c>
      <x:c r="H388" s="351" t="str">
        <x:v>GXR-007</x:v>
      </x:c>
      <x:c r="I388" s="351" t="str">
        <x:v>Dominio profesional</x:v>
      </x:c>
      <x:c r="J388" s="351" t="n">
        <x:v>2</x:v>
      </x:c>
      <x:c r="K388" s="351" t="n">
        <x:v>18</x:v>
      </x:c>
      <x:c r="L388" s="351" t="n">
        <x:v>52</x:v>
      </x:c>
      <x:c r="M388" s="351" t="n">
        <x:v>26</x:v>
      </x:c>
      <x:c r="N388" s="352" t="n">
        <x:f>SUM(K388:M388)</x:f>
        <x:v>96</x:v>
      </x:c>
      <x:c r="O388" s="353" t="n">
        <x:f>N388/25</x:f>
        <x:v>3.84</x:v>
      </x:c>
      <x:c r="P388" s="351" t="str">
        <x:v>Demo interactiva: Diseño de videojuegos.</x:v>
      </x:c>
      <x:c r="Q388" s="351" t="str">
        <x:v>S01; S12; S18; S20; S22; S23</x:v>
      </x:c>
      <x:c r="R388" s="351" t="str">
        <x:v>No iniciado</x:v>
      </x:c>
      <x:c r="S388" s="354" t="n">
        <x:v>0</x:v>
      </x:c>
      <x:c r="T388" s="355"/>
      <x:c r="U388" s="355"/>
      <x:c r="V388" s="351" t="str">
        <x:v>Combina geometría, óptica, simulación, interacción, animación y cómputo en tiempo real.</x:v>
      </x:c>
      <x:c r="W388" s="351" t="str">
        <x:v>Alta: práctica vigente</x:v>
      </x:c>
      <x:c r="X388" s="351" t="str">
        <x:v>Presente 2026 y corto (2027–2029)</x:v>
      </x:c>
      <x:c r="Y388" s="351" t="str">
        <x:v>Actual</x:v>
      </x:c>
      <x:c r="Z388" s="351" t="str">
        <x:v>12 meses</x:v>
      </x:c>
      <x:c r="AA388" s="351" t="str">
        <x:v>Render neural, computación espacial, captura volumétrica, háptica y mundos persistentes interoperables.</x:v>
      </x:c>
    </x:row>
    <x:row r="389" ht="58" customHeight="1">
      <x:c r="A389" s="366" t="str">
        <x:v>GXR-009</x:v>
      </x:c>
      <x:c r="B389" s="366" t="n">
        <x:v>5</x:v>
      </x:c>
      <x:c r="C389" s="366" t="str">
        <x:v>Especialización I</x:v>
      </x:c>
      <x:c r="D389" s="366" t="str">
        <x:v>Computación gráfica, videojuegos y entornos</x:v>
      </x:c>
      <x:c r="E389" s="366" t="str">
        <x:v>Gráficos, juegos y XR</x:v>
      </x:c>
      <x:c r="F389" s="366" t="str">
        <x:v>Programación de videojuegos</x:v>
      </x:c>
      <x:c r="G389" s="366" t="str">
        <x:v>Programación de videojuegos. Matemática visual, interacción en tiempo real, optimización, experiencia y producción.</x:v>
      </x:c>
      <x:c r="H389" s="366" t="str">
        <x:v>GXR-008</x:v>
      </x:c>
      <x:c r="I389" s="366" t="str">
        <x:v>Dominio profesional</x:v>
      </x:c>
      <x:c r="J389" s="366" t="n">
        <x:v>2</x:v>
      </x:c>
      <x:c r="K389" s="366" t="n">
        <x:v>18</x:v>
      </x:c>
      <x:c r="L389" s="366" t="n">
        <x:v>52</x:v>
      </x:c>
      <x:c r="M389" s="366" t="n">
        <x:v>26</x:v>
      </x:c>
      <x:c r="N389" s="367" t="n">
        <x:f>SUM(K389:M389)</x:f>
        <x:v>96</x:v>
      </x:c>
      <x:c r="O389" s="368" t="n">
        <x:f>N389/25</x:f>
        <x:v>3.84</x:v>
      </x:c>
      <x:c r="P389" s="366" t="str">
        <x:v>Demo interactiva: Programación de videojuegos.</x:v>
      </x:c>
      <x:c r="Q389" s="366" t="str">
        <x:v>S01; S12; S18; S20; S22; S23</x:v>
      </x:c>
      <x:c r="R389" s="366" t="str">
        <x:v>No iniciado</x:v>
      </x:c>
      <x:c r="S389" s="369" t="n">
        <x:v>0</x:v>
      </x:c>
      <x:c r="T389" s="370"/>
      <x:c r="U389" s="370"/>
      <x:c r="V389" s="366" t="str">
        <x:v>Combina geometría, óptica, simulación, interacción, animación y cómputo en tiempo real.</x:v>
      </x:c>
      <x:c r="W389" s="366" t="str">
        <x:v>Alta: práctica vigente</x:v>
      </x:c>
      <x:c r="X389" s="366" t="str">
        <x:v>Presente 2026 y corto (2027–2029)</x:v>
      </x:c>
      <x:c r="Y389" s="366" t="str">
        <x:v>Actual</x:v>
      </x:c>
      <x:c r="Z389" s="366" t="str">
        <x:v>12 meses</x:v>
      </x:c>
      <x:c r="AA389" s="366" t="str">
        <x:v>Render neural, computación espacial, captura volumétrica, háptica y mundos persistentes interoperables.</x:v>
      </x:c>
    </x:row>
    <x:row r="390" ht="58" customHeight="1">
      <x:c r="A390" s="351" t="str">
        <x:v>GXR-010</x:v>
      </x:c>
      <x:c r="B390" s="351" t="n">
        <x:v>5</x:v>
      </x:c>
      <x:c r="C390" s="351" t="str">
        <x:v>Especialización I</x:v>
      </x:c>
      <x:c r="D390" s="351" t="str">
        <x:v>Computación gráfica, videojuegos y entornos</x:v>
      </x:c>
      <x:c r="E390" s="351" t="str">
        <x:v>Gráficos, juegos y XR</x:v>
      </x:c>
      <x:c r="F390" s="351" t="str">
        <x:v>Arquitectura de motores de juego</x:v>
      </x:c>
      <x:c r="G390" s="351" t="str">
        <x:v>Arquitectura de motores de juego. Matemática visual, interacción en tiempo real, optimización, experiencia y producción.</x:v>
      </x:c>
      <x:c r="H390" s="351" t="str">
        <x:v>GXR-009</x:v>
      </x:c>
      <x:c r="I390" s="351" t="str">
        <x:v>Dominio profesional</x:v>
      </x:c>
      <x:c r="J390" s="351" t="n">
        <x:v>2</x:v>
      </x:c>
      <x:c r="K390" s="351" t="n">
        <x:v>18</x:v>
      </x:c>
      <x:c r="L390" s="351" t="n">
        <x:v>52</x:v>
      </x:c>
      <x:c r="M390" s="351" t="n">
        <x:v>26</x:v>
      </x:c>
      <x:c r="N390" s="352" t="n">
        <x:f>SUM(K390:M390)</x:f>
        <x:v>96</x:v>
      </x:c>
      <x:c r="O390" s="353" t="n">
        <x:f>N390/25</x:f>
        <x:v>3.84</x:v>
      </x:c>
      <x:c r="P390" s="351" t="str">
        <x:v>Demo interactiva: Arquitectura de motores de juego.</x:v>
      </x:c>
      <x:c r="Q390" s="351" t="str">
        <x:v>S01; S12; S18; S20; S22; S23</x:v>
      </x:c>
      <x:c r="R390" s="351" t="str">
        <x:v>No iniciado</x:v>
      </x:c>
      <x:c r="S390" s="354" t="n">
        <x:v>0</x:v>
      </x:c>
      <x:c r="T390" s="355"/>
      <x:c r="U390" s="355"/>
      <x:c r="V390" s="351" t="str">
        <x:v>Combina geometría, óptica, simulación, interacción, animación y cómputo en tiempo real.</x:v>
      </x:c>
      <x:c r="W390" s="351" t="str">
        <x:v>Alta: práctica vigente</x:v>
      </x:c>
      <x:c r="X390" s="351" t="str">
        <x:v>Presente 2026 y corto (2027–2029)</x:v>
      </x:c>
      <x:c r="Y390" s="351" t="str">
        <x:v>Actual</x:v>
      </x:c>
      <x:c r="Z390" s="351" t="str">
        <x:v>12 meses</x:v>
      </x:c>
      <x:c r="AA390" s="351" t="str">
        <x:v>Render neural, computación espacial, captura volumétrica, háptica y mundos persistentes interoperables.</x:v>
      </x:c>
    </x:row>
    <x:row r="391" ht="58" customHeight="1">
      <x:c r="A391" s="366" t="str">
        <x:v>GXR-011</x:v>
      </x:c>
      <x:c r="B391" s="366" t="n">
        <x:v>5</x:v>
      </x:c>
      <x:c r="C391" s="366" t="str">
        <x:v>Especialización I</x:v>
      </x:c>
      <x:c r="D391" s="366" t="str">
        <x:v>Computación gráfica, videojuegos y entornos</x:v>
      </x:c>
      <x:c r="E391" s="366" t="str">
        <x:v>Gráficos, juegos y XR</x:v>
      </x:c>
      <x:c r="F391" s="366" t="str">
        <x:v>Unity</x:v>
      </x:c>
      <x:c r="G391" s="366" t="str">
        <x:v>Unity. Matemática visual, interacción en tiempo real, optimización, experiencia y producción.</x:v>
      </x:c>
      <x:c r="H391" s="366" t="str">
        <x:v>GXR-010</x:v>
      </x:c>
      <x:c r="I391" s="366" t="str">
        <x:v>Dominio profesional</x:v>
      </x:c>
      <x:c r="J391" s="366" t="n">
        <x:v>2</x:v>
      </x:c>
      <x:c r="K391" s="366" t="n">
        <x:v>18</x:v>
      </x:c>
      <x:c r="L391" s="366" t="n">
        <x:v>52</x:v>
      </x:c>
      <x:c r="M391" s="366" t="n">
        <x:v>26</x:v>
      </x:c>
      <x:c r="N391" s="367" t="n">
        <x:f>SUM(K391:M391)</x:f>
        <x:v>96</x:v>
      </x:c>
      <x:c r="O391" s="368" t="n">
        <x:f>N391/25</x:f>
        <x:v>3.84</x:v>
      </x:c>
      <x:c r="P391" s="366" t="str">
        <x:v>Demo interactiva: Unity.</x:v>
      </x:c>
      <x:c r="Q391" s="366" t="str">
        <x:v>S01; S12; S18; S20; S22; S23</x:v>
      </x:c>
      <x:c r="R391" s="366" t="str">
        <x:v>No iniciado</x:v>
      </x:c>
      <x:c r="S391" s="369" t="n">
        <x:v>0</x:v>
      </x:c>
      <x:c r="T391" s="370"/>
      <x:c r="U391" s="370"/>
      <x:c r="V391" s="366" t="str">
        <x:v>Combina geometría, óptica, simulación, interacción, animación y cómputo en tiempo real.</x:v>
      </x:c>
      <x:c r="W391" s="366" t="str">
        <x:v>Alta: práctica vigente</x:v>
      </x:c>
      <x:c r="X391" s="366" t="str">
        <x:v>Presente 2026 y corto (2027–2029)</x:v>
      </x:c>
      <x:c r="Y391" s="366" t="str">
        <x:v>Actual</x:v>
      </x:c>
      <x:c r="Z391" s="366" t="str">
        <x:v>12 meses</x:v>
      </x:c>
      <x:c r="AA391" s="366" t="str">
        <x:v>Render neural, computación espacial, captura volumétrica, háptica y mundos persistentes interoperables.</x:v>
      </x:c>
    </x:row>
    <x:row r="392" ht="58" customHeight="1">
      <x:c r="A392" s="351" t="str">
        <x:v>GXR-012</x:v>
      </x:c>
      <x:c r="B392" s="351" t="n">
        <x:v>5</x:v>
      </x:c>
      <x:c r="C392" s="351" t="str">
        <x:v>Especialización I</x:v>
      </x:c>
      <x:c r="D392" s="351" t="str">
        <x:v>Computación gráfica, videojuegos y entornos</x:v>
      </x:c>
      <x:c r="E392" s="351" t="str">
        <x:v>Gráficos, juegos y XR</x:v>
      </x:c>
      <x:c r="F392" s="351" t="str">
        <x:v>Unreal Engine</x:v>
      </x:c>
      <x:c r="G392" s="351" t="str">
        <x:v>Unreal Engine. Matemática visual, interacción en tiempo real, optimización, experiencia y producción.</x:v>
      </x:c>
      <x:c r="H392" s="351" t="str">
        <x:v>GXR-011</x:v>
      </x:c>
      <x:c r="I392" s="351" t="str">
        <x:v>Dominio profesional</x:v>
      </x:c>
      <x:c r="J392" s="351" t="n">
        <x:v>2</x:v>
      </x:c>
      <x:c r="K392" s="351" t="n">
        <x:v>18</x:v>
      </x:c>
      <x:c r="L392" s="351" t="n">
        <x:v>52</x:v>
      </x:c>
      <x:c r="M392" s="351" t="n">
        <x:v>26</x:v>
      </x:c>
      <x:c r="N392" s="352" t="n">
        <x:f>SUM(K392:M392)</x:f>
        <x:v>96</x:v>
      </x:c>
      <x:c r="O392" s="353" t="n">
        <x:f>N392/25</x:f>
        <x:v>3.84</x:v>
      </x:c>
      <x:c r="P392" s="351" t="str">
        <x:v>Demo interactiva: Unreal Engine.</x:v>
      </x:c>
      <x:c r="Q392" s="351" t="str">
        <x:v>S01; S12; S18; S20; S22; S23</x:v>
      </x:c>
      <x:c r="R392" s="351" t="str">
        <x:v>No iniciado</x:v>
      </x:c>
      <x:c r="S392" s="354" t="n">
        <x:v>0</x:v>
      </x:c>
      <x:c r="T392" s="355"/>
      <x:c r="U392" s="355"/>
      <x:c r="V392" s="351" t="str">
        <x:v>Combina geometría, óptica, simulación, interacción, animación y cómputo en tiempo real.</x:v>
      </x:c>
      <x:c r="W392" s="351" t="str">
        <x:v>Alta: práctica vigente</x:v>
      </x:c>
      <x:c r="X392" s="351" t="str">
        <x:v>Presente 2026 y corto (2027–2029)</x:v>
      </x:c>
      <x:c r="Y392" s="351" t="str">
        <x:v>Actual</x:v>
      </x:c>
      <x:c r="Z392" s="351" t="str">
        <x:v>12 meses</x:v>
      </x:c>
      <x:c r="AA392" s="351" t="str">
        <x:v>Render neural, computación espacial, captura volumétrica, háptica y mundos persistentes interoperables.</x:v>
      </x:c>
    </x:row>
    <x:row r="393" ht="58" customHeight="1">
      <x:c r="A393" s="366" t="str">
        <x:v>SWE-035</x:v>
      </x:c>
      <x:c r="B393" s="366" t="n">
        <x:v>5</x:v>
      </x:c>
      <x:c r="C393" s="366" t="str">
        <x:v>Especialización I</x:v>
      </x:c>
      <x:c r="D393" s="366" t="str">
        <x:v>Desarrollo de aplicaciones</x:v>
      </x:c>
      <x:c r="E393" s="366" t="str">
        <x:v>Ingeniería de software</x:v>
      </x:c>
      <x:c r="F393" s="366" t="str">
        <x:v>Arquitecturas serverless</x:v>
      </x:c>
      <x:c r="G393" s="366" t="str">
        <x:v>Arquitecturas serverless. Construcción, despliegue, observabilidad, seguridad y experiencia de usuario.</x:v>
      </x:c>
      <x:c r="H393" s="366" t="str">
        <x:v>SWE-034</x:v>
      </x:c>
      <x:c r="I393" s="366" t="str">
        <x:v>Dominio profesional</x:v>
      </x:c>
      <x:c r="J393" s="366" t="n">
        <x:v>2</x:v>
      </x:c>
      <x:c r="K393" s="366" t="n">
        <x:v>20</x:v>
      </x:c>
      <x:c r="L393" s="366" t="n">
        <x:v>52</x:v>
      </x:c>
      <x:c r="M393" s="366" t="n">
        <x:v>20</x:v>
      </x:c>
      <x:c r="N393" s="367" t="n">
        <x:f>SUM(K393:M393)</x:f>
        <x:v>92</x:v>
      </x:c>
      <x:c r="O393" s="368" t="n">
        <x:f>N393/25</x:f>
        <x:v>3.68</x:v>
      </x:c>
      <x:c r="P393" s="366" t="str">
        <x:v>Aplicación desplegada: Arquitecturas serverless.</x:v>
      </x:c>
      <x:c r="Q393" s="366" t="str">
        <x:v>S05; S18; S19; S22; S23</x:v>
      </x:c>
      <x:c r="R393" s="366" t="str">
        <x:v>No iniciado</x:v>
      </x:c>
      <x:c r="S393" s="369" t="n">
        <x:v>0</x:v>
      </x:c>
      <x:c r="T393" s="370"/>
      <x:c r="U393" s="370"/>
      <x:c r="V393" s="366" t="str">
        <x:v>Surge al escalar la programación desde programas individuales hacia productos complejos y mantenibles.</x:v>
      </x:c>
      <x:c r="W393" s="366" t="str">
        <x:v>Alta: práctica vigente</x:v>
      </x:c>
      <x:c r="X393" s="366" t="str">
        <x:v>Presente 2026 y corto (2027–2029)</x:v>
      </x:c>
      <x:c r="Y393" s="366" t="str">
        <x:v>Actual</x:v>
      </x:c>
      <x:c r="Z393" s="366" t="str">
        <x:v>12 meses</x:v>
      </x:c>
      <x:c r="AA393" s="366" t="str">
        <x:v>Ingeniería asistida por IA, agentes de desarrollo, plataformas internas, evidencia de calidad y cadena de suministro.</x:v>
      </x:c>
    </x:row>
    <x:row r="394" ht="58" customHeight="1">
      <x:c r="A394" s="351" t="str">
        <x:v>SWE-036</x:v>
      </x:c>
      <x:c r="B394" s="351" t="n">
        <x:v>5</x:v>
      </x:c>
      <x:c r="C394" s="351" t="str">
        <x:v>Especialización I</x:v>
      </x:c>
      <x:c r="D394" s="351" t="str">
        <x:v>Desarrollo de aplicaciones</x:v>
      </x:c>
      <x:c r="E394" s="351" t="str">
        <x:v>Ingeniería de software</x:v>
      </x:c>
      <x:c r="F394" s="351" t="str">
        <x:v>Plataformas SaaS multiusuario</x:v>
      </x:c>
      <x:c r="G394" s="351" t="str">
        <x:v>Plataformas SaaS multiusuario. Construcción, despliegue, observabilidad, seguridad y experiencia de usuario.</x:v>
      </x:c>
      <x:c r="H394" s="351" t="str">
        <x:v>SWE-035</x:v>
      </x:c>
      <x:c r="I394" s="351" t="str">
        <x:v>Dominio profesional</x:v>
      </x:c>
      <x:c r="J394" s="351" t="n">
        <x:v>2</x:v>
      </x:c>
      <x:c r="K394" s="351" t="n">
        <x:v>20</x:v>
      </x:c>
      <x:c r="L394" s="351" t="n">
        <x:v>52</x:v>
      </x:c>
      <x:c r="M394" s="351" t="n">
        <x:v>20</x:v>
      </x:c>
      <x:c r="N394" s="352" t="n">
        <x:f>SUM(K394:M394)</x:f>
        <x:v>92</x:v>
      </x:c>
      <x:c r="O394" s="353" t="n">
        <x:f>N394/25</x:f>
        <x:v>3.68</x:v>
      </x:c>
      <x:c r="P394" s="351" t="str">
        <x:v>Aplicación desplegada: Plataformas SaaS multiusuario.</x:v>
      </x:c>
      <x:c r="Q394" s="351" t="str">
        <x:v>S05; S18; S19; S22; S23</x:v>
      </x:c>
      <x:c r="R394" s="351" t="str">
        <x:v>No iniciado</x:v>
      </x:c>
      <x:c r="S394" s="354" t="n">
        <x:v>0</x:v>
      </x:c>
      <x:c r="T394" s="355"/>
      <x:c r="U394" s="355"/>
      <x:c r="V394" s="351" t="str">
        <x:v>Surge al escalar la programación desde programas individuales hacia productos complejos y mantenibles.</x:v>
      </x:c>
      <x:c r="W394" s="351" t="str">
        <x:v>Alta: práctica vigente</x:v>
      </x:c>
      <x:c r="X394" s="351" t="str">
        <x:v>Presente 2026 y corto (2027–2029)</x:v>
      </x:c>
      <x:c r="Y394" s="351" t="str">
        <x:v>Actual</x:v>
      </x:c>
      <x:c r="Z394" s="351" t="str">
        <x:v>12 meses</x:v>
      </x:c>
      <x:c r="AA394" s="351" t="str">
        <x:v>Ingeniería asistida por IA, agentes de desarrollo, plataformas internas, evidencia de calidad y cadena de suministro.</x:v>
      </x:c>
    </x:row>
    <x:row r="395" ht="58" customHeight="1">
      <x:c r="A395" s="366" t="str">
        <x:v>SWE-037</x:v>
      </x:c>
      <x:c r="B395" s="366" t="n">
        <x:v>5</x:v>
      </x:c>
      <x:c r="C395" s="366" t="str">
        <x:v>Especialización I</x:v>
      </x:c>
      <x:c r="D395" s="366" t="str">
        <x:v>Desarrollo de aplicaciones</x:v>
      </x:c>
      <x:c r="E395" s="366" t="str">
        <x:v>Ingeniería de software</x:v>
      </x:c>
      <x:c r="F395" s="366" t="str">
        <x:v>Low-code, no-code y RPA</x:v>
      </x:c>
      <x:c r="G395" s="366" t="str">
        <x:v>Low-code, no-code y RPA. Construcción, despliegue, observabilidad, seguridad y experiencia de usuario.</x:v>
      </x:c>
      <x:c r="H395" s="366" t="str">
        <x:v>SWE-036</x:v>
      </x:c>
      <x:c r="I395" s="366" t="str">
        <x:v>Dominio profesional</x:v>
      </x:c>
      <x:c r="J395" s="366" t="n">
        <x:v>2</x:v>
      </x:c>
      <x:c r="K395" s="366" t="n">
        <x:v>20</x:v>
      </x:c>
      <x:c r="L395" s="366" t="n">
        <x:v>52</x:v>
      </x:c>
      <x:c r="M395" s="366" t="n">
        <x:v>20</x:v>
      </x:c>
      <x:c r="N395" s="367" t="n">
        <x:f>SUM(K395:M395)</x:f>
        <x:v>92</x:v>
      </x:c>
      <x:c r="O395" s="368" t="n">
        <x:f>N395/25</x:f>
        <x:v>3.68</x:v>
      </x:c>
      <x:c r="P395" s="366" t="str">
        <x:v>Aplicación desplegada: Low-code, no-code y RPA.</x:v>
      </x:c>
      <x:c r="Q395" s="366" t="str">
        <x:v>S05; S18; S19; S22; S23</x:v>
      </x:c>
      <x:c r="R395" s="366" t="str">
        <x:v>No iniciado</x:v>
      </x:c>
      <x:c r="S395" s="369" t="n">
        <x:v>0</x:v>
      </x:c>
      <x:c r="T395" s="370"/>
      <x:c r="U395" s="370"/>
      <x:c r="V395" s="366" t="str">
        <x:v>Surge al escalar la programación desde programas individuales hacia productos complejos y mantenibles.</x:v>
      </x:c>
      <x:c r="W395" s="366" t="str">
        <x:v>Alta: práctica vigente</x:v>
      </x:c>
      <x:c r="X395" s="366" t="str">
        <x:v>Presente 2026 y corto (2027–2029)</x:v>
      </x:c>
      <x:c r="Y395" s="366" t="str">
        <x:v>Actual</x:v>
      </x:c>
      <x:c r="Z395" s="366" t="str">
        <x:v>12 meses</x:v>
      </x:c>
      <x:c r="AA395" s="366" t="str">
        <x:v>Ingeniería asistida por IA, agentes de desarrollo, plataformas internas, evidencia de calidad y cadena de suministro.</x:v>
      </x:c>
    </x:row>
    <x:row r="396" ht="58" customHeight="1">
      <x:c r="A396" s="351" t="str">
        <x:v>SWE-038</x:v>
      </x:c>
      <x:c r="B396" s="351" t="n">
        <x:v>5</x:v>
      </x:c>
      <x:c r="C396" s="351" t="str">
        <x:v>Especialización I</x:v>
      </x:c>
      <x:c r="D396" s="351" t="str">
        <x:v>Desarrollo de aplicaciones</x:v>
      </x:c>
      <x:c r="E396" s="351" t="str">
        <x:v>Ingeniería de software</x:v>
      </x:c>
      <x:c r="F396" s="351" t="str">
        <x:v>Comercio electrónico</x:v>
      </x:c>
      <x:c r="G396" s="351" t="str">
        <x:v>Comercio electrónico. Construcción, despliegue, observabilidad, seguridad y experiencia de usuario.</x:v>
      </x:c>
      <x:c r="H396" s="351" t="str">
        <x:v>SWE-037</x:v>
      </x:c>
      <x:c r="I396" s="351" t="str">
        <x:v>Dominio profesional</x:v>
      </x:c>
      <x:c r="J396" s="351" t="n">
        <x:v>2</x:v>
      </x:c>
      <x:c r="K396" s="351" t="n">
        <x:v>20</x:v>
      </x:c>
      <x:c r="L396" s="351" t="n">
        <x:v>52</x:v>
      </x:c>
      <x:c r="M396" s="351" t="n">
        <x:v>20</x:v>
      </x:c>
      <x:c r="N396" s="352" t="n">
        <x:f>SUM(K396:M396)</x:f>
        <x:v>92</x:v>
      </x:c>
      <x:c r="O396" s="353" t="n">
        <x:f>N396/25</x:f>
        <x:v>3.68</x:v>
      </x:c>
      <x:c r="P396" s="351" t="str">
        <x:v>Aplicación desplegada: Comercio electrónico.</x:v>
      </x:c>
      <x:c r="Q396" s="351" t="str">
        <x:v>S05; S18; S19; S22; S23</x:v>
      </x:c>
      <x:c r="R396" s="351" t="str">
        <x:v>No iniciado</x:v>
      </x:c>
      <x:c r="S396" s="354" t="n">
        <x:v>0</x:v>
      </x:c>
      <x:c r="T396" s="355"/>
      <x:c r="U396" s="355"/>
      <x:c r="V396" s="351" t="str">
        <x:v>Surge al escalar la programación desde programas individuales hacia productos complejos y mantenibles.</x:v>
      </x:c>
      <x:c r="W396" s="351" t="str">
        <x:v>Alta: práctica vigente</x:v>
      </x:c>
      <x:c r="X396" s="351" t="str">
        <x:v>Presente 2026 y corto (2027–2029)</x:v>
      </x:c>
      <x:c r="Y396" s="351" t="str">
        <x:v>Actual</x:v>
      </x:c>
      <x:c r="Z396" s="351" t="str">
        <x:v>12 meses</x:v>
      </x:c>
      <x:c r="AA396" s="351" t="str">
        <x:v>Ingeniería asistida por IA, agentes de desarrollo, plataformas internas, evidencia de calidad y cadena de suministro.</x:v>
      </x:c>
    </x:row>
    <x:row r="397" ht="58" customHeight="1">
      <x:c r="A397" s="366" t="str">
        <x:v>SWE-039</x:v>
      </x:c>
      <x:c r="B397" s="366" t="n">
        <x:v>5</x:v>
      </x:c>
      <x:c r="C397" s="366" t="str">
        <x:v>Especialización I</x:v>
      </x:c>
      <x:c r="D397" s="366" t="str">
        <x:v>Desarrollo de aplicaciones</x:v>
      </x:c>
      <x:c r="E397" s="366" t="str">
        <x:v>Ingeniería de software</x:v>
      </x:c>
      <x:c r="F397" s="366" t="str">
        <x:v>Modernización de sistemas legados</x:v>
      </x:c>
      <x:c r="G397" s="366" t="str">
        <x:v>Modernización de sistemas legados. Construcción, despliegue, observabilidad, seguridad y experiencia de usuario.</x:v>
      </x:c>
      <x:c r="H397" s="366" t="str">
        <x:v>SWE-038</x:v>
      </x:c>
      <x:c r="I397" s="366" t="str">
        <x:v>Dominio profesional</x:v>
      </x:c>
      <x:c r="J397" s="366" t="n">
        <x:v>2</x:v>
      </x:c>
      <x:c r="K397" s="366" t="n">
        <x:v>20</x:v>
      </x:c>
      <x:c r="L397" s="366" t="n">
        <x:v>52</x:v>
      </x:c>
      <x:c r="M397" s="366" t="n">
        <x:v>20</x:v>
      </x:c>
      <x:c r="N397" s="367" t="n">
        <x:f>SUM(K397:M397)</x:f>
        <x:v>92</x:v>
      </x:c>
      <x:c r="O397" s="368" t="n">
        <x:f>N397/25</x:f>
        <x:v>3.68</x:v>
      </x:c>
      <x:c r="P397" s="366" t="str">
        <x:v>Aplicación desplegada: Modernización de sistemas legados.</x:v>
      </x:c>
      <x:c r="Q397" s="366" t="str">
        <x:v>S05; S18; S19; S22; S23</x:v>
      </x:c>
      <x:c r="R397" s="366" t="str">
        <x:v>No iniciado</x:v>
      </x:c>
      <x:c r="S397" s="369" t="n">
        <x:v>0</x:v>
      </x:c>
      <x:c r="T397" s="370"/>
      <x:c r="U397" s="370"/>
      <x:c r="V397" s="366" t="str">
        <x:v>Surge al escalar la programación desde programas individuales hacia productos complejos y mantenibles.</x:v>
      </x:c>
      <x:c r="W397" s="366" t="str">
        <x:v>Alta: práctica vigente</x:v>
      </x:c>
      <x:c r="X397" s="366" t="str">
        <x:v>Presente 2026 y corto (2027–2029)</x:v>
      </x:c>
      <x:c r="Y397" s="366" t="str">
        <x:v>Actual</x:v>
      </x:c>
      <x:c r="Z397" s="366" t="str">
        <x:v>12 meses</x:v>
      </x:c>
      <x:c r="AA397" s="366" t="str">
        <x:v>Ingeniería asistida por IA, agentes de desarrollo, plataformas internas, evidencia de calidad y cadena de suministro.</x:v>
      </x:c>
    </x:row>
    <x:row r="398" ht="58" customHeight="1">
      <x:c r="A398" s="351" t="str">
        <x:v>SWE-040</x:v>
      </x:c>
      <x:c r="B398" s="351" t="n">
        <x:v>5</x:v>
      </x:c>
      <x:c r="C398" s="351" t="str">
        <x:v>Especialización I</x:v>
      </x:c>
      <x:c r="D398" s="351" t="str">
        <x:v>Desarrollo de aplicaciones</x:v>
      </x:c>
      <x:c r="E398" s="351" t="str">
        <x:v>Ingeniería de software</x:v>
      </x:c>
      <x:c r="F398" s="351" t="str">
        <x:v>Ingeniería de plataformas internas</x:v>
      </x:c>
      <x:c r="G398" s="351" t="str">
        <x:v>Ingeniería de plataformas internas. Construcción, despliegue, observabilidad, seguridad y experiencia de usuario.</x:v>
      </x:c>
      <x:c r="H398" s="351" t="str">
        <x:v>SWE-039</x:v>
      </x:c>
      <x:c r="I398" s="351" t="str">
        <x:v>Dominio profesional</x:v>
      </x:c>
      <x:c r="J398" s="351" t="n">
        <x:v>2</x:v>
      </x:c>
      <x:c r="K398" s="351" t="n">
        <x:v>20</x:v>
      </x:c>
      <x:c r="L398" s="351" t="n">
        <x:v>52</x:v>
      </x:c>
      <x:c r="M398" s="351" t="n">
        <x:v>20</x:v>
      </x:c>
      <x:c r="N398" s="352" t="n">
        <x:f>SUM(K398:M398)</x:f>
        <x:v>92</x:v>
      </x:c>
      <x:c r="O398" s="353" t="n">
        <x:f>N398/25</x:f>
        <x:v>3.68</x:v>
      </x:c>
      <x:c r="P398" s="351" t="str">
        <x:v>Aplicación desplegada: Ingeniería de plataformas internas.</x:v>
      </x:c>
      <x:c r="Q398" s="351" t="str">
        <x:v>S05; S18; S19; S22; S23</x:v>
      </x:c>
      <x:c r="R398" s="351" t="str">
        <x:v>No iniciado</x:v>
      </x:c>
      <x:c r="S398" s="354" t="n">
        <x:v>0</x:v>
      </x:c>
      <x:c r="T398" s="355"/>
      <x:c r="U398" s="355"/>
      <x:c r="V398" s="351" t="str">
        <x:v>Surge al escalar la programación desde programas individuales hacia productos complejos y mantenibles.</x:v>
      </x:c>
      <x:c r="W398" s="351" t="str">
        <x:v>Alta: práctica vigente</x:v>
      </x:c>
      <x:c r="X398" s="351" t="str">
        <x:v>Presente 2026 y corto (2027–2029)</x:v>
      </x:c>
      <x:c r="Y398" s="351" t="str">
        <x:v>Actual</x:v>
      </x:c>
      <x:c r="Z398" s="351" t="str">
        <x:v>12 meses</x:v>
      </x:c>
      <x:c r="AA398" s="351" t="str">
        <x:v>Ingeniería asistida por IA, agentes de desarrollo, plataformas internas, evidencia de calidad y cadena de suministro.</x:v>
      </x:c>
    </x:row>
    <x:row r="399" ht="58" customHeight="1">
      <x:c r="A399" s="366" t="str">
        <x:v>CAP-015</x:v>
      </x:c>
      <x:c r="B399" s="366" t="n">
        <x:v>5</x:v>
      </x:c>
      <x:c r="C399" s="366" t="str">
        <x:v>Especialización I</x:v>
      </x:c>
      <x:c r="D399" s="366" t="str">
        <x:v>Proyectos integradores</x:v>
      </x:c>
      <x:c r="E399" s="366" t="str">
        <x:v>Investigación, profesión y capstones</x:v>
      </x:c>
      <x:c r="F399" s="366" t="str">
        <x:v>Capstone III: redes, sistemas y cloud</x:v>
      </x:c>
      <x:c r="G399" s="366" t="str">
        <x:v>Capstone III: redes, sistemas y cloud. Problema real, requisitos, diseño, implementación, validación, documentación, ética y defensa pública.</x:v>
      </x:c>
      <x:c r="H399" s="366" t="str">
        <x:v>CAP-014</x:v>
      </x:c>
      <x:c r="I399" s="366" t="str">
        <x:v>Núcleo esencial</x:v>
      </x:c>
      <x:c r="J399" s="366" t="n">
        <x:v>1</x:v>
      </x:c>
      <x:c r="K399" s="366" t="n">
        <x:v>20</x:v>
      </x:c>
      <x:c r="L399" s="366" t="n">
        <x:v>24</x:v>
      </x:c>
      <x:c r="M399" s="366" t="n">
        <x:v>56</x:v>
      </x:c>
      <x:c r="N399" s="367" t="n">
        <x:f>SUM(K399:M399)</x:f>
        <x:v>100</x:v>
      </x:c>
      <x:c r="O399" s="368" t="n">
        <x:f>N399/25</x:f>
        <x:v>4</x:v>
      </x:c>
      <x:c r="P399" s="366" t="str">
        <x:v>Capstone integral: Capstone III: redes, sistemas y cloud.</x:v>
      </x:c>
      <x:c r="Q399" s="366" t="str">
        <x:v>S03; S04; S09; S11; S12; S18</x:v>
      </x:c>
      <x:c r="R399" s="366" t="str">
        <x:v>No iniciado</x:v>
      </x:c>
      <x:c r="S399" s="369" t="n">
        <x:v>0</x:v>
      </x:c>
      <x:c r="T399" s="370"/>
      <x:c r="U399" s="370"/>
      <x:c r="V399" s="366" t="str">
        <x:v>Hereda método científico, ingeniería, revisión por pares, ética profesional e innovación.</x:v>
      </x:c>
      <x:c r="W399" s="366" t="str">
        <x:v>Muy alta: fundamento durable</x:v>
      </x:c>
      <x:c r="X399" s="366" t="str">
        <x:v>Presente 2026 y corto (2027–2029)</x:v>
      </x:c>
      <x:c r="Y399" s="366" t="str">
        <x:v>Actual</x:v>
      </x:c>
      <x:c r="Z399" s="366" t="str">
        <x:v>12 meses</x:v>
      </x:c>
      <x:c r="AA399" s="366" t="str">
        <x:v>Ciencia asistida por IA, inteligencia de patentes/estándares y actualización curricular basada en señales.</x:v>
      </x:c>
    </x:row>
    <x:row r="400" ht="58" customHeight="1">
      <x:c r="A400" s="351" t="str">
        <x:v>CAP-016</x:v>
      </x:c>
      <x:c r="B400" s="351" t="n">
        <x:v>5</x:v>
      </x:c>
      <x:c r="C400" s="351" t="str">
        <x:v>Especialización I</x:v>
      </x:c>
      <x:c r="D400" s="351" t="str">
        <x:v>Proyectos integradores</x:v>
      </x:c>
      <x:c r="E400" s="351" t="str">
        <x:v>Investigación, profesión y capstones</x:v>
      </x:c>
      <x:c r="F400" s="351" t="str">
        <x:v>Capstone IV: ciberseguridad defensiva y auditoría</x:v>
      </x:c>
      <x:c r="G400" s="351" t="str">
        <x:v>Capstone IV: ciberseguridad defensiva y auditoría. Problema real, requisitos, diseño, implementación, validación, documentación, ética y defensa pública.</x:v>
      </x:c>
      <x:c r="H400" s="351" t="str">
        <x:v>CAP-015</x:v>
      </x:c>
      <x:c r="I400" s="351" t="str">
        <x:v>Núcleo esencial</x:v>
      </x:c>
      <x:c r="J400" s="351" t="n">
        <x:v>1</x:v>
      </x:c>
      <x:c r="K400" s="351" t="n">
        <x:v>20</x:v>
      </x:c>
      <x:c r="L400" s="351" t="n">
        <x:v>24</x:v>
      </x:c>
      <x:c r="M400" s="351" t="n">
        <x:v>56</x:v>
      </x:c>
      <x:c r="N400" s="352" t="n">
        <x:f>SUM(K400:M400)</x:f>
        <x:v>100</x:v>
      </x:c>
      <x:c r="O400" s="353" t="n">
        <x:f>N400/25</x:f>
        <x:v>4</x:v>
      </x:c>
      <x:c r="P400" s="351" t="str">
        <x:v>Capstone integral: Capstone IV: ciberseguridad defensiva y auditoría.</x:v>
      </x:c>
      <x:c r="Q400" s="351" t="str">
        <x:v>S03; S04; S09; S11; S12; S18</x:v>
      </x:c>
      <x:c r="R400" s="351" t="str">
        <x:v>No iniciado</x:v>
      </x:c>
      <x:c r="S400" s="354" t="n">
        <x:v>0</x:v>
      </x:c>
      <x:c r="T400" s="355"/>
      <x:c r="U400" s="355"/>
      <x:c r="V400" s="351" t="str">
        <x:v>Hereda método científico, ingeniería, revisión por pares, ética profesional e innovación.</x:v>
      </x:c>
      <x:c r="W400" s="351" t="str">
        <x:v>Muy alta: fundamento durable</x:v>
      </x:c>
      <x:c r="X400" s="351" t="str">
        <x:v>Presente 2026 y corto (2027–2029)</x:v>
      </x:c>
      <x:c r="Y400" s="351" t="str">
        <x:v>Actual</x:v>
      </x:c>
      <x:c r="Z400" s="351" t="str">
        <x:v>12 meses</x:v>
      </x:c>
      <x:c r="AA400" s="351" t="str">
        <x:v>Ciencia asistida por IA, inteligencia de patentes/estándares y actualización curricular basada en señales.</x:v>
      </x:c>
    </x:row>
    <x:row r="401" ht="58" customHeight="1">
      <x:c r="A401" s="366" t="str">
        <x:v>CAP-025</x:v>
      </x:c>
      <x:c r="B401" s="366" t="n">
        <x:v>5</x:v>
      </x:c>
      <x:c r="C401" s="366" t="str">
        <x:v>Especialización I</x:v>
      </x:c>
      <x:c r="D401" s="366" t="str">
        <x:v>Historia, prospectiva y vigilancia tecnológica</x:v>
      </x:c>
      <x:c r="E401" s="366" t="str">
        <x:v>Investigación, profesión y capstones</x:v>
      </x:c>
      <x:c r="F401" s="366" t="str">
        <x:v>Historia global de la computación y las revoluciones tecnológicas</x:v>
      </x:c>
      <x:c r="G401" s="366" t="str">
        <x:v>Historia global de la computación y las revoluciones tecnológicas. Reconstrucción histórica, análisis de evidencia, escenarios alternativos, señales tempranas, madurez tecnológica y revisión periódica de decisiones.</x:v>
      </x:c>
      <x:c r="H401" s="366" t="str">
        <x:v>CAP-003</x:v>
      </x:c>
      <x:c r="I401" s="366" t="str">
        <x:v>Núcleo esencial</x:v>
      </x:c>
      <x:c r="J401" s="366" t="n">
        <x:v>1</x:v>
      </x:c>
      <x:c r="K401" s="366" t="n">
        <x:v>20</x:v>
      </x:c>
      <x:c r="L401" s="366" t="n">
        <x:v>24</x:v>
      </x:c>
      <x:c r="M401" s="366" t="n">
        <x:v>56</x:v>
      </x:c>
      <x:c r="N401" s="367" t="n">
        <x:f>SUM(K401:M401)</x:f>
        <x:v>100</x:v>
      </x:c>
      <x:c r="O401" s="368" t="n">
        <x:f>N401/25</x:f>
        <x:v>4</x:v>
      </x:c>
      <x:c r="P401" s="366" t="str">
        <x:v>Dossier temporal y radar auditado: Historia global de la computación y las revoluciones tecnológicas.</x:v>
      </x:c>
      <x:c r="Q401" s="366" t="str">
        <x:v>S50; S51; S52; S53; S54; S61; S62; S63; S64; S67; S68</x:v>
      </x:c>
      <x:c r="R401" s="366" t="str">
        <x:v>No iniciado</x:v>
      </x:c>
      <x:c r="S401" s="369" t="n">
        <x:v>0</x:v>
      </x:c>
      <x:c r="T401" s="370"/>
      <x:c r="U401" s="370"/>
      <x:c r="V401" s="366" t="str">
        <x:v>Hereda método científico, ingeniería, revisión por pares, ética profesional e innovación.</x:v>
      </x:c>
      <x:c r="W401" s="366" t="str">
        <x:v>Muy alta: fundamento durable</x:v>
      </x:c>
      <x:c r="X401" s="366" t="str">
        <x:v>Presente 2026 y corto (2027–2029)</x:v>
      </x:c>
      <x:c r="Y401" s="366" t="str">
        <x:v>Actual</x:v>
      </x:c>
      <x:c r="Z401" s="366" t="str">
        <x:v>12 meses</x:v>
      </x:c>
      <x:c r="AA401" s="366" t="str">
        <x:v>Ciencia asistida por IA, inteligencia de patentes/estándares y actualización curricular basada en señales.</x:v>
      </x:c>
    </x:row>
    <x:row r="402" ht="58" customHeight="1">
      <x:c r="A402" s="351" t="str">
        <x:v>CAP-026</x:v>
      </x:c>
      <x:c r="B402" s="351" t="n">
        <x:v>5</x:v>
      </x:c>
      <x:c r="C402" s="351" t="str">
        <x:v>Especialización I</x:v>
      </x:c>
      <x:c r="D402" s="351" t="str">
        <x:v>Historia, prospectiva y vigilancia tecnológica</x:v>
      </x:c>
      <x:c r="E402" s="351" t="str">
        <x:v>Investigación, profesión y capstones</x:v>
      </x:c>
      <x:c r="F402" s="351" t="str">
        <x:v>Filosofía, epistemología y economía política de la tecnología</x:v>
      </x:c>
      <x:c r="G402" s="351" t="str">
        <x:v>Filosofía, epistemología y economía política de la tecnología. Reconstrucción histórica, análisis de evidencia, escenarios alternativos, señales tempranas, madurez tecnológica y revisión periódica de decisiones.</x:v>
      </x:c>
      <x:c r="H402" s="351" t="str">
        <x:v>CAP-025</x:v>
      </x:c>
      <x:c r="I402" s="351" t="str">
        <x:v>Núcleo esencial</x:v>
      </x:c>
      <x:c r="J402" s="351" t="n">
        <x:v>1</x:v>
      </x:c>
      <x:c r="K402" s="351" t="n">
        <x:v>20</x:v>
      </x:c>
      <x:c r="L402" s="351" t="n">
        <x:v>24</x:v>
      </x:c>
      <x:c r="M402" s="351" t="n">
        <x:v>56</x:v>
      </x:c>
      <x:c r="N402" s="352" t="n">
        <x:f>SUM(K402:M402)</x:f>
        <x:v>100</x:v>
      </x:c>
      <x:c r="O402" s="353" t="n">
        <x:f>N402/25</x:f>
        <x:v>4</x:v>
      </x:c>
      <x:c r="P402" s="351" t="str">
        <x:v>Dossier temporal y radar auditado: Filosofía, epistemología y economía política de la tecnología.</x:v>
      </x:c>
      <x:c r="Q402" s="351" t="str">
        <x:v>S50; S51; S52; S53; S54; S61; S62; S63; S64; S67; S68</x:v>
      </x:c>
      <x:c r="R402" s="351" t="str">
        <x:v>No iniciado</x:v>
      </x:c>
      <x:c r="S402" s="354" t="n">
        <x:v>0</x:v>
      </x:c>
      <x:c r="T402" s="355"/>
      <x:c r="U402" s="355"/>
      <x:c r="V402" s="351" t="str">
        <x:v>Hereda método científico, ingeniería, revisión por pares, ética profesional e innovación.</x:v>
      </x:c>
      <x:c r="W402" s="351" t="str">
        <x:v>Muy alta: fundamento durable</x:v>
      </x:c>
      <x:c r="X402" s="351" t="str">
        <x:v>Presente 2026 y corto (2027–2029)</x:v>
      </x:c>
      <x:c r="Y402" s="351" t="str">
        <x:v>Actual</x:v>
      </x:c>
      <x:c r="Z402" s="351" t="str">
        <x:v>12 meses</x:v>
      </x:c>
      <x:c r="AA402" s="351" t="str">
        <x:v>Ciencia asistida por IA, inteligencia de patentes/estándares y actualización curricular basada en señales.</x:v>
      </x:c>
    </x:row>
    <x:row r="403" ht="58" customHeight="1">
      <x:c r="A403" s="366" t="str">
        <x:v>NET-019</x:v>
      </x:c>
      <x:c r="B403" s="366" t="n">
        <x:v>5</x:v>
      </x:c>
      <x:c r="C403" s="366" t="str">
        <x:v>Especialización I</x:v>
      </x:c>
      <x:c r="D403" s="366" t="str">
        <x:v>Redes y telecomunicaciones</x:v>
      </x:c>
      <x:c r="E403" s="366" t="str">
        <x:v>Redes, telecom y cloud</x:v>
      </x:c>
      <x:c r="F403" s="366" t="str">
        <x:v>Arquitectura y operación de ISP</x:v>
      </x:c>
      <x:c r="G403" s="366" t="str">
        <x:v>Arquitectura y operación de ISP. Diseño, configuración, medición, automatización, disponibilidad y seguridad.</x:v>
      </x:c>
      <x:c r="H403" s="366" t="str">
        <x:v>NET-018</x:v>
      </x:c>
      <x:c r="I403" s="366" t="str">
        <x:v>Núcleo esencial</x:v>
      </x:c>
      <x:c r="J403" s="366" t="n">
        <x:v>1</x:v>
      </x:c>
      <x:c r="K403" s="366" t="n">
        <x:v>36</x:v>
      </x:c>
      <x:c r="L403" s="366" t="n">
        <x:v>42</x:v>
      </x:c>
      <x:c r="M403" s="366" t="n">
        <x:v>22</x:v>
      </x:c>
      <x:c r="N403" s="367" t="n">
        <x:f>SUM(K403:M403)</x:f>
        <x:v>100</x:v>
      </x:c>
      <x:c r="O403" s="368" t="n">
        <x:f>N403/25</x:f>
        <x:v>4</x:v>
      </x:c>
      <x:c r="P403" s="366" t="str">
        <x:v>Topología documentada y probada: Arquitectura y operación de ISP.</x:v>
      </x:c>
      <x:c r="Q403" s="366" t="str">
        <x:v>S03; S04; S17; S18; S27</x:v>
      </x:c>
      <x:c r="R403" s="366" t="str">
        <x:v>No iniciado</x:v>
      </x:c>
      <x:c r="S403" s="369" t="n">
        <x:v>0</x:v>
      </x:c>
      <x:c r="T403" s="370"/>
      <x:c r="U403" s="370"/>
      <x:c r="V403" s="366" t="str">
        <x:v>Integra telegrafía, telefonía, conmutación de paquetes, Internet, virtualización y nube.</x:v>
      </x:c>
      <x:c r="W403" s="366" t="str">
        <x:v>Muy alta: fundamento durable</x:v>
      </x:c>
      <x:c r="X403" s="366" t="str">
        <x:v>Presente 2026 y corto (2027–2029)</x:v>
      </x:c>
      <x:c r="Y403" s="366" t="str">
        <x:v>Actual</x:v>
      </x:c>
      <x:c r="Z403" s="366" t="str">
        <x:v>12 meses</x:v>
      </x:c>
      <x:c r="AA403" s="366" t="str">
        <x:v>5G-Advanced, IMT-2030/6G, edge, redes no terrestres, nube soberana y operación autónoma.</x:v>
      </x:c>
    </x:row>
    <x:row r="404" ht="58" customHeight="1">
      <x:c r="A404" s="351" t="str">
        <x:v>NET-034</x:v>
      </x:c>
      <x:c r="B404" s="351" t="n">
        <x:v>5</x:v>
      </x:c>
      <x:c r="C404" s="351" t="str">
        <x:v>Especialización I</x:v>
      </x:c>
      <x:c r="D404" s="351" t="str">
        <x:v>Administración de sistemas y nube</x:v>
      </x:c>
      <x:c r="E404" s="351" t="str">
        <x:v>Redes, telecom y cloud</x:v>
      </x:c>
      <x:c r="F404" s="351" t="str">
        <x:v>Helm, operadores y GitOps</x:v>
      </x:c>
      <x:c r="G404" s="351" t="str">
        <x:v>Helm, operadores y GitOps. Implementación, automatización, identidad, monitoreo, continuidad y optimización de costos.</x:v>
      </x:c>
      <x:c r="H404" s="351" t="str">
        <x:v>NET-033</x:v>
      </x:c>
      <x:c r="I404" s="351" t="str">
        <x:v>Dominio profesional</x:v>
      </x:c>
      <x:c r="J404" s="351" t="n">
        <x:v>2</x:v>
      </x:c>
      <x:c r="K404" s="351" t="n">
        <x:v>20</x:v>
      </x:c>
      <x:c r="L404" s="351" t="n">
        <x:v>52</x:v>
      </x:c>
      <x:c r="M404" s="351" t="n">
        <x:v>20</x:v>
      </x:c>
      <x:c r="N404" s="352" t="n">
        <x:f>SUM(K404:M404)</x:f>
        <x:v>92</x:v>
      </x:c>
      <x:c r="O404" s="353" t="n">
        <x:f>N404/25</x:f>
        <x:v>3.68</x:v>
      </x:c>
      <x:c r="P404" s="351" t="str">
        <x:v>Infraestructura como código: Helm, operadores y GitOps.</x:v>
      </x:c>
      <x:c r="Q404" s="351" t="str">
        <x:v>S03; S28; S29; S30; S31</x:v>
      </x:c>
      <x:c r="R404" s="351" t="str">
        <x:v>No iniciado</x:v>
      </x:c>
      <x:c r="S404" s="354" t="n">
        <x:v>0</x:v>
      </x:c>
      <x:c r="T404" s="355"/>
      <x:c r="U404" s="355"/>
      <x:c r="V404" s="351" t="str">
        <x:v>Integra telegrafía, telefonía, conmutación de paquetes, Internet, virtualización y nube.</x:v>
      </x:c>
      <x:c r="W404" s="351" t="str">
        <x:v>Alta: práctica vigente</x:v>
      </x:c>
      <x:c r="X404" s="351" t="str">
        <x:v>Presente 2026 y corto (2027–2029)</x:v>
      </x:c>
      <x:c r="Y404" s="351" t="str">
        <x:v>Actual</x:v>
      </x:c>
      <x:c r="Z404" s="351" t="str">
        <x:v>12 meses</x:v>
      </x:c>
      <x:c r="AA404" s="351" t="str">
        <x:v>5G-Advanced, IMT-2030/6G, edge, redes no terrestres, nube soberana y operación autónoma.</x:v>
      </x:c>
    </x:row>
    <x:row r="405" ht="58" customHeight="1">
      <x:c r="A405" s="366" t="str">
        <x:v>NET-035</x:v>
      </x:c>
      <x:c r="B405" s="366" t="n">
        <x:v>5</x:v>
      </x:c>
      <x:c r="C405" s="366" t="str">
        <x:v>Especialización I</x:v>
      </x:c>
      <x:c r="D405" s="366" t="str">
        <x:v>Administración de sistemas y nube</x:v>
      </x:c>
      <x:c r="E405" s="366" t="str">
        <x:v>Redes, telecom y cloud</x:v>
      </x:c>
      <x:c r="F405" s="366" t="str">
        <x:v>Service mesh</x:v>
      </x:c>
      <x:c r="G405" s="366" t="str">
        <x:v>Service mesh. Implementación, automatización, identidad, monitoreo, continuidad y optimización de costos.</x:v>
      </x:c>
      <x:c r="H405" s="366" t="str">
        <x:v>NET-034</x:v>
      </x:c>
      <x:c r="I405" s="366" t="str">
        <x:v>Dominio profesional</x:v>
      </x:c>
      <x:c r="J405" s="366" t="n">
        <x:v>2</x:v>
      </x:c>
      <x:c r="K405" s="366" t="n">
        <x:v>20</x:v>
      </x:c>
      <x:c r="L405" s="366" t="n">
        <x:v>52</x:v>
      </x:c>
      <x:c r="M405" s="366" t="n">
        <x:v>20</x:v>
      </x:c>
      <x:c r="N405" s="367" t="n">
        <x:f>SUM(K405:M405)</x:f>
        <x:v>92</x:v>
      </x:c>
      <x:c r="O405" s="368" t="n">
        <x:f>N405/25</x:f>
        <x:v>3.68</x:v>
      </x:c>
      <x:c r="P405" s="366" t="str">
        <x:v>Infraestructura como código: Service mesh.</x:v>
      </x:c>
      <x:c r="Q405" s="366" t="str">
        <x:v>S03; S28; S29; S30; S31</x:v>
      </x:c>
      <x:c r="R405" s="366" t="str">
        <x:v>No iniciado</x:v>
      </x:c>
      <x:c r="S405" s="369" t="n">
        <x:v>0</x:v>
      </x:c>
      <x:c r="T405" s="370"/>
      <x:c r="U405" s="370"/>
      <x:c r="V405" s="366" t="str">
        <x:v>Integra telegrafía, telefonía, conmutación de paquetes, Internet, virtualización y nube.</x:v>
      </x:c>
      <x:c r="W405" s="366" t="str">
        <x:v>Alta: práctica vigente</x:v>
      </x:c>
      <x:c r="X405" s="366" t="str">
        <x:v>Presente 2026 y corto (2027–2029)</x:v>
      </x:c>
      <x:c r="Y405" s="366" t="str">
        <x:v>Actual</x:v>
      </x:c>
      <x:c r="Z405" s="366" t="str">
        <x:v>12 meses</x:v>
      </x:c>
      <x:c r="AA405" s="366" t="str">
        <x:v>5G-Advanced, IMT-2030/6G, edge, redes no terrestres, nube soberana y operación autónoma.</x:v>
      </x:c>
    </x:row>
    <x:row r="406" ht="58" customHeight="1">
      <x:c r="A406" s="351" t="str">
        <x:v>NET-036</x:v>
      </x:c>
      <x:c r="B406" s="351" t="n">
        <x:v>5</x:v>
      </x:c>
      <x:c r="C406" s="351" t="str">
        <x:v>Especialización I</x:v>
      </x:c>
      <x:c r="D406" s="351" t="str">
        <x:v>Administración de sistemas y nube</x:v>
      </x:c>
      <x:c r="E406" s="351" t="str">
        <x:v>Redes, telecom y cloud</x:v>
      </x:c>
      <x:c r="F406" s="351" t="str">
        <x:v>Observabilidad: métricas, logs y trazas</x:v>
      </x:c>
      <x:c r="G406" s="351" t="str">
        <x:v>Observabilidad: métricas, logs y trazas. Implementación, automatización, identidad, monitoreo, continuidad y optimización de costos.</x:v>
      </x:c>
      <x:c r="H406" s="351" t="str">
        <x:v>NET-035</x:v>
      </x:c>
      <x:c r="I406" s="351" t="str">
        <x:v>Dominio profesional</x:v>
      </x:c>
      <x:c r="J406" s="351" t="n">
        <x:v>2</x:v>
      </x:c>
      <x:c r="K406" s="351" t="n">
        <x:v>20</x:v>
      </x:c>
      <x:c r="L406" s="351" t="n">
        <x:v>52</x:v>
      </x:c>
      <x:c r="M406" s="351" t="n">
        <x:v>20</x:v>
      </x:c>
      <x:c r="N406" s="352" t="n">
        <x:f>SUM(K406:M406)</x:f>
        <x:v>92</x:v>
      </x:c>
      <x:c r="O406" s="353" t="n">
        <x:f>N406/25</x:f>
        <x:v>3.68</x:v>
      </x:c>
      <x:c r="P406" s="351" t="str">
        <x:v>Infraestructura como código: Observabilidad: métricas, logs y trazas.</x:v>
      </x:c>
      <x:c r="Q406" s="351" t="str">
        <x:v>S03; S28; S29; S30; S31</x:v>
      </x:c>
      <x:c r="R406" s="351" t="str">
        <x:v>No iniciado</x:v>
      </x:c>
      <x:c r="S406" s="354" t="n">
        <x:v>0</x:v>
      </x:c>
      <x:c r="T406" s="355"/>
      <x:c r="U406" s="355"/>
      <x:c r="V406" s="351" t="str">
        <x:v>Integra telegrafía, telefonía, conmutación de paquetes, Internet, virtualización y nube.</x:v>
      </x:c>
      <x:c r="W406" s="351" t="str">
        <x:v>Alta: práctica vigente</x:v>
      </x:c>
      <x:c r="X406" s="351" t="str">
        <x:v>Presente 2026 y corto (2027–2029)</x:v>
      </x:c>
      <x:c r="Y406" s="351" t="str">
        <x:v>Actual</x:v>
      </x:c>
      <x:c r="Z406" s="351" t="str">
        <x:v>12 meses</x:v>
      </x:c>
      <x:c r="AA406" s="351" t="str">
        <x:v>5G-Advanced, IMT-2030/6G, edge, redes no terrestres, nube soberana y operación autónoma.</x:v>
      </x:c>
    </x:row>
    <x:row r="407" ht="58" customHeight="1">
      <x:c r="A407" s="366" t="str">
        <x:v>NET-037</x:v>
      </x:c>
      <x:c r="B407" s="366" t="n">
        <x:v>5</x:v>
      </x:c>
      <x:c r="C407" s="366" t="str">
        <x:v>Especialización I</x:v>
      </x:c>
      <x:c r="D407" s="366" t="str">
        <x:v>Administración de sistemas y nube</x:v>
      </x:c>
      <x:c r="E407" s="366" t="str">
        <x:v>Redes, telecom y cloud</x:v>
      </x:c>
      <x:c r="F407" s="366" t="str">
        <x:v>Site Reliability Engineering</x:v>
      </x:c>
      <x:c r="G407" s="366" t="str">
        <x:v>Site Reliability Engineering. Implementación, automatización, identidad, monitoreo, continuidad y optimización de costos.</x:v>
      </x:c>
      <x:c r="H407" s="366" t="str">
        <x:v>NET-036</x:v>
      </x:c>
      <x:c r="I407" s="366" t="str">
        <x:v>Dominio profesional</x:v>
      </x:c>
      <x:c r="J407" s="366" t="n">
        <x:v>2</x:v>
      </x:c>
      <x:c r="K407" s="366" t="n">
        <x:v>20</x:v>
      </x:c>
      <x:c r="L407" s="366" t="n">
        <x:v>52</x:v>
      </x:c>
      <x:c r="M407" s="366" t="n">
        <x:v>20</x:v>
      </x:c>
      <x:c r="N407" s="367" t="n">
        <x:f>SUM(K407:M407)</x:f>
        <x:v>92</x:v>
      </x:c>
      <x:c r="O407" s="368" t="n">
        <x:f>N407/25</x:f>
        <x:v>3.68</x:v>
      </x:c>
      <x:c r="P407" s="366" t="str">
        <x:v>Infraestructura como código: Site Reliability Engineering.</x:v>
      </x:c>
      <x:c r="Q407" s="366" t="str">
        <x:v>S03; S28; S29; S30; S31</x:v>
      </x:c>
      <x:c r="R407" s="366" t="str">
        <x:v>No iniciado</x:v>
      </x:c>
      <x:c r="S407" s="369" t="n">
        <x:v>0</x:v>
      </x:c>
      <x:c r="T407" s="370"/>
      <x:c r="U407" s="370"/>
      <x:c r="V407" s="366" t="str">
        <x:v>Integra telegrafía, telefonía, conmutación de paquetes, Internet, virtualización y nube.</x:v>
      </x:c>
      <x:c r="W407" s="366" t="str">
        <x:v>Alta: práctica vigente</x:v>
      </x:c>
      <x:c r="X407" s="366" t="str">
        <x:v>Presente 2026 y corto (2027–2029)</x:v>
      </x:c>
      <x:c r="Y407" s="366" t="str">
        <x:v>Actual</x:v>
      </x:c>
      <x:c r="Z407" s="366" t="str">
        <x:v>12 meses</x:v>
      </x:c>
      <x:c r="AA407" s="366" t="str">
        <x:v>5G-Advanced, IMT-2030/6G, edge, redes no terrestres, nube soberana y operación autónoma.</x:v>
      </x:c>
    </x:row>
    <x:row r="408" ht="58" customHeight="1">
      <x:c r="A408" s="351" t="str">
        <x:v>NET-038</x:v>
      </x:c>
      <x:c r="B408" s="351" t="n">
        <x:v>5</x:v>
      </x:c>
      <x:c r="C408" s="351" t="str">
        <x:v>Especialización I</x:v>
      </x:c>
      <x:c r="D408" s="351" t="str">
        <x:v>Administración de sistemas y nube</x:v>
      </x:c>
      <x:c r="E408" s="351" t="str">
        <x:v>Redes, telecom y cloud</x:v>
      </x:c>
      <x:c r="F408" s="351" t="str">
        <x:v>Alta disponibilidad y balanceo</x:v>
      </x:c>
      <x:c r="G408" s="351" t="str">
        <x:v>Alta disponibilidad y balanceo. Implementación, automatización, identidad, monitoreo, continuidad y optimización de costos.</x:v>
      </x:c>
      <x:c r="H408" s="351" t="str">
        <x:v>NET-037</x:v>
      </x:c>
      <x:c r="I408" s="351" t="str">
        <x:v>Dominio profesional</x:v>
      </x:c>
      <x:c r="J408" s="351" t="n">
        <x:v>2</x:v>
      </x:c>
      <x:c r="K408" s="351" t="n">
        <x:v>20</x:v>
      </x:c>
      <x:c r="L408" s="351" t="n">
        <x:v>52</x:v>
      </x:c>
      <x:c r="M408" s="351" t="n">
        <x:v>20</x:v>
      </x:c>
      <x:c r="N408" s="352" t="n">
        <x:f>SUM(K408:M408)</x:f>
        <x:v>92</x:v>
      </x:c>
      <x:c r="O408" s="353" t="n">
        <x:f>N408/25</x:f>
        <x:v>3.68</x:v>
      </x:c>
      <x:c r="P408" s="351" t="str">
        <x:v>Infraestructura como código: Alta disponibilidad y balanceo.</x:v>
      </x:c>
      <x:c r="Q408" s="351" t="str">
        <x:v>S03; S28; S29; S30; S31</x:v>
      </x:c>
      <x:c r="R408" s="351" t="str">
        <x:v>No iniciado</x:v>
      </x:c>
      <x:c r="S408" s="354" t="n">
        <x:v>0</x:v>
      </x:c>
      <x:c r="T408" s="355"/>
      <x:c r="U408" s="355"/>
      <x:c r="V408" s="351" t="str">
        <x:v>Integra telegrafía, telefonía, conmutación de paquetes, Internet, virtualización y nube.</x:v>
      </x:c>
      <x:c r="W408" s="351" t="str">
        <x:v>Alta: práctica vigente</x:v>
      </x:c>
      <x:c r="X408" s="351" t="str">
        <x:v>Presente 2026 y corto (2027–2029)</x:v>
      </x:c>
      <x:c r="Y408" s="351" t="str">
        <x:v>Actual</x:v>
      </x:c>
      <x:c r="Z408" s="351" t="str">
        <x:v>12 meses</x:v>
      </x:c>
      <x:c r="AA408" s="351" t="str">
        <x:v>5G-Advanced, IMT-2030/6G, edge, redes no terrestres, nube soberana y operación autónoma.</x:v>
      </x:c>
    </x:row>
    <x:row r="409" ht="58" customHeight="1">
      <x:c r="A409" s="366" t="str">
        <x:v>NET-039</x:v>
      </x:c>
      <x:c r="B409" s="366" t="n">
        <x:v>5</x:v>
      </x:c>
      <x:c r="C409" s="366" t="str">
        <x:v>Especialización I</x:v>
      </x:c>
      <x:c r="D409" s="366" t="str">
        <x:v>Administración de sistemas y nube</x:v>
      </x:c>
      <x:c r="E409" s="366" t="str">
        <x:v>Redes, telecom y cloud</x:v>
      </x:c>
      <x:c r="F409" s="366" t="str">
        <x:v>Backup, continuidad y recuperación ante desastres</x:v>
      </x:c>
      <x:c r="G409" s="366" t="str">
        <x:v>Backup, continuidad y recuperación ante desastres. Implementación, automatización, identidad, monitoreo, continuidad y optimización de costos.</x:v>
      </x:c>
      <x:c r="H409" s="366" t="str">
        <x:v>NET-038</x:v>
      </x:c>
      <x:c r="I409" s="366" t="str">
        <x:v>Dominio profesional</x:v>
      </x:c>
      <x:c r="J409" s="366" t="n">
        <x:v>2</x:v>
      </x:c>
      <x:c r="K409" s="366" t="n">
        <x:v>20</x:v>
      </x:c>
      <x:c r="L409" s="366" t="n">
        <x:v>52</x:v>
      </x:c>
      <x:c r="M409" s="366" t="n">
        <x:v>20</x:v>
      </x:c>
      <x:c r="N409" s="367" t="n">
        <x:f>SUM(K409:M409)</x:f>
        <x:v>92</x:v>
      </x:c>
      <x:c r="O409" s="368" t="n">
        <x:f>N409/25</x:f>
        <x:v>3.68</x:v>
      </x:c>
      <x:c r="P409" s="366" t="str">
        <x:v>Infraestructura como código: Backup, continuidad y recuperación ante desastres.</x:v>
      </x:c>
      <x:c r="Q409" s="366" t="str">
        <x:v>S03; S28; S29; S30; S31</x:v>
      </x:c>
      <x:c r="R409" s="366" t="str">
        <x:v>No iniciado</x:v>
      </x:c>
      <x:c r="S409" s="369" t="n">
        <x:v>0</x:v>
      </x:c>
      <x:c r="T409" s="370"/>
      <x:c r="U409" s="370"/>
      <x:c r="V409" s="366" t="str">
        <x:v>Integra telegrafía, telefonía, conmutación de paquetes, Internet, virtualización y nube.</x:v>
      </x:c>
      <x:c r="W409" s="366" t="str">
        <x:v>Alta: práctica vigente</x:v>
      </x:c>
      <x:c r="X409" s="366" t="str">
        <x:v>Presente 2026 y corto (2027–2029)</x:v>
      </x:c>
      <x:c r="Y409" s="366" t="str">
        <x:v>Actual</x:v>
      </x:c>
      <x:c r="Z409" s="366" t="str">
        <x:v>12 meses</x:v>
      </x:c>
      <x:c r="AA409" s="366" t="str">
        <x:v>5G-Advanced, IMT-2030/6G, edge, redes no terrestres, nube soberana y operación autónoma.</x:v>
      </x:c>
    </x:row>
    <x:row r="410" ht="58" customHeight="1">
      <x:c r="A410" s="351" t="str">
        <x:v>NET-040</x:v>
      </x:c>
      <x:c r="B410" s="351" t="n">
        <x:v>5</x:v>
      </x:c>
      <x:c r="C410" s="351" t="str">
        <x:v>Especialización I</x:v>
      </x:c>
      <x:c r="D410" s="351" t="str">
        <x:v>Administración de sistemas y nube</x:v>
      </x:c>
      <x:c r="E410" s="351" t="str">
        <x:v>Redes, telecom y cloud</x:v>
      </x:c>
      <x:c r="F410" s="351" t="str">
        <x:v>Cloud híbrida y multicloud</x:v>
      </x:c>
      <x:c r="G410" s="351" t="str">
        <x:v>Cloud híbrida y multicloud. Implementación, automatización, identidad, monitoreo, continuidad y optimización de costos.</x:v>
      </x:c>
      <x:c r="H410" s="351" t="str">
        <x:v>NET-039</x:v>
      </x:c>
      <x:c r="I410" s="351" t="str">
        <x:v>Dominio profesional</x:v>
      </x:c>
      <x:c r="J410" s="351" t="n">
        <x:v>2</x:v>
      </x:c>
      <x:c r="K410" s="351" t="n">
        <x:v>20</x:v>
      </x:c>
      <x:c r="L410" s="351" t="n">
        <x:v>52</x:v>
      </x:c>
      <x:c r="M410" s="351" t="n">
        <x:v>20</x:v>
      </x:c>
      <x:c r="N410" s="352" t="n">
        <x:f>SUM(K410:M410)</x:f>
        <x:v>92</x:v>
      </x:c>
      <x:c r="O410" s="353" t="n">
        <x:f>N410/25</x:f>
        <x:v>3.68</x:v>
      </x:c>
      <x:c r="P410" s="351" t="str">
        <x:v>Infraestructura como código: Cloud híbrida y multicloud.</x:v>
      </x:c>
      <x:c r="Q410" s="351" t="str">
        <x:v>S03; S28; S29; S30; S31</x:v>
      </x:c>
      <x:c r="R410" s="351" t="str">
        <x:v>No iniciado</x:v>
      </x:c>
      <x:c r="S410" s="354" t="n">
        <x:v>0</x:v>
      </x:c>
      <x:c r="T410" s="355"/>
      <x:c r="U410" s="355"/>
      <x:c r="V410" s="351" t="str">
        <x:v>Integra telegrafía, telefonía, conmutación de paquetes, Internet, virtualización y nube.</x:v>
      </x:c>
      <x:c r="W410" s="351" t="str">
        <x:v>Alta: práctica vigente</x:v>
      </x:c>
      <x:c r="X410" s="351" t="str">
        <x:v>Presente 2026 y corto (2027–2029)</x:v>
      </x:c>
      <x:c r="Y410" s="351" t="str">
        <x:v>Actual</x:v>
      </x:c>
      <x:c r="Z410" s="351" t="str">
        <x:v>12 meses</x:v>
      </x:c>
      <x:c r="AA410" s="351" t="str">
        <x:v>5G-Advanced, IMT-2030/6G, edge, redes no terrestres, nube soberana y operación autónoma.</x:v>
      </x:c>
    </x:row>
    <x:row r="411" ht="58" customHeight="1">
      <x:c r="A411" s="366" t="str">
        <x:v>ROB-019</x:v>
      </x:c>
      <x:c r="B411" s="366" t="n">
        <x:v>5</x:v>
      </x:c>
      <x:c r="C411" s="366" t="str">
        <x:v>Especialización I</x:v>
      </x:c>
      <x:c r="D411" s="366" t="str">
        <x:v>Robótica</x:v>
      </x:c>
      <x:c r="E411" s="366" t="str">
        <x:v>Robótica y mecatrónica</x:v>
      </x:c>
      <x:c r="F411" s="366" t="str">
        <x:v>Localización y SLAM</x:v>
      </x:c>
      <x:c r="G411" s="366" t="str">
        <x:v>Localización y SLAM. Percepción, movimiento, planificación, control, interacción y experimentación reproducible.</x:v>
      </x:c>
      <x:c r="H411" s="366" t="str">
        <x:v>ROB-018</x:v>
      </x:c>
      <x:c r="I411" s="366" t="str">
        <x:v>Dominio profesional</x:v>
      </x:c>
      <x:c r="J411" s="366" t="n">
        <x:v>2</x:v>
      </x:c>
      <x:c r="K411" s="366" t="n">
        <x:v>20</x:v>
      </x:c>
      <x:c r="L411" s="366" t="n">
        <x:v>52</x:v>
      </x:c>
      <x:c r="M411" s="366" t="n">
        <x:v>20</x:v>
      </x:c>
      <x:c r="N411" s="367" t="n">
        <x:f>SUM(K411:M411)</x:f>
        <x:v>92</x:v>
      </x:c>
      <x:c r="O411" s="368" t="n">
        <x:f>N411/25</x:f>
        <x:v>3.68</x:v>
      </x:c>
      <x:c r="P411" s="366" t="str">
        <x:v>Robot o simulación validada: Localización y SLAM.</x:v>
      </x:c>
      <x:c r="Q411" s="366" t="str">
        <x:v>S04; S12; S24; S25</x:v>
      </x:c>
      <x:c r="R411" s="366" t="str">
        <x:v>No iniciado</x:v>
      </x:c>
      <x:c r="S411" s="369" t="n">
        <x:v>0</x:v>
      </x:c>
      <x:c r="T411" s="370"/>
      <x:c r="U411" s="370"/>
      <x:c r="V411" s="366" t="str">
        <x:v>Converge mecánica, control, electrónica, percepción, planificación e inteligencia artificial.</x:v>
      </x:c>
      <x:c r="W411" s="366" t="str">
        <x:v>Alta: práctica vigente</x:v>
      </x:c>
      <x:c r="X411" s="366" t="str">
        <x:v>Presente 2026 y corto (2027–2029)</x:v>
      </x:c>
      <x:c r="Y411" s="366" t="str">
        <x:v>Actual</x:v>
      </x:c>
      <x:c r="Z411" s="366" t="str">
        <x:v>12 meses</x:v>
      </x:c>
      <x:c r="AA411" s="366" t="str">
        <x:v>IA corporeizada, robots colaborativos, autonomía, enjambres, robótica blanda y seguridad física.</x:v>
      </x:c>
    </x:row>
    <x:row r="412" ht="58" customHeight="1">
      <x:c r="A412" s="351" t="str">
        <x:v>ROB-020</x:v>
      </x:c>
      <x:c r="B412" s="351" t="n">
        <x:v>5</x:v>
      </x:c>
      <x:c r="C412" s="351" t="str">
        <x:v>Especialización I</x:v>
      </x:c>
      <x:c r="D412" s="351" t="str">
        <x:v>Robótica</x:v>
      </x:c>
      <x:c r="E412" s="351" t="str">
        <x:v>Robótica y mecatrónica</x:v>
      </x:c>
      <x:c r="F412" s="351" t="str">
        <x:v>Manipulación robótica</x:v>
      </x:c>
      <x:c r="G412" s="351" t="str">
        <x:v>Manipulación robótica. Percepción, movimiento, planificación, control, interacción y experimentación reproducible.</x:v>
      </x:c>
      <x:c r="H412" s="351" t="str">
        <x:v>ROB-019</x:v>
      </x:c>
      <x:c r="I412" s="351" t="str">
        <x:v>Dominio profesional</x:v>
      </x:c>
      <x:c r="J412" s="351" t="n">
        <x:v>2</x:v>
      </x:c>
      <x:c r="K412" s="351" t="n">
        <x:v>20</x:v>
      </x:c>
      <x:c r="L412" s="351" t="n">
        <x:v>52</x:v>
      </x:c>
      <x:c r="M412" s="351" t="n">
        <x:v>20</x:v>
      </x:c>
      <x:c r="N412" s="352" t="n">
        <x:f>SUM(K412:M412)</x:f>
        <x:v>92</x:v>
      </x:c>
      <x:c r="O412" s="353" t="n">
        <x:f>N412/25</x:f>
        <x:v>3.68</x:v>
      </x:c>
      <x:c r="P412" s="351" t="str">
        <x:v>Robot o simulación validada: Manipulación robótica.</x:v>
      </x:c>
      <x:c r="Q412" s="351" t="str">
        <x:v>S04; S12; S24; S25</x:v>
      </x:c>
      <x:c r="R412" s="351" t="str">
        <x:v>No iniciado</x:v>
      </x:c>
      <x:c r="S412" s="354" t="n">
        <x:v>0</x:v>
      </x:c>
      <x:c r="T412" s="355"/>
      <x:c r="U412" s="355"/>
      <x:c r="V412" s="351" t="str">
        <x:v>Converge mecánica, control, electrónica, percepción, planificación e inteligencia artificial.</x:v>
      </x:c>
      <x:c r="W412" s="351" t="str">
        <x:v>Alta: práctica vigente</x:v>
      </x:c>
      <x:c r="X412" s="351" t="str">
        <x:v>Presente 2026 y corto (2027–2029)</x:v>
      </x:c>
      <x:c r="Y412" s="351" t="str">
        <x:v>Actual</x:v>
      </x:c>
      <x:c r="Z412" s="351" t="str">
        <x:v>12 meses</x:v>
      </x:c>
      <x:c r="AA412" s="351" t="str">
        <x:v>IA corporeizada, robots colaborativos, autonomía, enjambres, robótica blanda y seguridad física.</x:v>
      </x:c>
    </x:row>
    <x:row r="413" ht="58" customHeight="1">
      <x:c r="A413" s="366" t="str">
        <x:v>ROB-021</x:v>
      </x:c>
      <x:c r="B413" s="366" t="n">
        <x:v>5</x:v>
      </x:c>
      <x:c r="C413" s="366" t="str">
        <x:v>Especialización I</x:v>
      </x:c>
      <x:c r="D413" s="366" t="str">
        <x:v>Robótica</x:v>
      </x:c>
      <x:c r="E413" s="366" t="str">
        <x:v>Robótica y mecatrónica</x:v>
      </x:c>
      <x:c r="F413" s="366" t="str">
        <x:v>Robots móviles</x:v>
      </x:c>
      <x:c r="G413" s="366" t="str">
        <x:v>Robots móviles. Percepción, movimiento, planificación, control, interacción y experimentación reproducible.</x:v>
      </x:c>
      <x:c r="H413" s="366" t="str">
        <x:v>ROB-020</x:v>
      </x:c>
      <x:c r="I413" s="366" t="str">
        <x:v>Dominio profesional</x:v>
      </x:c>
      <x:c r="J413" s="366" t="n">
        <x:v>2</x:v>
      </x:c>
      <x:c r="K413" s="366" t="n">
        <x:v>20</x:v>
      </x:c>
      <x:c r="L413" s="366" t="n">
        <x:v>52</x:v>
      </x:c>
      <x:c r="M413" s="366" t="n">
        <x:v>20</x:v>
      </x:c>
      <x:c r="N413" s="367" t="n">
        <x:f>SUM(K413:M413)</x:f>
        <x:v>92</x:v>
      </x:c>
      <x:c r="O413" s="368" t="n">
        <x:f>N413/25</x:f>
        <x:v>3.68</x:v>
      </x:c>
      <x:c r="P413" s="366" t="str">
        <x:v>Robot o simulación validada: Robots móviles.</x:v>
      </x:c>
      <x:c r="Q413" s="366" t="str">
        <x:v>S04; S12; S24; S25</x:v>
      </x:c>
      <x:c r="R413" s="366" t="str">
        <x:v>No iniciado</x:v>
      </x:c>
      <x:c r="S413" s="369" t="n">
        <x:v>0</x:v>
      </x:c>
      <x:c r="T413" s="370"/>
      <x:c r="U413" s="370"/>
      <x:c r="V413" s="366" t="str">
        <x:v>Converge mecánica, control, electrónica, percepción, planificación e inteligencia artificial.</x:v>
      </x:c>
      <x:c r="W413" s="366" t="str">
        <x:v>Alta: práctica vigente</x:v>
      </x:c>
      <x:c r="X413" s="366" t="str">
        <x:v>Presente 2026 y corto (2027–2029)</x:v>
      </x:c>
      <x:c r="Y413" s="366" t="str">
        <x:v>Actual</x:v>
      </x:c>
      <x:c r="Z413" s="366" t="str">
        <x:v>12 meses</x:v>
      </x:c>
      <x:c r="AA413" s="366" t="str">
        <x:v>IA corporeizada, robots colaborativos, autonomía, enjambres, robótica blanda y seguridad física.</x:v>
      </x:c>
    </x:row>
    <x:row r="414" ht="58" customHeight="1">
      <x:c r="A414" s="351" t="str">
        <x:v>ROB-022</x:v>
      </x:c>
      <x:c r="B414" s="351" t="n">
        <x:v>5</x:v>
      </x:c>
      <x:c r="C414" s="351" t="str">
        <x:v>Especialización I</x:v>
      </x:c>
      <x:c r="D414" s="351" t="str">
        <x:v>Robótica</x:v>
      </x:c>
      <x:c r="E414" s="351" t="str">
        <x:v>Robótica y mecatrónica</x:v>
      </x:c>
      <x:c r="F414" s="351" t="str">
        <x:v>Robótica industrial</x:v>
      </x:c>
      <x:c r="G414" s="351" t="str">
        <x:v>Robótica industrial. Percepción, movimiento, planificación, control, interacción y experimentación reproducible.</x:v>
      </x:c>
      <x:c r="H414" s="351" t="str">
        <x:v>ROB-021</x:v>
      </x:c>
      <x:c r="I414" s="351" t="str">
        <x:v>Dominio profesional</x:v>
      </x:c>
      <x:c r="J414" s="351" t="n">
        <x:v>2</x:v>
      </x:c>
      <x:c r="K414" s="351" t="n">
        <x:v>20</x:v>
      </x:c>
      <x:c r="L414" s="351" t="n">
        <x:v>52</x:v>
      </x:c>
      <x:c r="M414" s="351" t="n">
        <x:v>20</x:v>
      </x:c>
      <x:c r="N414" s="352" t="n">
        <x:f>SUM(K414:M414)</x:f>
        <x:v>92</x:v>
      </x:c>
      <x:c r="O414" s="353" t="n">
        <x:f>N414/25</x:f>
        <x:v>3.68</x:v>
      </x:c>
      <x:c r="P414" s="351" t="str">
        <x:v>Robot o simulación validada: Robótica industrial.</x:v>
      </x:c>
      <x:c r="Q414" s="351" t="str">
        <x:v>S04; S12; S24; S25</x:v>
      </x:c>
      <x:c r="R414" s="351" t="str">
        <x:v>No iniciado</x:v>
      </x:c>
      <x:c r="S414" s="354" t="n">
        <x:v>0</x:v>
      </x:c>
      <x:c r="T414" s="355"/>
      <x:c r="U414" s="355"/>
      <x:c r="V414" s="351" t="str">
        <x:v>Converge mecánica, control, electrónica, percepción, planificación e inteligencia artificial.</x:v>
      </x:c>
      <x:c r="W414" s="351" t="str">
        <x:v>Alta: práctica vigente</x:v>
      </x:c>
      <x:c r="X414" s="351" t="str">
        <x:v>Presente 2026 y corto (2027–2029)</x:v>
      </x:c>
      <x:c r="Y414" s="351" t="str">
        <x:v>Actual</x:v>
      </x:c>
      <x:c r="Z414" s="351" t="str">
        <x:v>12 meses</x:v>
      </x:c>
      <x:c r="AA414" s="351" t="str">
        <x:v>IA corporeizada, robots colaborativos, autonomía, enjambres, robótica blanda y seguridad física.</x:v>
      </x:c>
    </x:row>
    <x:row r="415" ht="58" customHeight="1">
      <x:c r="A415" s="366" t="str">
        <x:v>ROB-023</x:v>
      </x:c>
      <x:c r="B415" s="366" t="n">
        <x:v>5</x:v>
      </x:c>
      <x:c r="C415" s="366" t="str">
        <x:v>Especialización I</x:v>
      </x:c>
      <x:c r="D415" s="366" t="str">
        <x:v>Robótica</x:v>
      </x:c>
      <x:c r="E415" s="366" t="str">
        <x:v>Robótica y mecatrónica</x:v>
      </x:c>
      <x:c r="F415" s="366" t="str">
        <x:v>ROS 2 y middleware robótico</x:v>
      </x:c>
      <x:c r="G415" s="366" t="str">
        <x:v>ROS 2 y middleware robótico. Percepción, movimiento, planificación, control, interacción y experimentación reproducible.</x:v>
      </x:c>
      <x:c r="H415" s="366" t="str">
        <x:v>ROB-022</x:v>
      </x:c>
      <x:c r="I415" s="366" t="str">
        <x:v>Dominio profesional</x:v>
      </x:c>
      <x:c r="J415" s="366" t="n">
        <x:v>2</x:v>
      </x:c>
      <x:c r="K415" s="366" t="n">
        <x:v>20</x:v>
      </x:c>
      <x:c r="L415" s="366" t="n">
        <x:v>52</x:v>
      </x:c>
      <x:c r="M415" s="366" t="n">
        <x:v>20</x:v>
      </x:c>
      <x:c r="N415" s="367" t="n">
        <x:f>SUM(K415:M415)</x:f>
        <x:v>92</x:v>
      </x:c>
      <x:c r="O415" s="368" t="n">
        <x:f>N415/25</x:f>
        <x:v>3.68</x:v>
      </x:c>
      <x:c r="P415" s="366" t="str">
        <x:v>Robot o simulación validada: ROS 2 y middleware robótico.</x:v>
      </x:c>
      <x:c r="Q415" s="366" t="str">
        <x:v>S04; S12; S24; S25</x:v>
      </x:c>
      <x:c r="R415" s="366" t="str">
        <x:v>No iniciado</x:v>
      </x:c>
      <x:c r="S415" s="369" t="n">
        <x:v>0</x:v>
      </x:c>
      <x:c r="T415" s="370"/>
      <x:c r="U415" s="370"/>
      <x:c r="V415" s="366" t="str">
        <x:v>Converge mecánica, control, electrónica, percepción, planificación e inteligencia artificial.</x:v>
      </x:c>
      <x:c r="W415" s="366" t="str">
        <x:v>Alta: práctica vigente</x:v>
      </x:c>
      <x:c r="X415" s="366" t="str">
        <x:v>Presente 2026 y corto (2027–2029)</x:v>
      </x:c>
      <x:c r="Y415" s="366" t="str">
        <x:v>Actual</x:v>
      </x:c>
      <x:c r="Z415" s="366" t="str">
        <x:v>12 meses</x:v>
      </x:c>
      <x:c r="AA415" s="366" t="str">
        <x:v>IA corporeizada, robots colaborativos, autonomía, enjambres, robótica blanda y seguridad física.</x:v>
      </x:c>
    </x:row>
    <x:row r="416" ht="58" customHeight="1">
      <x:c r="A416" s="351" t="str">
        <x:v>ROB-024</x:v>
      </x:c>
      <x:c r="B416" s="351" t="n">
        <x:v>5</x:v>
      </x:c>
      <x:c r="C416" s="351" t="str">
        <x:v>Especialización I</x:v>
      </x:c>
      <x:c r="D416" s="351" t="str">
        <x:v>Robótica</x:v>
      </x:c>
      <x:c r="E416" s="351" t="str">
        <x:v>Robótica y mecatrónica</x:v>
      </x:c>
      <x:c r="F416" s="351" t="str">
        <x:v>Drones y vehículos autónomos</x:v>
      </x:c>
      <x:c r="G416" s="351" t="str">
        <x:v>Drones y vehículos autónomos. Percepción, movimiento, planificación, control, interacción y experimentación reproducible.</x:v>
      </x:c>
      <x:c r="H416" s="351" t="str">
        <x:v>ROB-023</x:v>
      </x:c>
      <x:c r="I416" s="351" t="str">
        <x:v>Dominio profesional</x:v>
      </x:c>
      <x:c r="J416" s="351" t="n">
        <x:v>2</x:v>
      </x:c>
      <x:c r="K416" s="351" t="n">
        <x:v>20</x:v>
      </x:c>
      <x:c r="L416" s="351" t="n">
        <x:v>52</x:v>
      </x:c>
      <x:c r="M416" s="351" t="n">
        <x:v>20</x:v>
      </x:c>
      <x:c r="N416" s="352" t="n">
        <x:f>SUM(K416:M416)</x:f>
        <x:v>92</x:v>
      </x:c>
      <x:c r="O416" s="353" t="n">
        <x:f>N416/25</x:f>
        <x:v>3.68</x:v>
      </x:c>
      <x:c r="P416" s="351" t="str">
        <x:v>Robot o simulación validada: Drones y vehículos autónomos.</x:v>
      </x:c>
      <x:c r="Q416" s="351" t="str">
        <x:v>S04; S12; S24; S25</x:v>
      </x:c>
      <x:c r="R416" s="351" t="str">
        <x:v>No iniciado</x:v>
      </x:c>
      <x:c r="S416" s="354" t="n">
        <x:v>0</x:v>
      </x:c>
      <x:c r="T416" s="355"/>
      <x:c r="U416" s="355"/>
      <x:c r="V416" s="351" t="str">
        <x:v>Converge mecánica, control, electrónica, percepción, planificación e inteligencia artificial.</x:v>
      </x:c>
      <x:c r="W416" s="351" t="str">
        <x:v>Alta: práctica vigente</x:v>
      </x:c>
      <x:c r="X416" s="351" t="str">
        <x:v>Presente 2026 y corto (2027–2029)</x:v>
      </x:c>
      <x:c r="Y416" s="351" t="str">
        <x:v>Actual</x:v>
      </x:c>
      <x:c r="Z416" s="351" t="str">
        <x:v>12 meses</x:v>
      </x:c>
      <x:c r="AA416" s="351" t="str">
        <x:v>IA corporeizada, robots colaborativos, autonomía, enjambres, robótica blanda y seguridad física.</x:v>
      </x:c>
    </x:row>
    <x:row r="417" ht="58" customHeight="1">
      <x:c r="A417" s="366" t="str">
        <x:v>ISM-022</x:v>
      </x:c>
      <x:c r="B417" s="366" t="n">
        <x:v>5</x:v>
      </x:c>
      <x:c r="C417" s="366" t="str">
        <x:v>Especialización I</x:v>
      </x:c>
      <x:c r="D417" s="366" t="str">
        <x:v>Sistemas empresariales y gestión</x:v>
      </x:c>
      <x:c r="E417" s="366" t="str">
        <x:v>Sistemas de información y gestión TI</x:v>
      </x:c>
      <x:c r="F417" s="366" t="str">
        <x:v>Emprendimiento tecnológico</x:v>
      </x:c>
      <x:c r="G417" s="366" t="str">
        <x:v>Emprendimiento tecnológico. Alineación negocio–tecnología, procesos, arquitectura, control, servicio y transformación.</x:v>
      </x:c>
      <x:c r="H417" s="366" t="str">
        <x:v>ISM-021</x:v>
      </x:c>
      <x:c r="I417" s="366" t="str">
        <x:v>Dominio profesional</x:v>
      </x:c>
      <x:c r="J417" s="366" t="n">
        <x:v>2</x:v>
      </x:c>
      <x:c r="K417" s="366" t="n">
        <x:v>28</x:v>
      </x:c>
      <x:c r="L417" s="366" t="n">
        <x:v>36</x:v>
      </x:c>
      <x:c r="M417" s="366" t="n">
        <x:v>20</x:v>
      </x:c>
      <x:c r="N417" s="367" t="n">
        <x:f>SUM(K417:M417)</x:f>
        <x:v>84</x:v>
      </x:c>
      <x:c r="O417" s="368" t="n">
        <x:f>N417/25</x:f>
        <x:v>3.36</x:v>
      </x:c>
      <x:c r="P417" s="366" t="str">
        <x:v>Caso empresarial y arquitectura: Emprendimiento tecnológico.</x:v>
      </x:c>
      <x:c r="Q417" s="366" t="str">
        <x:v>S02; S03; S05; S06; S22; S34</x:v>
      </x:c>
      <x:c r="R417" s="366" t="str">
        <x:v>No iniciado</x:v>
      </x:c>
      <x:c r="S417" s="369" t="n">
        <x:v>0</x:v>
      </x:c>
      <x:c r="T417" s="370"/>
      <x:c r="U417" s="370"/>
      <x:c r="V417" s="366" t="str">
        <x:v>Evoluciona desde contabilidad y procesamiento de datos hacia ERP, plataformas y gobierno digital.</x:v>
      </x:c>
      <x:c r="W417" s="366" t="str">
        <x:v>Alta: práctica vigente</x:v>
      </x:c>
      <x:c r="X417" s="366" t="str">
        <x:v>Presente 2026 y corto (2027–2029)</x:v>
      </x:c>
      <x:c r="Y417" s="366" t="str">
        <x:v>Actual</x:v>
      </x:c>
      <x:c r="Z417" s="366" t="str">
        <x:v>12 meses</x:v>
      </x:c>
      <x:c r="AA417" s="366" t="str">
        <x:v>AIOps, FinOps/GreenOps, process mining, organizaciones aumentadas y gobierno de agentes.</x:v>
      </x:c>
    </x:row>
    <x:row r="418" ht="58" customHeight="1">
      <x:c r="A418" s="351" t="str">
        <x:v>ISM-023</x:v>
      </x:c>
      <x:c r="B418" s="351" t="n">
        <x:v>5</x:v>
      </x:c>
      <x:c r="C418" s="351" t="str">
        <x:v>Especialización I</x:v>
      </x:c>
      <x:c r="D418" s="351" t="str">
        <x:v>Sistemas empresariales y gestión</x:v>
      </x:c>
      <x:c r="E418" s="351" t="str">
        <x:v>Sistemas de información y gestión TI</x:v>
      </x:c>
      <x:c r="F418" s="351" t="str">
        <x:v>Innovación y diseño de servicios</x:v>
      </x:c>
      <x:c r="G418" s="351" t="str">
        <x:v>Innovación y diseño de servicios. Alineación negocio–tecnología, procesos, arquitectura, control, servicio y transformación.</x:v>
      </x:c>
      <x:c r="H418" s="351" t="str">
        <x:v>ISM-022</x:v>
      </x:c>
      <x:c r="I418" s="351" t="str">
        <x:v>Dominio profesional</x:v>
      </x:c>
      <x:c r="J418" s="351" t="n">
        <x:v>2</x:v>
      </x:c>
      <x:c r="K418" s="351" t="n">
        <x:v>28</x:v>
      </x:c>
      <x:c r="L418" s="351" t="n">
        <x:v>36</x:v>
      </x:c>
      <x:c r="M418" s="351" t="n">
        <x:v>20</x:v>
      </x:c>
      <x:c r="N418" s="352" t="n">
        <x:f>SUM(K418:M418)</x:f>
        <x:v>84</x:v>
      </x:c>
      <x:c r="O418" s="353" t="n">
        <x:f>N418/25</x:f>
        <x:v>3.36</x:v>
      </x:c>
      <x:c r="P418" s="351" t="str">
        <x:v>Caso empresarial y arquitectura: Innovación y diseño de servicios.</x:v>
      </x:c>
      <x:c r="Q418" s="351" t="str">
        <x:v>S02; S03; S05; S06; S22; S34</x:v>
      </x:c>
      <x:c r="R418" s="351" t="str">
        <x:v>No iniciado</x:v>
      </x:c>
      <x:c r="S418" s="354" t="n">
        <x:v>0</x:v>
      </x:c>
      <x:c r="T418" s="355"/>
      <x:c r="U418" s="355"/>
      <x:c r="V418" s="351" t="str">
        <x:v>Evoluciona desde contabilidad y procesamiento de datos hacia ERP, plataformas y gobierno digital.</x:v>
      </x:c>
      <x:c r="W418" s="351" t="str">
        <x:v>Alta: práctica vigente</x:v>
      </x:c>
      <x:c r="X418" s="351" t="str">
        <x:v>Presente 2026 y corto (2027–2029)</x:v>
      </x:c>
      <x:c r="Y418" s="351" t="str">
        <x:v>Actual</x:v>
      </x:c>
      <x:c r="Z418" s="351" t="str">
        <x:v>12 meses</x:v>
      </x:c>
      <x:c r="AA418" s="351" t="str">
        <x:v>AIOps, FinOps/GreenOps, process mining, organizaciones aumentadas y gobierno de agentes.</x:v>
      </x:c>
    </x:row>
    <x:row r="419" ht="58" customHeight="1">
      <x:c r="A419" s="366" t="str">
        <x:v>ISM-024</x:v>
      </x:c>
      <x:c r="B419" s="366" t="n">
        <x:v>5</x:v>
      </x:c>
      <x:c r="C419" s="366" t="str">
        <x:v>Especialización I</x:v>
      </x:c>
      <x:c r="D419" s="366" t="str">
        <x:v>Sistemas empresariales y gestión</x:v>
      </x:c>
      <x:c r="E419" s="366" t="str">
        <x:v>Sistemas de información y gestión TI</x:v>
      </x:c>
      <x:c r="F419" s="366" t="str">
        <x:v>Liderazgo de equipos técnicos</x:v>
      </x:c>
      <x:c r="G419" s="366" t="str">
        <x:v>Liderazgo de equipos técnicos. Alineación negocio–tecnología, procesos, arquitectura, control, servicio y transformación.</x:v>
      </x:c>
      <x:c r="H419" s="366" t="str">
        <x:v>ISM-023</x:v>
      </x:c>
      <x:c r="I419" s="366" t="str">
        <x:v>Dominio profesional</x:v>
      </x:c>
      <x:c r="J419" s="366" t="n">
        <x:v>2</x:v>
      </x:c>
      <x:c r="K419" s="366" t="n">
        <x:v>28</x:v>
      </x:c>
      <x:c r="L419" s="366" t="n">
        <x:v>36</x:v>
      </x:c>
      <x:c r="M419" s="366" t="n">
        <x:v>20</x:v>
      </x:c>
      <x:c r="N419" s="367" t="n">
        <x:f>SUM(K419:M419)</x:f>
        <x:v>84</x:v>
      </x:c>
      <x:c r="O419" s="368" t="n">
        <x:f>N419/25</x:f>
        <x:v>3.36</x:v>
      </x:c>
      <x:c r="P419" s="366" t="str">
        <x:v>Caso empresarial y arquitectura: Liderazgo de equipos técnicos.</x:v>
      </x:c>
      <x:c r="Q419" s="366" t="str">
        <x:v>S02; S03; S05; S06; S22; S34</x:v>
      </x:c>
      <x:c r="R419" s="366" t="str">
        <x:v>No iniciado</x:v>
      </x:c>
      <x:c r="S419" s="369" t="n">
        <x:v>0</x:v>
      </x:c>
      <x:c r="T419" s="370"/>
      <x:c r="U419" s="370"/>
      <x:c r="V419" s="366" t="str">
        <x:v>Evoluciona desde contabilidad y procesamiento de datos hacia ERP, plataformas y gobierno digital.</x:v>
      </x:c>
      <x:c r="W419" s="366" t="str">
        <x:v>Alta: práctica vigente</x:v>
      </x:c>
      <x:c r="X419" s="366" t="str">
        <x:v>Presente 2026 y corto (2027–2029)</x:v>
      </x:c>
      <x:c r="Y419" s="366" t="str">
        <x:v>Actual</x:v>
      </x:c>
      <x:c r="Z419" s="366" t="str">
        <x:v>12 meses</x:v>
      </x:c>
      <x:c r="AA419" s="366" t="str">
        <x:v>AIOps, FinOps/GreenOps, process mining, organizaciones aumentadas y gobierno de agentes.</x:v>
      </x:c>
    </x:row>
    <x:row r="420" ht="58" customHeight="1">
      <x:c r="A420" s="351" t="str">
        <x:v>SYS-019</x:v>
      </x:c>
      <x:c r="B420" s="351" t="n">
        <x:v>5</x:v>
      </x:c>
      <x:c r="C420" s="351" t="str">
        <x:v>Especialización I</x:v>
      </x:c>
      <x:c r="D420" s="351" t="str">
        <x:v>Sistemas computacionales</x:v>
      </x:c>
      <x:c r="E420" s="351" t="str">
        <x:v>Sistemas y arquitectura</x:v>
      </x:c>
      <x:c r="F420" s="351" t="str">
        <x:v>Diseño de sistemas a gran escala</x:v>
      </x:c>
      <x:c r="G420" s="351" t="str">
        <x:v>Diseño de sistemas a gran escala. Funcionamiento interno, diseño, medición de rendimiento y laboratorios reproducibles.</x:v>
      </x:c>
      <x:c r="H420" s="351" t="str">
        <x:v>SYS-018</x:v>
      </x:c>
      <x:c r="I420" s="351" t="str">
        <x:v>Núcleo esencial</x:v>
      </x:c>
      <x:c r="J420" s="351" t="n">
        <x:v>1</x:v>
      </x:c>
      <x:c r="K420" s="351" t="n">
        <x:v>36</x:v>
      </x:c>
      <x:c r="L420" s="351" t="n">
        <x:v>42</x:v>
      </x:c>
      <x:c r="M420" s="351" t="n">
        <x:v>22</x:v>
      </x:c>
      <x:c r="N420" s="352" t="n">
        <x:f>SUM(K420:M420)</x:f>
        <x:v>100</x:v>
      </x:c>
      <x:c r="O420" s="353" t="n">
        <x:f>N420/25</x:f>
        <x:v>4</x:v>
      </x:c>
      <x:c r="P420" s="351" t="str">
        <x:v>Laboratorio de sistema: Diseño de sistemas a gran escala.</x:v>
      </x:c>
      <x:c r="Q420" s="351" t="str">
        <x:v>S01; S02; S09; S13; S16; S17; S20</x:v>
      </x:c>
      <x:c r="R420" s="351" t="str">
        <x:v>No iniciado</x:v>
      </x:c>
      <x:c r="S420" s="354" t="n">
        <x:v>0</x:v>
      </x:c>
      <x:c r="T420" s="355"/>
      <x:c r="U420" s="355"/>
      <x:c r="V420" s="351" t="str">
        <x:v>Evoluciona desde relés y válvulas hacia transistores, circuitos integrados y sistemas heterogéneos.</x:v>
      </x:c>
      <x:c r="W420" s="351" t="str">
        <x:v>Muy alta: fundamento durable</x:v>
      </x:c>
      <x:c r="X420" s="351" t="str">
        <x:v>Presente 2026 y corto (2027–2029)</x:v>
      </x:c>
      <x:c r="Y420" s="351" t="str">
        <x:v>Actual</x:v>
      </x:c>
      <x:c r="Z420" s="351" t="str">
        <x:v>12 meses</x:v>
      </x:c>
      <x:c r="AA420" s="351" t="str">
        <x:v>Chiplets, RISC-V, memoria desagregada, aceleradores, fotónica, neuromórfica y eficiencia energética.</x:v>
      </x:c>
    </x:row>
    <x:row r="421" ht="58" customHeight="1">
      <x:c r="A421" s="366" t="str">
        <x:v>BIO-001</x:v>
      </x:c>
      <x:c r="B421" s="366" t="n">
        <x:v>6</x:v>
      </x:c>
      <x:c r="C421" s="366" t="str">
        <x:v>Especialización II</x:v>
      </x:c>
      <x:c r="D421" s="366" t="str">
        <x:v>Bioinformática y biología computacional</x:v>
      </x:c>
      <x:c r="E421" s="366" t="str">
        <x:v>Bioinformática y salud digital</x:v>
      </x:c>
      <x:c r="F421" s="366" t="str">
        <x:v>Biología celular y molecular</x:v>
      </x:c>
      <x:c r="G421" s="366" t="str">
        <x:v>Biología celular y molecular. Biología molecular, datos ómicos, algoritmos, reproducibilidad y ética.</x:v>
      </x:c>
      <x:c r="H421" s="366" t="str">
        <x:v>MAT-012</x:v>
      </x:c>
      <x:c r="I421" s="366" t="str">
        <x:v>Frontera/adyacente</x:v>
      </x:c>
      <x:c r="J421" s="366" t="n">
        <x:v>3</x:v>
      </x:c>
      <x:c r="K421" s="366" t="n">
        <x:v>28</x:v>
      </x:c>
      <x:c r="L421" s="366" t="n">
        <x:v>36</x:v>
      </x:c>
      <x:c r="M421" s="366" t="n">
        <x:v>20</x:v>
      </x:c>
      <x:c r="N421" s="367" t="n">
        <x:f>SUM(K421:M421)</x:f>
        <x:v>84</x:v>
      </x:c>
      <x:c r="O421" s="368" t="n">
        <x:f>N421/25</x:f>
        <x:v>3.36</x:v>
      </x:c>
      <x:c r="P421" s="366" t="str">
        <x:v>Pipeline bioinformático: Biología celular y molecular.</x:v>
      </x:c>
      <x:c r="Q421" s="366" t="str">
        <x:v>S12; S20; S39</x:v>
      </x:c>
      <x:c r="R421" s="366" t="str">
        <x:v>No iniciado</x:v>
      </x:c>
      <x:c r="S421" s="369" t="n">
        <x:v>0</x:v>
      </x:c>
      <x:c r="T421" s="370"/>
      <x:c r="U421" s="370"/>
      <x:c r="V421" s="366" t="str">
        <x:v>Une biología molecular, medicina, estadística, computación y gestión clínica de información.</x:v>
      </x:c>
      <x:c r="W421" s="366" t="str">
        <x:v>Alta: práctica vigente</x:v>
      </x:c>
      <x:c r="X421" s="366" t="str">
        <x:v>Presente 2026 y corto (2027–2029)</x:v>
      </x:c>
      <x:c r="Y421" s="366" t="str">
        <x:v>Actual</x:v>
      </x:c>
      <x:c r="Z421" s="366" t="str">
        <x:v>12 meses</x:v>
      </x:c>
      <x:c r="AA421" s="366" t="str">
        <x:v>Multi-ómica, modelos fundacionales biomédicos, biomarcadores digitales, federación e interfaces neurales.</x:v>
      </x:c>
    </x:row>
    <x:row r="422" ht="58" customHeight="1">
      <x:c r="A422" s="351" t="str">
        <x:v>BIO-002</x:v>
      </x:c>
      <x:c r="B422" s="351" t="n">
        <x:v>6</x:v>
      </x:c>
      <x:c r="C422" s="351" t="str">
        <x:v>Especialización II</x:v>
      </x:c>
      <x:c r="D422" s="351" t="str">
        <x:v>Bioinformática y biología computacional</x:v>
      </x:c>
      <x:c r="E422" s="351" t="str">
        <x:v>Bioinformática y salud digital</x:v>
      </x:c>
      <x:c r="F422" s="351" t="str">
        <x:v>Genética</x:v>
      </x:c>
      <x:c r="G422" s="351" t="str">
        <x:v>Genética. Biología molecular, datos ómicos, algoritmos, reproducibilidad y ética.</x:v>
      </x:c>
      <x:c r="H422" s="351" t="str">
        <x:v>BIO-001</x:v>
      </x:c>
      <x:c r="I422" s="351" t="str">
        <x:v>Frontera/adyacente</x:v>
      </x:c>
      <x:c r="J422" s="351" t="n">
        <x:v>3</x:v>
      </x:c>
      <x:c r="K422" s="351" t="n">
        <x:v>28</x:v>
      </x:c>
      <x:c r="L422" s="351" t="n">
        <x:v>36</x:v>
      </x:c>
      <x:c r="M422" s="351" t="n">
        <x:v>20</x:v>
      </x:c>
      <x:c r="N422" s="352" t="n">
        <x:f>SUM(K422:M422)</x:f>
        <x:v>84</x:v>
      </x:c>
      <x:c r="O422" s="353" t="n">
        <x:f>N422/25</x:f>
        <x:v>3.36</x:v>
      </x:c>
      <x:c r="P422" s="351" t="str">
        <x:v>Pipeline bioinformático: Genética.</x:v>
      </x:c>
      <x:c r="Q422" s="351" t="str">
        <x:v>S12; S20; S39</x:v>
      </x:c>
      <x:c r="R422" s="351" t="str">
        <x:v>No iniciado</x:v>
      </x:c>
      <x:c r="S422" s="354" t="n">
        <x:v>0</x:v>
      </x:c>
      <x:c r="T422" s="355"/>
      <x:c r="U422" s="355"/>
      <x:c r="V422" s="351" t="str">
        <x:v>Une biología molecular, medicina, estadística, computación y gestión clínica de información.</x:v>
      </x:c>
      <x:c r="W422" s="351" t="str">
        <x:v>Alta: práctica vigente</x:v>
      </x:c>
      <x:c r="X422" s="351" t="str">
        <x:v>Presente 2026 y corto (2027–2029)</x:v>
      </x:c>
      <x:c r="Y422" s="351" t="str">
        <x:v>Actual</x:v>
      </x:c>
      <x:c r="Z422" s="351" t="str">
        <x:v>12 meses</x:v>
      </x:c>
      <x:c r="AA422" s="351" t="str">
        <x:v>Multi-ómica, modelos fundacionales biomédicos, biomarcadores digitales, federación e interfaces neurales.</x:v>
      </x:c>
    </x:row>
    <x:row r="423" ht="58" customHeight="1">
      <x:c r="A423" s="366" t="str">
        <x:v>BIO-003</x:v>
      </x:c>
      <x:c r="B423" s="366" t="n">
        <x:v>6</x:v>
      </x:c>
      <x:c r="C423" s="366" t="str">
        <x:v>Especialización II</x:v>
      </x:c>
      <x:c r="D423" s="366" t="str">
        <x:v>Bioinformática y biología computacional</x:v>
      </x:c>
      <x:c r="E423" s="366" t="str">
        <x:v>Bioinformática y salud digital</x:v>
      </x:c>
      <x:c r="F423" s="366" t="str">
        <x:v>Bioquímica</x:v>
      </x:c>
      <x:c r="G423" s="366" t="str">
        <x:v>Bioquímica. Biología molecular, datos ómicos, algoritmos, reproducibilidad y ética.</x:v>
      </x:c>
      <x:c r="H423" s="366" t="str">
        <x:v>BIO-002</x:v>
      </x:c>
      <x:c r="I423" s="366" t="str">
        <x:v>Frontera/adyacente</x:v>
      </x:c>
      <x:c r="J423" s="366" t="n">
        <x:v>3</x:v>
      </x:c>
      <x:c r="K423" s="366" t="n">
        <x:v>28</x:v>
      </x:c>
      <x:c r="L423" s="366" t="n">
        <x:v>36</x:v>
      </x:c>
      <x:c r="M423" s="366" t="n">
        <x:v>20</x:v>
      </x:c>
      <x:c r="N423" s="367" t="n">
        <x:f>SUM(K423:M423)</x:f>
        <x:v>84</x:v>
      </x:c>
      <x:c r="O423" s="368" t="n">
        <x:f>N423/25</x:f>
        <x:v>3.36</x:v>
      </x:c>
      <x:c r="P423" s="366" t="str">
        <x:v>Pipeline bioinformático: Bioquímica.</x:v>
      </x:c>
      <x:c r="Q423" s="366" t="str">
        <x:v>S12; S20; S39</x:v>
      </x:c>
      <x:c r="R423" s="366" t="str">
        <x:v>No iniciado</x:v>
      </x:c>
      <x:c r="S423" s="369" t="n">
        <x:v>0</x:v>
      </x:c>
      <x:c r="T423" s="370"/>
      <x:c r="U423" s="370"/>
      <x:c r="V423" s="366" t="str">
        <x:v>Une biología molecular, medicina, estadística, computación y gestión clínica de información.</x:v>
      </x:c>
      <x:c r="W423" s="366" t="str">
        <x:v>Alta: práctica vigente</x:v>
      </x:c>
      <x:c r="X423" s="366" t="str">
        <x:v>Presente 2026 y corto (2027–2029)</x:v>
      </x:c>
      <x:c r="Y423" s="366" t="str">
        <x:v>Actual</x:v>
      </x:c>
      <x:c r="Z423" s="366" t="str">
        <x:v>12 meses</x:v>
      </x:c>
      <x:c r="AA423" s="366" t="str">
        <x:v>Multi-ómica, modelos fundacionales biomédicos, biomarcadores digitales, federación e interfaces neurales.</x:v>
      </x:c>
    </x:row>
    <x:row r="424" ht="58" customHeight="1">
      <x:c r="A424" s="351" t="str">
        <x:v>BIO-004</x:v>
      </x:c>
      <x:c r="B424" s="351" t="n">
        <x:v>6</x:v>
      </x:c>
      <x:c r="C424" s="351" t="str">
        <x:v>Especialización II</x:v>
      </x:c>
      <x:c r="D424" s="351" t="str">
        <x:v>Bioinformática y biología computacional</x:v>
      </x:c>
      <x:c r="E424" s="351" t="str">
        <x:v>Bioinformática y salud digital</x:v>
      </x:c>
      <x:c r="F424" s="351" t="str">
        <x:v>Bioestadística</x:v>
      </x:c>
      <x:c r="G424" s="351" t="str">
        <x:v>Bioestadística. Biología molecular, datos ómicos, algoritmos, reproducibilidad y ética.</x:v>
      </x:c>
      <x:c r="H424" s="351" t="str">
        <x:v>BIO-003</x:v>
      </x:c>
      <x:c r="I424" s="351" t="str">
        <x:v>Frontera/adyacente</x:v>
      </x:c>
      <x:c r="J424" s="351" t="n">
        <x:v>3</x:v>
      </x:c>
      <x:c r="K424" s="351" t="n">
        <x:v>28</x:v>
      </x:c>
      <x:c r="L424" s="351" t="n">
        <x:v>36</x:v>
      </x:c>
      <x:c r="M424" s="351" t="n">
        <x:v>20</x:v>
      </x:c>
      <x:c r="N424" s="352" t="n">
        <x:f>SUM(K424:M424)</x:f>
        <x:v>84</x:v>
      </x:c>
      <x:c r="O424" s="353" t="n">
        <x:f>N424/25</x:f>
        <x:v>3.36</x:v>
      </x:c>
      <x:c r="P424" s="351" t="str">
        <x:v>Pipeline bioinformático: Bioestadística.</x:v>
      </x:c>
      <x:c r="Q424" s="351" t="str">
        <x:v>S12; S20; S39</x:v>
      </x:c>
      <x:c r="R424" s="351" t="str">
        <x:v>No iniciado</x:v>
      </x:c>
      <x:c r="S424" s="354" t="n">
        <x:v>0</x:v>
      </x:c>
      <x:c r="T424" s="355"/>
      <x:c r="U424" s="355"/>
      <x:c r="V424" s="351" t="str">
        <x:v>Une biología molecular, medicina, estadística, computación y gestión clínica de información.</x:v>
      </x:c>
      <x:c r="W424" s="351" t="str">
        <x:v>Alta: práctica vigente</x:v>
      </x:c>
      <x:c r="X424" s="351" t="str">
        <x:v>Presente 2026 y corto (2027–2029)</x:v>
      </x:c>
      <x:c r="Y424" s="351" t="str">
        <x:v>Actual</x:v>
      </x:c>
      <x:c r="Z424" s="351" t="str">
        <x:v>12 meses</x:v>
      </x:c>
      <x:c r="AA424" s="351" t="str">
        <x:v>Multi-ómica, modelos fundacionales biomédicos, biomarcadores digitales, federación e interfaces neurales.</x:v>
      </x:c>
    </x:row>
    <x:row r="425" ht="58" customHeight="1">
      <x:c r="A425" s="366" t="str">
        <x:v>BIO-005</x:v>
      </x:c>
      <x:c r="B425" s="366" t="n">
        <x:v>6</x:v>
      </x:c>
      <x:c r="C425" s="366" t="str">
        <x:v>Especialización II</x:v>
      </x:c>
      <x:c r="D425" s="366" t="str">
        <x:v>Bioinformática y biología computacional</x:v>
      </x:c>
      <x:c r="E425" s="366" t="str">
        <x:v>Bioinformática y salud digital</x:v>
      </x:c>
      <x:c r="F425" s="366" t="str">
        <x:v>Bioinformática I</x:v>
      </x:c>
      <x:c r="G425" s="366" t="str">
        <x:v>Bioinformática I. Biología molecular, datos ómicos, algoritmos, reproducibilidad y ética.</x:v>
      </x:c>
      <x:c r="H425" s="366" t="str">
        <x:v>BIO-004</x:v>
      </x:c>
      <x:c r="I425" s="366" t="str">
        <x:v>Frontera/adyacente</x:v>
      </x:c>
      <x:c r="J425" s="366" t="n">
        <x:v>3</x:v>
      </x:c>
      <x:c r="K425" s="366" t="n">
        <x:v>28</x:v>
      </x:c>
      <x:c r="L425" s="366" t="n">
        <x:v>36</x:v>
      </x:c>
      <x:c r="M425" s="366" t="n">
        <x:v>20</x:v>
      </x:c>
      <x:c r="N425" s="367" t="n">
        <x:f>SUM(K425:M425)</x:f>
        <x:v>84</x:v>
      </x:c>
      <x:c r="O425" s="368" t="n">
        <x:f>N425/25</x:f>
        <x:v>3.36</x:v>
      </x:c>
      <x:c r="P425" s="366" t="str">
        <x:v>Pipeline bioinformático: Bioinformática I.</x:v>
      </x:c>
      <x:c r="Q425" s="366" t="str">
        <x:v>S12; S20; S39</x:v>
      </x:c>
      <x:c r="R425" s="366" t="str">
        <x:v>No iniciado</x:v>
      </x:c>
      <x:c r="S425" s="369" t="n">
        <x:v>0</x:v>
      </x:c>
      <x:c r="T425" s="370"/>
      <x:c r="U425" s="370"/>
      <x:c r="V425" s="366" t="str">
        <x:v>Une biología molecular, medicina, estadística, computación y gestión clínica de información.</x:v>
      </x:c>
      <x:c r="W425" s="366" t="str">
        <x:v>Alta: práctica vigente</x:v>
      </x:c>
      <x:c r="X425" s="366" t="str">
        <x:v>Presente 2026 y corto (2027–2029)</x:v>
      </x:c>
      <x:c r="Y425" s="366" t="str">
        <x:v>Actual</x:v>
      </x:c>
      <x:c r="Z425" s="366" t="str">
        <x:v>12 meses</x:v>
      </x:c>
      <x:c r="AA425" s="366" t="str">
        <x:v>Multi-ómica, modelos fundacionales biomédicos, biomarcadores digitales, federación e interfaces neurales.</x:v>
      </x:c>
    </x:row>
    <x:row r="426" ht="58" customHeight="1">
      <x:c r="A426" s="351" t="str">
        <x:v>BIO-006</x:v>
      </x:c>
      <x:c r="B426" s="351" t="n">
        <x:v>6</x:v>
      </x:c>
      <x:c r="C426" s="351" t="str">
        <x:v>Especialización II</x:v>
      </x:c>
      <x:c r="D426" s="351" t="str">
        <x:v>Bioinformática y biología computacional</x:v>
      </x:c>
      <x:c r="E426" s="351" t="str">
        <x:v>Bioinformática y salud digital</x:v>
      </x:c>
      <x:c r="F426" s="351" t="str">
        <x:v>Bioinformática II</x:v>
      </x:c>
      <x:c r="G426" s="351" t="str">
        <x:v>Bioinformática II. Biología molecular, datos ómicos, algoritmos, reproducibilidad y ética.</x:v>
      </x:c>
      <x:c r="H426" s="351" t="str">
        <x:v>BIO-005</x:v>
      </x:c>
      <x:c r="I426" s="351" t="str">
        <x:v>Frontera/adyacente</x:v>
      </x:c>
      <x:c r="J426" s="351" t="n">
        <x:v>3</x:v>
      </x:c>
      <x:c r="K426" s="351" t="n">
        <x:v>28</x:v>
      </x:c>
      <x:c r="L426" s="351" t="n">
        <x:v>36</x:v>
      </x:c>
      <x:c r="M426" s="351" t="n">
        <x:v>20</x:v>
      </x:c>
      <x:c r="N426" s="352" t="n">
        <x:f>SUM(K426:M426)</x:f>
        <x:v>84</x:v>
      </x:c>
      <x:c r="O426" s="353" t="n">
        <x:f>N426/25</x:f>
        <x:v>3.36</x:v>
      </x:c>
      <x:c r="P426" s="351" t="str">
        <x:v>Pipeline bioinformático: Bioinformática II.</x:v>
      </x:c>
      <x:c r="Q426" s="351" t="str">
        <x:v>S12; S20; S39</x:v>
      </x:c>
      <x:c r="R426" s="351" t="str">
        <x:v>No iniciado</x:v>
      </x:c>
      <x:c r="S426" s="354" t="n">
        <x:v>0</x:v>
      </x:c>
      <x:c r="T426" s="355"/>
      <x:c r="U426" s="355"/>
      <x:c r="V426" s="351" t="str">
        <x:v>Une biología molecular, medicina, estadística, computación y gestión clínica de información.</x:v>
      </x:c>
      <x:c r="W426" s="351" t="str">
        <x:v>Alta: práctica vigente</x:v>
      </x:c>
      <x:c r="X426" s="351" t="str">
        <x:v>Presente 2026 y corto (2027–2029)</x:v>
      </x:c>
      <x:c r="Y426" s="351" t="str">
        <x:v>Actual</x:v>
      </x:c>
      <x:c r="Z426" s="351" t="str">
        <x:v>12 meses</x:v>
      </x:c>
      <x:c r="AA426" s="351" t="str">
        <x:v>Multi-ómica, modelos fundacionales biomédicos, biomarcadores digitales, federación e interfaces neurales.</x:v>
      </x:c>
    </x:row>
    <x:row r="427" ht="58" customHeight="1">
      <x:c r="A427" s="366" t="str">
        <x:v>BIO-015</x:v>
      </x:c>
      <x:c r="B427" s="366" t="n">
        <x:v>6</x:v>
      </x:c>
      <x:c r="C427" s="366" t="str">
        <x:v>Especialización II</x:v>
      </x:c>
      <x:c r="D427" s="366" t="str">
        <x:v>Informática médica y salud digital</x:v>
      </x:c>
      <x:c r="E427" s="366" t="str">
        <x:v>Bioinformática y salud digital</x:v>
      </x:c>
      <x:c r="F427" s="366" t="str">
        <x:v>Fundamentos de informática de salud</x:v>
      </x:c>
      <x:c r="G427" s="366" t="str">
        <x:v>Fundamentos de informática de salud. Información clínica, interoperabilidad, decisión, seguridad, regulación y transformación sanitaria.</x:v>
      </x:c>
      <x:c r="H427" s="366" t="str">
        <x:v>ISM-001</x:v>
      </x:c>
      <x:c r="I427" s="366" t="str">
        <x:v>Frontera/adyacente</x:v>
      </x:c>
      <x:c r="J427" s="366" t="n">
        <x:v>3</x:v>
      </x:c>
      <x:c r="K427" s="366" t="n">
        <x:v>28</x:v>
      </x:c>
      <x:c r="L427" s="366" t="n">
        <x:v>36</x:v>
      </x:c>
      <x:c r="M427" s="366" t="n">
        <x:v>20</x:v>
      </x:c>
      <x:c r="N427" s="367" t="n">
        <x:f>SUM(K427:M427)</x:f>
        <x:v>84</x:v>
      </x:c>
      <x:c r="O427" s="368" t="n">
        <x:f>N427/25</x:f>
        <x:v>3.36</x:v>
      </x:c>
      <x:c r="P427" s="366" t="str">
        <x:v>Caso de salud digital: Fundamentos de informática de salud.</x:v>
      </x:c>
      <x:c r="Q427" s="366" t="str">
        <x:v>S40</x:v>
      </x:c>
      <x:c r="R427" s="366" t="str">
        <x:v>No iniciado</x:v>
      </x:c>
      <x:c r="S427" s="369" t="n">
        <x:v>0</x:v>
      </x:c>
      <x:c r="T427" s="370"/>
      <x:c r="U427" s="370"/>
      <x:c r="V427" s="366" t="str">
        <x:v>Une biología molecular, medicina, estadística, computación y gestión clínica de información.</x:v>
      </x:c>
      <x:c r="W427" s="366" t="str">
        <x:v>Alta: práctica vigente</x:v>
      </x:c>
      <x:c r="X427" s="366" t="str">
        <x:v>Presente 2026 y corto (2027–2029)</x:v>
      </x:c>
      <x:c r="Y427" s="366" t="str">
        <x:v>Actual</x:v>
      </x:c>
      <x:c r="Z427" s="366" t="str">
        <x:v>12 meses</x:v>
      </x:c>
      <x:c r="AA427" s="366" t="str">
        <x:v>Multi-ómica, modelos fundacionales biomédicos, biomarcadores digitales, federación e interfaces neurales.</x:v>
      </x:c>
    </x:row>
    <x:row r="428" ht="58" customHeight="1">
      <x:c r="A428" s="351" t="str">
        <x:v>BIO-016</x:v>
      </x:c>
      <x:c r="B428" s="351" t="n">
        <x:v>6</x:v>
      </x:c>
      <x:c r="C428" s="351" t="str">
        <x:v>Especialización II</x:v>
      </x:c>
      <x:c r="D428" s="351" t="str">
        <x:v>Informática médica y salud digital</x:v>
      </x:c>
      <x:c r="E428" s="351" t="str">
        <x:v>Bioinformática y salud digital</x:v>
      </x:c>
      <x:c r="F428" s="351" t="str">
        <x:v>Epidemiología y salud pública</x:v>
      </x:c>
      <x:c r="G428" s="351" t="str">
        <x:v>Epidemiología y salud pública. Información clínica, interoperabilidad, decisión, seguridad, regulación y transformación sanitaria.</x:v>
      </x:c>
      <x:c r="H428" s="351" t="str">
        <x:v>BIO-015</x:v>
      </x:c>
      <x:c r="I428" s="351" t="str">
        <x:v>Frontera/adyacente</x:v>
      </x:c>
      <x:c r="J428" s="351" t="n">
        <x:v>3</x:v>
      </x:c>
      <x:c r="K428" s="351" t="n">
        <x:v>28</x:v>
      </x:c>
      <x:c r="L428" s="351" t="n">
        <x:v>36</x:v>
      </x:c>
      <x:c r="M428" s="351" t="n">
        <x:v>20</x:v>
      </x:c>
      <x:c r="N428" s="352" t="n">
        <x:f>SUM(K428:M428)</x:f>
        <x:v>84</x:v>
      </x:c>
      <x:c r="O428" s="353" t="n">
        <x:f>N428/25</x:f>
        <x:v>3.36</x:v>
      </x:c>
      <x:c r="P428" s="351" t="str">
        <x:v>Caso de salud digital: Epidemiología y salud pública.</x:v>
      </x:c>
      <x:c r="Q428" s="351" t="str">
        <x:v>S40</x:v>
      </x:c>
      <x:c r="R428" s="351" t="str">
        <x:v>No iniciado</x:v>
      </x:c>
      <x:c r="S428" s="354" t="n">
        <x:v>0</x:v>
      </x:c>
      <x:c r="T428" s="355"/>
      <x:c r="U428" s="355"/>
      <x:c r="V428" s="351" t="str">
        <x:v>Une biología molecular, medicina, estadística, computación y gestión clínica de información.</x:v>
      </x:c>
      <x:c r="W428" s="351" t="str">
        <x:v>Alta: práctica vigente</x:v>
      </x:c>
      <x:c r="X428" s="351" t="str">
        <x:v>Presente 2026 y corto (2027–2029)</x:v>
      </x:c>
      <x:c r="Y428" s="351" t="str">
        <x:v>Actual</x:v>
      </x:c>
      <x:c r="Z428" s="351" t="str">
        <x:v>12 meses</x:v>
      </x:c>
      <x:c r="AA428" s="351" t="str">
        <x:v>Multi-ómica, modelos fundacionales biomédicos, biomarcadores digitales, federación e interfaces neurales.</x:v>
      </x:c>
    </x:row>
    <x:row r="429" ht="58" customHeight="1">
      <x:c r="A429" s="366" t="str">
        <x:v>BIO-017</x:v>
      </x:c>
      <x:c r="B429" s="366" t="n">
        <x:v>6</x:v>
      </x:c>
      <x:c r="C429" s="366" t="str">
        <x:v>Especialización II</x:v>
      </x:c>
      <x:c r="D429" s="366" t="str">
        <x:v>Informática médica y salud digital</x:v>
      </x:c>
      <x:c r="E429" s="366" t="str">
        <x:v>Bioinformática y salud digital</x:v>
      </x:c>
      <x:c r="F429" s="366" t="str">
        <x:v>Sistemas de información clínica</x:v>
      </x:c>
      <x:c r="G429" s="366" t="str">
        <x:v>Sistemas de información clínica. Información clínica, interoperabilidad, decisión, seguridad, regulación y transformación sanitaria.</x:v>
      </x:c>
      <x:c r="H429" s="366" t="str">
        <x:v>BIO-016</x:v>
      </x:c>
      <x:c r="I429" s="366" t="str">
        <x:v>Frontera/adyacente</x:v>
      </x:c>
      <x:c r="J429" s="366" t="n">
        <x:v>3</x:v>
      </x:c>
      <x:c r="K429" s="366" t="n">
        <x:v>28</x:v>
      </x:c>
      <x:c r="L429" s="366" t="n">
        <x:v>36</x:v>
      </x:c>
      <x:c r="M429" s="366" t="n">
        <x:v>20</x:v>
      </x:c>
      <x:c r="N429" s="367" t="n">
        <x:f>SUM(K429:M429)</x:f>
        <x:v>84</x:v>
      </x:c>
      <x:c r="O429" s="368" t="n">
        <x:f>N429/25</x:f>
        <x:v>3.36</x:v>
      </x:c>
      <x:c r="P429" s="366" t="str">
        <x:v>Caso de salud digital: Sistemas de información clínica.</x:v>
      </x:c>
      <x:c r="Q429" s="366" t="str">
        <x:v>S40</x:v>
      </x:c>
      <x:c r="R429" s="366" t="str">
        <x:v>No iniciado</x:v>
      </x:c>
      <x:c r="S429" s="369" t="n">
        <x:v>0</x:v>
      </x:c>
      <x:c r="T429" s="370"/>
      <x:c r="U429" s="370"/>
      <x:c r="V429" s="366" t="str">
        <x:v>Une biología molecular, medicina, estadística, computación y gestión clínica de información.</x:v>
      </x:c>
      <x:c r="W429" s="366" t="str">
        <x:v>Alta: práctica vigente</x:v>
      </x:c>
      <x:c r="X429" s="366" t="str">
        <x:v>Presente 2026 y corto (2027–2029)</x:v>
      </x:c>
      <x:c r="Y429" s="366" t="str">
        <x:v>Actual</x:v>
      </x:c>
      <x:c r="Z429" s="366" t="str">
        <x:v>12 meses</x:v>
      </x:c>
      <x:c r="AA429" s="366" t="str">
        <x:v>Multi-ómica, modelos fundacionales biomédicos, biomarcadores digitales, federación e interfaces neurales.</x:v>
      </x:c>
    </x:row>
    <x:row r="430" ht="58" customHeight="1">
      <x:c r="A430" s="351" t="str">
        <x:v>BIO-018</x:v>
      </x:c>
      <x:c r="B430" s="351" t="n">
        <x:v>6</x:v>
      </x:c>
      <x:c r="C430" s="351" t="str">
        <x:v>Especialización II</x:v>
      </x:c>
      <x:c r="D430" s="351" t="str">
        <x:v>Informática médica y salud digital</x:v>
      </x:c>
      <x:c r="E430" s="351" t="str">
        <x:v>Bioinformática y salud digital</x:v>
      </x:c>
      <x:c r="F430" s="351" t="str">
        <x:v>Historias clínicas electrónicas</x:v>
      </x:c>
      <x:c r="G430" s="351" t="str">
        <x:v>Historias clínicas electrónicas. Información clínica, interoperabilidad, decisión, seguridad, regulación y transformación sanitaria.</x:v>
      </x:c>
      <x:c r="H430" s="351" t="str">
        <x:v>BIO-017</x:v>
      </x:c>
      <x:c r="I430" s="351" t="str">
        <x:v>Frontera/adyacente</x:v>
      </x:c>
      <x:c r="J430" s="351" t="n">
        <x:v>3</x:v>
      </x:c>
      <x:c r="K430" s="351" t="n">
        <x:v>28</x:v>
      </x:c>
      <x:c r="L430" s="351" t="n">
        <x:v>36</x:v>
      </x:c>
      <x:c r="M430" s="351" t="n">
        <x:v>20</x:v>
      </x:c>
      <x:c r="N430" s="352" t="n">
        <x:f>SUM(K430:M430)</x:f>
        <x:v>84</x:v>
      </x:c>
      <x:c r="O430" s="353" t="n">
        <x:f>N430/25</x:f>
        <x:v>3.36</x:v>
      </x:c>
      <x:c r="P430" s="351" t="str">
        <x:v>Caso de salud digital: Historias clínicas electrónicas.</x:v>
      </x:c>
      <x:c r="Q430" s="351" t="str">
        <x:v>S40</x:v>
      </x:c>
      <x:c r="R430" s="351" t="str">
        <x:v>No iniciado</x:v>
      </x:c>
      <x:c r="S430" s="354" t="n">
        <x:v>0</x:v>
      </x:c>
      <x:c r="T430" s="355"/>
      <x:c r="U430" s="355"/>
      <x:c r="V430" s="351" t="str">
        <x:v>Une biología molecular, medicina, estadística, computación y gestión clínica de información.</x:v>
      </x:c>
      <x:c r="W430" s="351" t="str">
        <x:v>Alta: práctica vigente</x:v>
      </x:c>
      <x:c r="X430" s="351" t="str">
        <x:v>Presente 2026 y corto (2027–2029)</x:v>
      </x:c>
      <x:c r="Y430" s="351" t="str">
        <x:v>Actual</x:v>
      </x:c>
      <x:c r="Z430" s="351" t="str">
        <x:v>12 meses</x:v>
      </x:c>
      <x:c r="AA430" s="351" t="str">
        <x:v>Multi-ómica, modelos fundacionales biomédicos, biomarcadores digitales, federación e interfaces neurales.</x:v>
      </x:c>
    </x:row>
    <x:row r="431" ht="58" customHeight="1">
      <x:c r="A431" s="366" t="str">
        <x:v>BIO-019</x:v>
      </x:c>
      <x:c r="B431" s="366" t="n">
        <x:v>6</x:v>
      </x:c>
      <x:c r="C431" s="366" t="str">
        <x:v>Especialización II</x:v>
      </x:c>
      <x:c r="D431" s="366" t="str">
        <x:v>Informática médica y salud digital</x:v>
      </x:c>
      <x:c r="E431" s="366" t="str">
        <x:v>Bioinformática y salud digital</x:v>
      </x:c>
      <x:c r="F431" s="366" t="str">
        <x:v>Interoperabilidad HL7, FHIR y DICOM</x:v>
      </x:c>
      <x:c r="G431" s="366" t="str">
        <x:v>Interoperabilidad HL7, FHIR y DICOM. Información clínica, interoperabilidad, decisión, seguridad, regulación y transformación sanitaria.</x:v>
      </x:c>
      <x:c r="H431" s="366" t="str">
        <x:v>BIO-018</x:v>
      </x:c>
      <x:c r="I431" s="366" t="str">
        <x:v>Frontera/adyacente</x:v>
      </x:c>
      <x:c r="J431" s="366" t="n">
        <x:v>3</x:v>
      </x:c>
      <x:c r="K431" s="366" t="n">
        <x:v>28</x:v>
      </x:c>
      <x:c r="L431" s="366" t="n">
        <x:v>36</x:v>
      </x:c>
      <x:c r="M431" s="366" t="n">
        <x:v>20</x:v>
      </x:c>
      <x:c r="N431" s="367" t="n">
        <x:f>SUM(K431:M431)</x:f>
        <x:v>84</x:v>
      </x:c>
      <x:c r="O431" s="368" t="n">
        <x:f>N431/25</x:f>
        <x:v>3.36</x:v>
      </x:c>
      <x:c r="P431" s="366" t="str">
        <x:v>Caso de salud digital: Interoperabilidad HL7, FHIR y DICOM.</x:v>
      </x:c>
      <x:c r="Q431" s="366" t="str">
        <x:v>S40</x:v>
      </x:c>
      <x:c r="R431" s="366" t="str">
        <x:v>No iniciado</x:v>
      </x:c>
      <x:c r="S431" s="369" t="n">
        <x:v>0</x:v>
      </x:c>
      <x:c r="T431" s="370"/>
      <x:c r="U431" s="370"/>
      <x:c r="V431" s="366" t="str">
        <x:v>Une biología molecular, medicina, estadística, computación y gestión clínica de información.</x:v>
      </x:c>
      <x:c r="W431" s="366" t="str">
        <x:v>Alta: práctica vigente</x:v>
      </x:c>
      <x:c r="X431" s="366" t="str">
        <x:v>Presente 2026 y corto (2027–2029)</x:v>
      </x:c>
      <x:c r="Y431" s="366" t="str">
        <x:v>Actual</x:v>
      </x:c>
      <x:c r="Z431" s="366" t="str">
        <x:v>12 meses</x:v>
      </x:c>
      <x:c r="AA431" s="366" t="str">
        <x:v>Multi-ómica, modelos fundacionales biomédicos, biomarcadores digitales, federación e interfaces neurales.</x:v>
      </x:c>
    </x:row>
    <x:row r="432" ht="58" customHeight="1">
      <x:c r="A432" s="351" t="str">
        <x:v>BIO-020</x:v>
      </x:c>
      <x:c r="B432" s="351" t="n">
        <x:v>6</x:v>
      </x:c>
      <x:c r="C432" s="351" t="str">
        <x:v>Especialización II</x:v>
      </x:c>
      <x:c r="D432" s="351" t="str">
        <x:v>Informática médica y salud digital</x:v>
      </x:c>
      <x:c r="E432" s="351" t="str">
        <x:v>Bioinformática y salud digital</x:v>
      </x:c>
      <x:c r="F432" s="351" t="str">
        <x:v>Terminologías y ontologías clínicas</x:v>
      </x:c>
      <x:c r="G432" s="351" t="str">
        <x:v>Terminologías y ontologías clínicas. Información clínica, interoperabilidad, decisión, seguridad, regulación y transformación sanitaria.</x:v>
      </x:c>
      <x:c r="H432" s="351" t="str">
        <x:v>BIO-019</x:v>
      </x:c>
      <x:c r="I432" s="351" t="str">
        <x:v>Frontera/adyacente</x:v>
      </x:c>
      <x:c r="J432" s="351" t="n">
        <x:v>3</x:v>
      </x:c>
      <x:c r="K432" s="351" t="n">
        <x:v>28</x:v>
      </x:c>
      <x:c r="L432" s="351" t="n">
        <x:v>36</x:v>
      </x:c>
      <x:c r="M432" s="351" t="n">
        <x:v>20</x:v>
      </x:c>
      <x:c r="N432" s="352" t="n">
        <x:f>SUM(K432:M432)</x:f>
        <x:v>84</x:v>
      </x:c>
      <x:c r="O432" s="353" t="n">
        <x:f>N432/25</x:f>
        <x:v>3.36</x:v>
      </x:c>
      <x:c r="P432" s="351" t="str">
        <x:v>Caso de salud digital: Terminologías y ontologías clínicas.</x:v>
      </x:c>
      <x:c r="Q432" s="351" t="str">
        <x:v>S40</x:v>
      </x:c>
      <x:c r="R432" s="351" t="str">
        <x:v>No iniciado</x:v>
      </x:c>
      <x:c r="S432" s="354" t="n">
        <x:v>0</x:v>
      </x:c>
      <x:c r="T432" s="355"/>
      <x:c r="U432" s="355"/>
      <x:c r="V432" s="351" t="str">
        <x:v>Une biología molecular, medicina, estadística, computación y gestión clínica de información.</x:v>
      </x:c>
      <x:c r="W432" s="351" t="str">
        <x:v>Alta: práctica vigente</x:v>
      </x:c>
      <x:c r="X432" s="351" t="str">
        <x:v>Presente 2026 y corto (2027–2029)</x:v>
      </x:c>
      <x:c r="Y432" s="351" t="str">
        <x:v>Actual</x:v>
      </x:c>
      <x:c r="Z432" s="351" t="str">
        <x:v>12 meses</x:v>
      </x:c>
      <x:c r="AA432" s="351" t="str">
        <x:v>Multi-ómica, modelos fundacionales biomédicos, biomarcadores digitales, federación e interfaces neurales.</x:v>
      </x:c>
    </x:row>
    <x:row r="433" ht="58" customHeight="1">
      <x:c r="A433" s="366" t="str">
        <x:v>CYB-022</x:v>
      </x:c>
      <x:c r="B433" s="366" t="n">
        <x:v>6</x:v>
      </x:c>
      <x:c r="C433" s="366" t="str">
        <x:v>Especialización II</x:v>
      </x:c>
      <x:c r="D433" s="366" t="str">
        <x:v>Seguridad defensiva y gobierno</x:v>
      </x:c>
      <x:c r="E433" s="366" t="str">
        <x:v>Ciberseguridad, forense y auditoría</x:v>
      </x:c>
      <x:c r="F433" s="366" t="str">
        <x:v>Ingeniería inversa</x:v>
      </x:c>
      <x:c r="G433" s="366" t="str">
        <x:v>Ingeniería inversa. Diseño de controles, laboratorios aislados, gestión de riesgo y evidencia auditable.</x:v>
      </x:c>
      <x:c r="H433" s="366" t="str">
        <x:v>CYB-021</x:v>
      </x:c>
      <x:c r="I433" s="366" t="str">
        <x:v>Dominio profesional</x:v>
      </x:c>
      <x:c r="J433" s="366" t="n">
        <x:v>2</x:v>
      </x:c>
      <x:c r="K433" s="366" t="n">
        <x:v>28</x:v>
      </x:c>
      <x:c r="L433" s="366" t="n">
        <x:v>36</x:v>
      </x:c>
      <x:c r="M433" s="366" t="n">
        <x:v>20</x:v>
      </x:c>
      <x:c r="N433" s="367" t="n">
        <x:f>SUM(K433:M433)</x:f>
        <x:v>84</x:v>
      </x:c>
      <x:c r="O433" s="368" t="n">
        <x:f>N433/25</x:f>
        <x:v>3.36</x:v>
      </x:c>
      <x:c r="P433" s="366" t="str">
        <x:v>Evaluación defensiva: Ingeniería inversa.</x:v>
      </x:c>
      <x:c r="Q433" s="366" t="str">
        <x:v>S03; S05; S08; S33; S34; S36</x:v>
      </x:c>
      <x:c r="R433" s="366" t="str">
        <x:v>No iniciado</x:v>
      </x:c>
      <x:c r="S433" s="369" t="n">
        <x:v>0</x:v>
      </x:c>
      <x:c r="T433" s="370"/>
      <x:c r="U433" s="370"/>
      <x:c r="V433" s="366" t="str">
        <x:v>Evoluciona con sistemas multiusuario, criptografía, delitos digitales, regulación y gestión del riesgo.</x:v>
      </x:c>
      <x:c r="W433" s="366" t="str">
        <x:v>Alta: práctica vigente</x:v>
      </x:c>
      <x:c r="X433" s="366" t="str">
        <x:v>Presente 2026 y corto (2027–2029)</x:v>
      </x:c>
      <x:c r="Y433" s="366" t="str">
        <x:v>Actual</x:v>
      </x:c>
      <x:c r="Z433" s="366" t="str">
        <x:v>12 meses</x:v>
      </x:c>
      <x:c r="AA433" s="366" t="str">
        <x:v>Migración poscuántica, seguridad de IA, explotación activa, identidad, privacidad y resiliencia de proveedores.</x:v>
      </x:c>
    </x:row>
    <x:row r="434" ht="58" customHeight="1">
      <x:c r="A434" s="351" t="str">
        <x:v>CYB-023</x:v>
      </x:c>
      <x:c r="B434" s="351" t="n">
        <x:v>6</x:v>
      </x:c>
      <x:c r="C434" s="351" t="str">
        <x:v>Especialización II</x:v>
      </x:c>
      <x:c r="D434" s="351" t="str">
        <x:v>Seguridad defensiva y gobierno</x:v>
      </x:c>
      <x:c r="E434" s="351" t="str">
        <x:v>Ciberseguridad, forense y auditoría</x:v>
      </x:c>
      <x:c r="F434" s="351" t="str">
        <x:v>DevSecOps</x:v>
      </x:c>
      <x:c r="G434" s="351" t="str">
        <x:v>DevSecOps. Diseño de controles, laboratorios aislados, gestión de riesgo y evidencia auditable.</x:v>
      </x:c>
      <x:c r="H434" s="351" t="str">
        <x:v>CYB-022</x:v>
      </x:c>
      <x:c r="I434" s="351" t="str">
        <x:v>Dominio profesional</x:v>
      </x:c>
      <x:c r="J434" s="351" t="n">
        <x:v>2</x:v>
      </x:c>
      <x:c r="K434" s="351" t="n">
        <x:v>28</x:v>
      </x:c>
      <x:c r="L434" s="351" t="n">
        <x:v>36</x:v>
      </x:c>
      <x:c r="M434" s="351" t="n">
        <x:v>20</x:v>
      </x:c>
      <x:c r="N434" s="352" t="n">
        <x:f>SUM(K434:M434)</x:f>
        <x:v>84</x:v>
      </x:c>
      <x:c r="O434" s="353" t="n">
        <x:f>N434/25</x:f>
        <x:v>3.36</x:v>
      </x:c>
      <x:c r="P434" s="351" t="str">
        <x:v>Evaluación defensiva: DevSecOps.</x:v>
      </x:c>
      <x:c r="Q434" s="351" t="str">
        <x:v>S03; S05; S08; S33; S34; S36</x:v>
      </x:c>
      <x:c r="R434" s="351" t="str">
        <x:v>No iniciado</x:v>
      </x:c>
      <x:c r="S434" s="354" t="n">
        <x:v>0</x:v>
      </x:c>
      <x:c r="T434" s="355"/>
      <x:c r="U434" s="355"/>
      <x:c r="V434" s="351" t="str">
        <x:v>Evoluciona con sistemas multiusuario, criptografía, delitos digitales, regulación y gestión del riesgo.</x:v>
      </x:c>
      <x:c r="W434" s="351" t="str">
        <x:v>Alta: práctica vigente</x:v>
      </x:c>
      <x:c r="X434" s="351" t="str">
        <x:v>Presente 2026 y corto (2027–2029)</x:v>
      </x:c>
      <x:c r="Y434" s="351" t="str">
        <x:v>Actual</x:v>
      </x:c>
      <x:c r="Z434" s="351" t="str">
        <x:v>12 meses</x:v>
      </x:c>
      <x:c r="AA434" s="351" t="str">
        <x:v>Migración poscuántica, seguridad de IA, explotación activa, identidad, privacidad y resiliencia de proveedores.</x:v>
      </x:c>
    </x:row>
    <x:row r="435" ht="58" customHeight="1">
      <x:c r="A435" s="366" t="str">
        <x:v>CYB-024</x:v>
      </x:c>
      <x:c r="B435" s="366" t="n">
        <x:v>6</x:v>
      </x:c>
      <x:c r="C435" s="366" t="str">
        <x:v>Especialización II</x:v>
      </x:c>
      <x:c r="D435" s="366" t="str">
        <x:v>Seguridad defensiva y gobierno</x:v>
      </x:c>
      <x:c r="E435" s="366" t="str">
        <x:v>Ciberseguridad, forense y auditoría</x:v>
      </x:c>
      <x:c r="F435" s="366" t="str">
        <x:v>Privacidad y protección de datos</x:v>
      </x:c>
      <x:c r="G435" s="366" t="str">
        <x:v>Privacidad y protección de datos. Diseño de controles, laboratorios aislados, gestión de riesgo y evidencia auditable.</x:v>
      </x:c>
      <x:c r="H435" s="366" t="str">
        <x:v>CYB-023</x:v>
      </x:c>
      <x:c r="I435" s="366" t="str">
        <x:v>Dominio profesional</x:v>
      </x:c>
      <x:c r="J435" s="366" t="n">
        <x:v>2</x:v>
      </x:c>
      <x:c r="K435" s="366" t="n">
        <x:v>28</x:v>
      </x:c>
      <x:c r="L435" s="366" t="n">
        <x:v>36</x:v>
      </x:c>
      <x:c r="M435" s="366" t="n">
        <x:v>20</x:v>
      </x:c>
      <x:c r="N435" s="367" t="n">
        <x:f>SUM(K435:M435)</x:f>
        <x:v>84</x:v>
      </x:c>
      <x:c r="O435" s="368" t="n">
        <x:f>N435/25</x:f>
        <x:v>3.36</x:v>
      </x:c>
      <x:c r="P435" s="366" t="str">
        <x:v>Evaluación defensiva: Privacidad y protección de datos.</x:v>
      </x:c>
      <x:c r="Q435" s="366" t="str">
        <x:v>S03; S05; S08; S33; S34; S36</x:v>
      </x:c>
      <x:c r="R435" s="366" t="str">
        <x:v>No iniciado</x:v>
      </x:c>
      <x:c r="S435" s="369" t="n">
        <x:v>0</x:v>
      </x:c>
      <x:c r="T435" s="370"/>
      <x:c r="U435" s="370"/>
      <x:c r="V435" s="366" t="str">
        <x:v>Evoluciona con sistemas multiusuario, criptografía, delitos digitales, regulación y gestión del riesgo.</x:v>
      </x:c>
      <x:c r="W435" s="366" t="str">
        <x:v>Alta: práctica vigente</x:v>
      </x:c>
      <x:c r="X435" s="366" t="str">
        <x:v>Presente 2026 y corto (2027–2029)</x:v>
      </x:c>
      <x:c r="Y435" s="366" t="str">
        <x:v>Actual</x:v>
      </x:c>
      <x:c r="Z435" s="366" t="str">
        <x:v>12 meses</x:v>
      </x:c>
      <x:c r="AA435" s="366" t="str">
        <x:v>Migración poscuántica, seguridad de IA, explotación activa, identidad, privacidad y resiliencia de proveedores.</x:v>
      </x:c>
    </x:row>
    <x:row r="436" ht="58" customHeight="1">
      <x:c r="A436" s="351" t="str">
        <x:v>CYB-025</x:v>
      </x:c>
      <x:c r="B436" s="351" t="n">
        <x:v>6</x:v>
      </x:c>
      <x:c r="C436" s="351" t="str">
        <x:v>Especialización II</x:v>
      </x:c>
      <x:c r="D436" s="351" t="str">
        <x:v>Seguridad defensiva y gobierno</x:v>
      </x:c>
      <x:c r="E436" s="351" t="str">
        <x:v>Ciberseguridad, forense y auditoría</x:v>
      </x:c>
      <x:c r="F436" s="351" t="str">
        <x:v>Gobierno de seguridad de la información</x:v>
      </x:c>
      <x:c r="G436" s="351" t="str">
        <x:v>Gobierno de seguridad de la información. Diseño de controles, laboratorios aislados, gestión de riesgo y evidencia auditable.</x:v>
      </x:c>
      <x:c r="H436" s="351" t="str">
        <x:v>CYB-024</x:v>
      </x:c>
      <x:c r="I436" s="351" t="str">
        <x:v>Dominio profesional</x:v>
      </x:c>
      <x:c r="J436" s="351" t="n">
        <x:v>2</x:v>
      </x:c>
      <x:c r="K436" s="351" t="n">
        <x:v>28</x:v>
      </x:c>
      <x:c r="L436" s="351" t="n">
        <x:v>36</x:v>
      </x:c>
      <x:c r="M436" s="351" t="n">
        <x:v>20</x:v>
      </x:c>
      <x:c r="N436" s="352" t="n">
        <x:f>SUM(K436:M436)</x:f>
        <x:v>84</x:v>
      </x:c>
      <x:c r="O436" s="353" t="n">
        <x:f>N436/25</x:f>
        <x:v>3.36</x:v>
      </x:c>
      <x:c r="P436" s="351" t="str">
        <x:v>Evaluación defensiva: Gobierno de seguridad de la información.</x:v>
      </x:c>
      <x:c r="Q436" s="351" t="str">
        <x:v>S03; S05; S08; S33; S34; S36</x:v>
      </x:c>
      <x:c r="R436" s="351" t="str">
        <x:v>No iniciado</x:v>
      </x:c>
      <x:c r="S436" s="354" t="n">
        <x:v>0</x:v>
      </x:c>
      <x:c r="T436" s="355"/>
      <x:c r="U436" s="355"/>
      <x:c r="V436" s="351" t="str">
        <x:v>Evoluciona con sistemas multiusuario, criptografía, delitos digitales, regulación y gestión del riesgo.</x:v>
      </x:c>
      <x:c r="W436" s="351" t="str">
        <x:v>Alta: práctica vigente</x:v>
      </x:c>
      <x:c r="X436" s="351" t="str">
        <x:v>Presente 2026 y corto (2027–2029)</x:v>
      </x:c>
      <x:c r="Y436" s="351" t="str">
        <x:v>Actual</x:v>
      </x:c>
      <x:c r="Z436" s="351" t="str">
        <x:v>12 meses</x:v>
      </x:c>
      <x:c r="AA436" s="351" t="str">
        <x:v>Migración poscuántica, seguridad de IA, explotación activa, identidad, privacidad y resiliencia de proveedores.</x:v>
      </x:c>
    </x:row>
    <x:row r="437" ht="58" customHeight="1">
      <x:c r="A437" s="366" t="str">
        <x:v>CYB-026</x:v>
      </x:c>
      <x:c r="B437" s="366" t="n">
        <x:v>6</x:v>
      </x:c>
      <x:c r="C437" s="366" t="str">
        <x:v>Especialización II</x:v>
      </x:c>
      <x:c r="D437" s="366" t="str">
        <x:v>Seguridad defensiva y gobierno</x:v>
      </x:c>
      <x:c r="E437" s="366" t="str">
        <x:v>Ciberseguridad, forense y auditoría</x:v>
      </x:c>
      <x:c r="F437" s="366" t="str">
        <x:v>Gestión de riesgos tecnológicos</x:v>
      </x:c>
      <x:c r="G437" s="366" t="str">
        <x:v>Gestión de riesgos tecnológicos. Diseño de controles, laboratorios aislados, gestión de riesgo y evidencia auditable.</x:v>
      </x:c>
      <x:c r="H437" s="366" t="str">
        <x:v>CYB-025</x:v>
      </x:c>
      <x:c r="I437" s="366" t="str">
        <x:v>Dominio profesional</x:v>
      </x:c>
      <x:c r="J437" s="366" t="n">
        <x:v>2</x:v>
      </x:c>
      <x:c r="K437" s="366" t="n">
        <x:v>28</x:v>
      </x:c>
      <x:c r="L437" s="366" t="n">
        <x:v>36</x:v>
      </x:c>
      <x:c r="M437" s="366" t="n">
        <x:v>20</x:v>
      </x:c>
      <x:c r="N437" s="367" t="n">
        <x:f>SUM(K437:M437)</x:f>
        <x:v>84</x:v>
      </x:c>
      <x:c r="O437" s="368" t="n">
        <x:f>N437/25</x:f>
        <x:v>3.36</x:v>
      </x:c>
      <x:c r="P437" s="366" t="str">
        <x:v>Evaluación defensiva: Gestión de riesgos tecnológicos.</x:v>
      </x:c>
      <x:c r="Q437" s="366" t="str">
        <x:v>S03; S05; S08; S33; S34; S36</x:v>
      </x:c>
      <x:c r="R437" s="366" t="str">
        <x:v>No iniciado</x:v>
      </x:c>
      <x:c r="S437" s="369" t="n">
        <x:v>0</x:v>
      </x:c>
      <x:c r="T437" s="370"/>
      <x:c r="U437" s="370"/>
      <x:c r="V437" s="366" t="str">
        <x:v>Evoluciona con sistemas multiusuario, criptografía, delitos digitales, regulación y gestión del riesgo.</x:v>
      </x:c>
      <x:c r="W437" s="366" t="str">
        <x:v>Alta: práctica vigente</x:v>
      </x:c>
      <x:c r="X437" s="366" t="str">
        <x:v>Presente 2026 y corto (2027–2029)</x:v>
      </x:c>
      <x:c r="Y437" s="366" t="str">
        <x:v>Actual</x:v>
      </x:c>
      <x:c r="Z437" s="366" t="str">
        <x:v>12 meses</x:v>
      </x:c>
      <x:c r="AA437" s="366" t="str">
        <x:v>Migración poscuántica, seguridad de IA, explotación activa, identidad, privacidad y resiliencia de proveedores.</x:v>
      </x:c>
    </x:row>
    <x:row r="438" ht="58" customHeight="1">
      <x:c r="A438" s="351" t="str">
        <x:v>CYB-027</x:v>
      </x:c>
      <x:c r="B438" s="351" t="n">
        <x:v>6</x:v>
      </x:c>
      <x:c r="C438" s="351" t="str">
        <x:v>Especialización II</x:v>
      </x:c>
      <x:c r="D438" s="351" t="str">
        <x:v>Seguridad defensiva y gobierno</x:v>
      </x:c>
      <x:c r="E438" s="351" t="str">
        <x:v>Ciberseguridad, forense y auditoría</x:v>
      </x:c>
      <x:c r="F438" s="351" t="str">
        <x:v>ISO 27001, NIST CSF y marcos de control</x:v>
      </x:c>
      <x:c r="G438" s="351" t="str">
        <x:v>ISO 27001, NIST CSF y marcos de control. Diseño de controles, laboratorios aislados, gestión de riesgo y evidencia auditable.</x:v>
      </x:c>
      <x:c r="H438" s="351" t="str">
        <x:v>CYB-026</x:v>
      </x:c>
      <x:c r="I438" s="351" t="str">
        <x:v>Dominio profesional</x:v>
      </x:c>
      <x:c r="J438" s="351" t="n">
        <x:v>2</x:v>
      </x:c>
      <x:c r="K438" s="351" t="n">
        <x:v>28</x:v>
      </x:c>
      <x:c r="L438" s="351" t="n">
        <x:v>36</x:v>
      </x:c>
      <x:c r="M438" s="351" t="n">
        <x:v>20</x:v>
      </x:c>
      <x:c r="N438" s="352" t="n">
        <x:f>SUM(K438:M438)</x:f>
        <x:v>84</x:v>
      </x:c>
      <x:c r="O438" s="353" t="n">
        <x:f>N438/25</x:f>
        <x:v>3.36</x:v>
      </x:c>
      <x:c r="P438" s="351" t="str">
        <x:v>Evaluación defensiva: ISO 27001, NIST CSF y marcos de control.</x:v>
      </x:c>
      <x:c r="Q438" s="351" t="str">
        <x:v>S03; S05; S08; S33; S34; S36</x:v>
      </x:c>
      <x:c r="R438" s="351" t="str">
        <x:v>No iniciado</x:v>
      </x:c>
      <x:c r="S438" s="354" t="n">
        <x:v>0</x:v>
      </x:c>
      <x:c r="T438" s="355"/>
      <x:c r="U438" s="355"/>
      <x:c r="V438" s="351" t="str">
        <x:v>Evoluciona con sistemas multiusuario, criptografía, delitos digitales, regulación y gestión del riesgo.</x:v>
      </x:c>
      <x:c r="W438" s="351" t="str">
        <x:v>Alta: práctica vigente</x:v>
      </x:c>
      <x:c r="X438" s="351" t="str">
        <x:v>Presente 2026 y corto (2027–2029)</x:v>
      </x:c>
      <x:c r="Y438" s="351" t="str">
        <x:v>Actual</x:v>
      </x:c>
      <x:c r="Z438" s="351" t="str">
        <x:v>12 meses</x:v>
      </x:c>
      <x:c r="AA438" s="351" t="str">
        <x:v>Migración poscuántica, seguridad de IA, explotación activa, identidad, privacidad y resiliencia de proveedores.</x:v>
      </x:c>
    </x:row>
    <x:row r="439" ht="58" customHeight="1">
      <x:c r="A439" s="366" t="str">
        <x:v>CYB-028</x:v>
      </x:c>
      <x:c r="B439" s="366" t="n">
        <x:v>6</x:v>
      </x:c>
      <x:c r="C439" s="366" t="str">
        <x:v>Especialización II</x:v>
      </x:c>
      <x:c r="D439" s="366" t="str">
        <x:v>Seguridad defensiva y gobierno</x:v>
      </x:c>
      <x:c r="E439" s="366" t="str">
        <x:v>Ciberseguridad, forense y auditoría</x:v>
      </x:c>
      <x:c r="F439" s="366" t="str">
        <x:v>Continuidad del negocio y resiliencia</x:v>
      </x:c>
      <x:c r="G439" s="366" t="str">
        <x:v>Continuidad del negocio y resiliencia. Diseño de controles, laboratorios aislados, gestión de riesgo y evidencia auditable.</x:v>
      </x:c>
      <x:c r="H439" s="366" t="str">
        <x:v>CYB-027</x:v>
      </x:c>
      <x:c r="I439" s="366" t="str">
        <x:v>Dominio profesional</x:v>
      </x:c>
      <x:c r="J439" s="366" t="n">
        <x:v>2</x:v>
      </x:c>
      <x:c r="K439" s="366" t="n">
        <x:v>28</x:v>
      </x:c>
      <x:c r="L439" s="366" t="n">
        <x:v>36</x:v>
      </x:c>
      <x:c r="M439" s="366" t="n">
        <x:v>20</x:v>
      </x:c>
      <x:c r="N439" s="367" t="n">
        <x:f>SUM(K439:M439)</x:f>
        <x:v>84</x:v>
      </x:c>
      <x:c r="O439" s="368" t="n">
        <x:f>N439/25</x:f>
        <x:v>3.36</x:v>
      </x:c>
      <x:c r="P439" s="366" t="str">
        <x:v>Evaluación defensiva: Continuidad del negocio y resiliencia.</x:v>
      </x:c>
      <x:c r="Q439" s="366" t="str">
        <x:v>S03; S05; S08; S33; S34; S36</x:v>
      </x:c>
      <x:c r="R439" s="366" t="str">
        <x:v>No iniciado</x:v>
      </x:c>
      <x:c r="S439" s="369" t="n">
        <x:v>0</x:v>
      </x:c>
      <x:c r="T439" s="370"/>
      <x:c r="U439" s="370"/>
      <x:c r="V439" s="366" t="str">
        <x:v>Evoluciona con sistemas multiusuario, criptografía, delitos digitales, regulación y gestión del riesgo.</x:v>
      </x:c>
      <x:c r="W439" s="366" t="str">
        <x:v>Alta: práctica vigente</x:v>
      </x:c>
      <x:c r="X439" s="366" t="str">
        <x:v>Presente 2026 y corto (2027–2029)</x:v>
      </x:c>
      <x:c r="Y439" s="366" t="str">
        <x:v>Actual</x:v>
      </x:c>
      <x:c r="Z439" s="366" t="str">
        <x:v>12 meses</x:v>
      </x:c>
      <x:c r="AA439" s="366" t="str">
        <x:v>Migración poscuántica, seguridad de IA, explotación activa, identidad, privacidad y resiliencia de proveedores.</x:v>
      </x:c>
    </x:row>
    <x:row r="440" ht="58" customHeight="1">
      <x:c r="A440" s="351" t="str">
        <x:v>CYB-036</x:v>
      </x:c>
      <x:c r="B440" s="351" t="n">
        <x:v>6</x:v>
      </x:c>
      <x:c r="C440" s="351" t="str">
        <x:v>Especialización II</x:v>
      </x:c>
      <x:c r="D440" s="351" t="str">
        <x:v>Seguridad ofensiva ética</x:v>
      </x:c>
      <x:c r="E440" s="351" t="str">
        <x:v>Ciberseguridad, forense y auditoría</x:v>
      </x:c>
      <x:c r="F440" s="351" t="str">
        <x:v>Seguridad de contraseñas y autenticación</x:v>
      </x:c>
      <x:c r="G440" s="351" t="str">
        <x:v>Seguridad de contraseñas y autenticación. Exclusivamente en laboratorios propios o con autorización expresa; reporte, remediación y ética obligatorios.</x:v>
      </x:c>
      <x:c r="H440" s="351" t="str">
        <x:v>CYB-035</x:v>
      </x:c>
      <x:c r="I440" s="351" t="str">
        <x:v>Dominio profesional</x:v>
      </x:c>
      <x:c r="J440" s="351" t="n">
        <x:v>2</x:v>
      </x:c>
      <x:c r="K440" s="351" t="n">
        <x:v>20</x:v>
      </x:c>
      <x:c r="L440" s="351" t="n">
        <x:v>52</x:v>
      </x:c>
      <x:c r="M440" s="351" t="n">
        <x:v>20</x:v>
      </x:c>
      <x:c r="N440" s="352" t="n">
        <x:f>SUM(K440:M440)</x:f>
        <x:v>92</x:v>
      </x:c>
      <x:c r="O440" s="353" t="n">
        <x:f>N440/25</x:f>
        <x:v>3.68</x:v>
      </x:c>
      <x:c r="P440" s="351" t="str">
        <x:v>Informe de pentest autorizado: Seguridad de contraseñas y autenticación.</x:v>
      </x:c>
      <x:c r="Q440" s="351" t="str">
        <x:v>S08; S32; S33</x:v>
      </x:c>
      <x:c r="R440" s="351" t="str">
        <x:v>No iniciado</x:v>
      </x:c>
      <x:c r="S440" s="354" t="n">
        <x:v>0</x:v>
      </x:c>
      <x:c r="T440" s="355"/>
      <x:c r="U440" s="355"/>
      <x:c r="V440" s="351" t="str">
        <x:v>Evoluciona con sistemas multiusuario, criptografía, delitos digitales, regulación y gestión del riesgo.</x:v>
      </x:c>
      <x:c r="W440" s="351" t="str">
        <x:v>Alta: práctica vigente</x:v>
      </x:c>
      <x:c r="X440" s="351" t="str">
        <x:v>Presente 2026 y corto (2027–2029)</x:v>
      </x:c>
      <x:c r="Y440" s="351" t="str">
        <x:v>Actual</x:v>
      </x:c>
      <x:c r="Z440" s="351" t="str">
        <x:v>12 meses</x:v>
      </x:c>
      <x:c r="AA440" s="351" t="str">
        <x:v>Migración poscuántica, seguridad de IA, explotación activa, identidad, privacidad y resiliencia de proveedores.</x:v>
      </x:c>
    </x:row>
    <x:row r="441" ht="58" customHeight="1">
      <x:c r="A441" s="366" t="str">
        <x:v>CYB-037</x:v>
      </x:c>
      <x:c r="B441" s="366" t="n">
        <x:v>6</x:v>
      </x:c>
      <x:c r="C441" s="366" t="str">
        <x:v>Especialización II</x:v>
      </x:c>
      <x:c r="D441" s="366" t="str">
        <x:v>Seguridad ofensiva ética</x:v>
      </x:c>
      <x:c r="E441" s="366" t="str">
        <x:v>Ciberseguridad, forense y auditoría</x:v>
      </x:c>
      <x:c r="F441" s="366" t="str">
        <x:v>Escalada de privilegios en Linux</x:v>
      </x:c>
      <x:c r="G441" s="366" t="str">
        <x:v>Escalada de privilegios en Linux. Exclusivamente en laboratorios propios o con autorización expresa; reporte, remediación y ética obligatorios.</x:v>
      </x:c>
      <x:c r="H441" s="366" t="str">
        <x:v>CYB-036</x:v>
      </x:c>
      <x:c r="I441" s="366" t="str">
        <x:v>Dominio profesional</x:v>
      </x:c>
      <x:c r="J441" s="366" t="n">
        <x:v>2</x:v>
      </x:c>
      <x:c r="K441" s="366" t="n">
        <x:v>20</x:v>
      </x:c>
      <x:c r="L441" s="366" t="n">
        <x:v>52</x:v>
      </x:c>
      <x:c r="M441" s="366" t="n">
        <x:v>20</x:v>
      </x:c>
      <x:c r="N441" s="367" t="n">
        <x:f>SUM(K441:M441)</x:f>
        <x:v>92</x:v>
      </x:c>
      <x:c r="O441" s="368" t="n">
        <x:f>N441/25</x:f>
        <x:v>3.68</x:v>
      </x:c>
      <x:c r="P441" s="366" t="str">
        <x:v>Informe de pentest autorizado: Escalada de privilegios en Linux.</x:v>
      </x:c>
      <x:c r="Q441" s="366" t="str">
        <x:v>S08; S32; S33</x:v>
      </x:c>
      <x:c r="R441" s="366" t="str">
        <x:v>No iniciado</x:v>
      </x:c>
      <x:c r="S441" s="369" t="n">
        <x:v>0</x:v>
      </x:c>
      <x:c r="T441" s="370"/>
      <x:c r="U441" s="370"/>
      <x:c r="V441" s="366" t="str">
        <x:v>Evoluciona con sistemas multiusuario, criptografía, delitos digitales, regulación y gestión del riesgo.</x:v>
      </x:c>
      <x:c r="W441" s="366" t="str">
        <x:v>Alta: práctica vigente</x:v>
      </x:c>
      <x:c r="X441" s="366" t="str">
        <x:v>Presente 2026 y corto (2027–2029)</x:v>
      </x:c>
      <x:c r="Y441" s="366" t="str">
        <x:v>Actual</x:v>
      </x:c>
      <x:c r="Z441" s="366" t="str">
        <x:v>12 meses</x:v>
      </x:c>
      <x:c r="AA441" s="366" t="str">
        <x:v>Migración poscuántica, seguridad de IA, explotación activa, identidad, privacidad y resiliencia de proveedores.</x:v>
      </x:c>
    </x:row>
    <x:row r="442" ht="58" customHeight="1">
      <x:c r="A442" s="351" t="str">
        <x:v>CYB-038</x:v>
      </x:c>
      <x:c r="B442" s="351" t="n">
        <x:v>6</x:v>
      </x:c>
      <x:c r="C442" s="351" t="str">
        <x:v>Especialización II</x:v>
      </x:c>
      <x:c r="D442" s="351" t="str">
        <x:v>Seguridad ofensiva ética</x:v>
      </x:c>
      <x:c r="E442" s="351" t="str">
        <x:v>Ciberseguridad, forense y auditoría</x:v>
      </x:c>
      <x:c r="F442" s="351" t="str">
        <x:v>Escalada de privilegios en Windows</x:v>
      </x:c>
      <x:c r="G442" s="351" t="str">
        <x:v>Escalada de privilegios en Windows. Exclusivamente en laboratorios propios o con autorización expresa; reporte, remediación y ética obligatorios.</x:v>
      </x:c>
      <x:c r="H442" s="351" t="str">
        <x:v>CYB-037</x:v>
      </x:c>
      <x:c r="I442" s="351" t="str">
        <x:v>Dominio profesional</x:v>
      </x:c>
      <x:c r="J442" s="351" t="n">
        <x:v>2</x:v>
      </x:c>
      <x:c r="K442" s="351" t="n">
        <x:v>20</x:v>
      </x:c>
      <x:c r="L442" s="351" t="n">
        <x:v>52</x:v>
      </x:c>
      <x:c r="M442" s="351" t="n">
        <x:v>20</x:v>
      </x:c>
      <x:c r="N442" s="352" t="n">
        <x:f>SUM(K442:M442)</x:f>
        <x:v>92</x:v>
      </x:c>
      <x:c r="O442" s="353" t="n">
        <x:f>N442/25</x:f>
        <x:v>3.68</x:v>
      </x:c>
      <x:c r="P442" s="351" t="str">
        <x:v>Informe de pentest autorizado: Escalada de privilegios en Windows.</x:v>
      </x:c>
      <x:c r="Q442" s="351" t="str">
        <x:v>S08; S32; S33</x:v>
      </x:c>
      <x:c r="R442" s="351" t="str">
        <x:v>No iniciado</x:v>
      </x:c>
      <x:c r="S442" s="354" t="n">
        <x:v>0</x:v>
      </x:c>
      <x:c r="T442" s="355"/>
      <x:c r="U442" s="355"/>
      <x:c r="V442" s="351" t="str">
        <x:v>Evoluciona con sistemas multiusuario, criptografía, delitos digitales, regulación y gestión del riesgo.</x:v>
      </x:c>
      <x:c r="W442" s="351" t="str">
        <x:v>Alta: práctica vigente</x:v>
      </x:c>
      <x:c r="X442" s="351" t="str">
        <x:v>Presente 2026 y corto (2027–2029)</x:v>
      </x:c>
      <x:c r="Y442" s="351" t="str">
        <x:v>Actual</x:v>
      </x:c>
      <x:c r="Z442" s="351" t="str">
        <x:v>12 meses</x:v>
      </x:c>
      <x:c r="AA442" s="351" t="str">
        <x:v>Migración poscuántica, seguridad de IA, explotación activa, identidad, privacidad y resiliencia de proveedores.</x:v>
      </x:c>
    </x:row>
    <x:row r="443" ht="58" customHeight="1">
      <x:c r="A443" s="366" t="str">
        <x:v>CYB-039</x:v>
      </x:c>
      <x:c r="B443" s="366" t="n">
        <x:v>6</x:v>
      </x:c>
      <x:c r="C443" s="366" t="str">
        <x:v>Especialización II</x:v>
      </x:c>
      <x:c r="D443" s="366" t="str">
        <x:v>Seguridad ofensiva ética</x:v>
      </x:c>
      <x:c r="E443" s="366" t="str">
        <x:v>Ciberseguridad, forense y auditoría</x:v>
      </x:c>
      <x:c r="F443" s="366" t="str">
        <x:v>Explotación controlada y desarrollo de exploits</x:v>
      </x:c>
      <x:c r="G443" s="366" t="str">
        <x:v>Explotación controlada y desarrollo de exploits. Exclusivamente en laboratorios propios o con autorización expresa; reporte, remediación y ética obligatorios.</x:v>
      </x:c>
      <x:c r="H443" s="366" t="str">
        <x:v>CYB-038</x:v>
      </x:c>
      <x:c r="I443" s="366" t="str">
        <x:v>Dominio profesional</x:v>
      </x:c>
      <x:c r="J443" s="366" t="n">
        <x:v>2</x:v>
      </x:c>
      <x:c r="K443" s="366" t="n">
        <x:v>20</x:v>
      </x:c>
      <x:c r="L443" s="366" t="n">
        <x:v>52</x:v>
      </x:c>
      <x:c r="M443" s="366" t="n">
        <x:v>20</x:v>
      </x:c>
      <x:c r="N443" s="367" t="n">
        <x:f>SUM(K443:M443)</x:f>
        <x:v>92</x:v>
      </x:c>
      <x:c r="O443" s="368" t="n">
        <x:f>N443/25</x:f>
        <x:v>3.68</x:v>
      </x:c>
      <x:c r="P443" s="366" t="str">
        <x:v>Informe de pentest autorizado: Explotación controlada y desarrollo de exploits.</x:v>
      </x:c>
      <x:c r="Q443" s="366" t="str">
        <x:v>S08; S32; S33</x:v>
      </x:c>
      <x:c r="R443" s="366" t="str">
        <x:v>No iniciado</x:v>
      </x:c>
      <x:c r="S443" s="369" t="n">
        <x:v>0</x:v>
      </x:c>
      <x:c r="T443" s="370"/>
      <x:c r="U443" s="370"/>
      <x:c r="V443" s="366" t="str">
        <x:v>Evoluciona con sistemas multiusuario, criptografía, delitos digitales, regulación y gestión del riesgo.</x:v>
      </x:c>
      <x:c r="W443" s="366" t="str">
        <x:v>Alta: práctica vigente</x:v>
      </x:c>
      <x:c r="X443" s="366" t="str">
        <x:v>Presente 2026 y corto (2027–2029)</x:v>
      </x:c>
      <x:c r="Y443" s="366" t="str">
        <x:v>Actual</x:v>
      </x:c>
      <x:c r="Z443" s="366" t="str">
        <x:v>12 meses</x:v>
      </x:c>
      <x:c r="AA443" s="366" t="str">
        <x:v>Migración poscuántica, seguridad de IA, explotación activa, identidad, privacidad y resiliencia de proveedores.</x:v>
      </x:c>
    </x:row>
    <x:row r="444" ht="58" customHeight="1">
      <x:c r="A444" s="351" t="str">
        <x:v>CYB-040</x:v>
      </x:c>
      <x:c r="B444" s="351" t="n">
        <x:v>6</x:v>
      </x:c>
      <x:c r="C444" s="351" t="str">
        <x:v>Especialización II</x:v>
      </x:c>
      <x:c r="D444" s="351" t="str">
        <x:v>Seguridad ofensiva ética</x:v>
      </x:c>
      <x:c r="E444" s="351" t="str">
        <x:v>Ciberseguridad, forense y auditoría</x:v>
      </x:c>
      <x:c r="F444" s="351" t="str">
        <x:v>Red Team</x:v>
      </x:c>
      <x:c r="G444" s="351" t="str">
        <x:v>Red Team. Exclusivamente en laboratorios propios o con autorización expresa; reporte, remediación y ética obligatorios.</x:v>
      </x:c>
      <x:c r="H444" s="351" t="str">
        <x:v>CYB-039</x:v>
      </x:c>
      <x:c r="I444" s="351" t="str">
        <x:v>Dominio profesional</x:v>
      </x:c>
      <x:c r="J444" s="351" t="n">
        <x:v>2</x:v>
      </x:c>
      <x:c r="K444" s="351" t="n">
        <x:v>20</x:v>
      </x:c>
      <x:c r="L444" s="351" t="n">
        <x:v>52</x:v>
      </x:c>
      <x:c r="M444" s="351" t="n">
        <x:v>20</x:v>
      </x:c>
      <x:c r="N444" s="352" t="n">
        <x:f>SUM(K444:M444)</x:f>
        <x:v>92</x:v>
      </x:c>
      <x:c r="O444" s="353" t="n">
        <x:f>N444/25</x:f>
        <x:v>3.68</x:v>
      </x:c>
      <x:c r="P444" s="351" t="str">
        <x:v>Informe de pentest autorizado: Red Team.</x:v>
      </x:c>
      <x:c r="Q444" s="351" t="str">
        <x:v>S08; S32; S33</x:v>
      </x:c>
      <x:c r="R444" s="351" t="str">
        <x:v>No iniciado</x:v>
      </x:c>
      <x:c r="S444" s="354" t="n">
        <x:v>0</x:v>
      </x:c>
      <x:c r="T444" s="355"/>
      <x:c r="U444" s="355"/>
      <x:c r="V444" s="351" t="str">
        <x:v>Evoluciona con sistemas multiusuario, criptografía, delitos digitales, regulación y gestión del riesgo.</x:v>
      </x:c>
      <x:c r="W444" s="351" t="str">
        <x:v>Alta: práctica vigente</x:v>
      </x:c>
      <x:c r="X444" s="351" t="str">
        <x:v>Presente 2026 y corto (2027–2029)</x:v>
      </x:c>
      <x:c r="Y444" s="351" t="str">
        <x:v>Actual</x:v>
      </x:c>
      <x:c r="Z444" s="351" t="str">
        <x:v>12 meses</x:v>
      </x:c>
      <x:c r="AA444" s="351" t="str">
        <x:v>Migración poscuántica, seguridad de IA, explotación activa, identidad, privacidad y resiliencia de proveedores.</x:v>
      </x:c>
    </x:row>
    <x:row r="445" ht="58" customHeight="1">
      <x:c r="A445" s="366" t="str">
        <x:v>CYB-052</x:v>
      </x:c>
      <x:c r="B445" s="366" t="n">
        <x:v>6</x:v>
      </x:c>
      <x:c r="C445" s="366" t="str">
        <x:v>Especialización II</x:v>
      </x:c>
      <x:c r="D445" s="366" t="str">
        <x:v>Informática forense y auditoría</x:v>
      </x:c>
      <x:c r="E445" s="366" t="str">
        <x:v>Ciberseguridad, forense y auditoría</x:v>
      </x:c>
      <x:c r="F445" s="366" t="str">
        <x:v>Forense cloud</x:v>
      </x:c>
      <x:c r="G445" s="366" t="str">
        <x:v>Forense cloud. Autoridad legal, preservación, cadena de custodia, validación, repetibilidad y testimonio técnico.</x:v>
      </x:c>
      <x:c r="H445" s="366" t="str">
        <x:v>CYB-051</x:v>
      </x:c>
      <x:c r="I445" s="366" t="str">
        <x:v>Dominio profesional</x:v>
      </x:c>
      <x:c r="J445" s="366" t="n">
        <x:v>2</x:v>
      </x:c>
      <x:c r="K445" s="366" t="n">
        <x:v>28</x:v>
      </x:c>
      <x:c r="L445" s="366" t="n">
        <x:v>36</x:v>
      </x:c>
      <x:c r="M445" s="366" t="n">
        <x:v>20</x:v>
      </x:c>
      <x:c r="N445" s="367" t="n">
        <x:f>SUM(K445:M445)</x:f>
        <x:v>84</x:v>
      </x:c>
      <x:c r="O445" s="368" t="n">
        <x:f>N445/25</x:f>
        <x:v>3.36</x:v>
      </x:c>
      <x:c r="P445" s="366" t="str">
        <x:v>Expediente forense: Forense cloud.</x:v>
      </x:c>
      <x:c r="Q445" s="366" t="str">
        <x:v>S08; S34; S35; S36</x:v>
      </x:c>
      <x:c r="R445" s="366" t="str">
        <x:v>No iniciado</x:v>
      </x:c>
      <x:c r="S445" s="369" t="n">
        <x:v>0</x:v>
      </x:c>
      <x:c r="T445" s="370"/>
      <x:c r="U445" s="370"/>
      <x:c r="V445" s="366" t="str">
        <x:v>Evoluciona con sistemas multiusuario, criptografía, delitos digitales, regulación y gestión del riesgo.</x:v>
      </x:c>
      <x:c r="W445" s="366" t="str">
        <x:v>Alta: práctica vigente</x:v>
      </x:c>
      <x:c r="X445" s="366" t="str">
        <x:v>Presente 2026 y corto (2027–2029)</x:v>
      </x:c>
      <x:c r="Y445" s="366" t="str">
        <x:v>Actual</x:v>
      </x:c>
      <x:c r="Z445" s="366" t="str">
        <x:v>12 meses</x:v>
      </x:c>
      <x:c r="AA445" s="366" t="str">
        <x:v>Migración poscuántica, seguridad de IA, explotación activa, identidad, privacidad y resiliencia de proveedores.</x:v>
      </x:c>
    </x:row>
    <x:row r="446" ht="58" customHeight="1">
      <x:c r="A446" s="351" t="str">
        <x:v>CYB-053</x:v>
      </x:c>
      <x:c r="B446" s="351" t="n">
        <x:v>6</x:v>
      </x:c>
      <x:c r="C446" s="351" t="str">
        <x:v>Especialización II</x:v>
      </x:c>
      <x:c r="D446" s="351" t="str">
        <x:v>Informática forense y auditoría</x:v>
      </x:c>
      <x:c r="E446" s="351" t="str">
        <x:v>Ciberseguridad, forense y auditoría</x:v>
      </x:c>
      <x:c r="F446" s="351" t="str">
        <x:v>Forense de malware</x:v>
      </x:c>
      <x:c r="G446" s="351" t="str">
        <x:v>Forense de malware. Autoridad legal, preservación, cadena de custodia, validación, repetibilidad y testimonio técnico.</x:v>
      </x:c>
      <x:c r="H446" s="351" t="str">
        <x:v>CYB-052</x:v>
      </x:c>
      <x:c r="I446" s="351" t="str">
        <x:v>Dominio profesional</x:v>
      </x:c>
      <x:c r="J446" s="351" t="n">
        <x:v>2</x:v>
      </x:c>
      <x:c r="K446" s="351" t="n">
        <x:v>28</x:v>
      </x:c>
      <x:c r="L446" s="351" t="n">
        <x:v>36</x:v>
      </x:c>
      <x:c r="M446" s="351" t="n">
        <x:v>20</x:v>
      </x:c>
      <x:c r="N446" s="352" t="n">
        <x:f>SUM(K446:M446)</x:f>
        <x:v>84</x:v>
      </x:c>
      <x:c r="O446" s="353" t="n">
        <x:f>N446/25</x:f>
        <x:v>3.36</x:v>
      </x:c>
      <x:c r="P446" s="351" t="str">
        <x:v>Expediente forense: Forense de malware.</x:v>
      </x:c>
      <x:c r="Q446" s="351" t="str">
        <x:v>S08; S34; S35; S36</x:v>
      </x:c>
      <x:c r="R446" s="351" t="str">
        <x:v>No iniciado</x:v>
      </x:c>
      <x:c r="S446" s="354" t="n">
        <x:v>0</x:v>
      </x:c>
      <x:c r="T446" s="355"/>
      <x:c r="U446" s="355"/>
      <x:c r="V446" s="351" t="str">
        <x:v>Evoluciona con sistemas multiusuario, criptografía, delitos digitales, regulación y gestión del riesgo.</x:v>
      </x:c>
      <x:c r="W446" s="351" t="str">
        <x:v>Alta: práctica vigente</x:v>
      </x:c>
      <x:c r="X446" s="351" t="str">
        <x:v>Presente 2026 y corto (2027–2029)</x:v>
      </x:c>
      <x:c r="Y446" s="351" t="str">
        <x:v>Actual</x:v>
      </x:c>
      <x:c r="Z446" s="351" t="str">
        <x:v>12 meses</x:v>
      </x:c>
      <x:c r="AA446" s="351" t="str">
        <x:v>Migración poscuántica, seguridad de IA, explotación activa, identidad, privacidad y resiliencia de proveedores.</x:v>
      </x:c>
    </x:row>
    <x:row r="447" ht="58" customHeight="1">
      <x:c r="A447" s="366" t="str">
        <x:v>CYB-054</x:v>
      </x:c>
      <x:c r="B447" s="366" t="n">
        <x:v>6</x:v>
      </x:c>
      <x:c r="C447" s="366" t="str">
        <x:v>Especialización II</x:v>
      </x:c>
      <x:c r="D447" s="366" t="str">
        <x:v>Informática forense y auditoría</x:v>
      </x:c>
      <x:c r="E447" s="366" t="str">
        <x:v>Ciberseguridad, forense y auditoría</x:v>
      </x:c>
      <x:c r="F447" s="366" t="str">
        <x:v>eDiscovery y peritaje informático</x:v>
      </x:c>
      <x:c r="G447" s="366" t="str">
        <x:v>eDiscovery y peritaje informático. Autoridad legal, preservación, cadena de custodia, validación, repetibilidad y testimonio técnico.</x:v>
      </x:c>
      <x:c r="H447" s="366" t="str">
        <x:v>CYB-053</x:v>
      </x:c>
      <x:c r="I447" s="366" t="str">
        <x:v>Dominio profesional</x:v>
      </x:c>
      <x:c r="J447" s="366" t="n">
        <x:v>2</x:v>
      </x:c>
      <x:c r="K447" s="366" t="n">
        <x:v>28</x:v>
      </x:c>
      <x:c r="L447" s="366" t="n">
        <x:v>36</x:v>
      </x:c>
      <x:c r="M447" s="366" t="n">
        <x:v>20</x:v>
      </x:c>
      <x:c r="N447" s="367" t="n">
        <x:f>SUM(K447:M447)</x:f>
        <x:v>84</x:v>
      </x:c>
      <x:c r="O447" s="368" t="n">
        <x:f>N447/25</x:f>
        <x:v>3.36</x:v>
      </x:c>
      <x:c r="P447" s="366" t="str">
        <x:v>Expediente forense: eDiscovery y peritaje informático.</x:v>
      </x:c>
      <x:c r="Q447" s="366" t="str">
        <x:v>S08; S34; S35; S36</x:v>
      </x:c>
      <x:c r="R447" s="366" t="str">
        <x:v>No iniciado</x:v>
      </x:c>
      <x:c r="S447" s="369" t="n">
        <x:v>0</x:v>
      </x:c>
      <x:c r="T447" s="370"/>
      <x:c r="U447" s="370"/>
      <x:c r="V447" s="366" t="str">
        <x:v>Evoluciona con sistemas multiusuario, criptografía, delitos digitales, regulación y gestión del riesgo.</x:v>
      </x:c>
      <x:c r="W447" s="366" t="str">
        <x:v>Alta: práctica vigente</x:v>
      </x:c>
      <x:c r="X447" s="366" t="str">
        <x:v>Presente 2026 y corto (2027–2029)</x:v>
      </x:c>
      <x:c r="Y447" s="366" t="str">
        <x:v>Actual</x:v>
      </x:c>
      <x:c r="Z447" s="366" t="str">
        <x:v>12 meses</x:v>
      </x:c>
      <x:c r="AA447" s="366" t="str">
        <x:v>Migración poscuántica, seguridad de IA, explotación activa, identidad, privacidad y resiliencia de proveedores.</x:v>
      </x:c>
    </x:row>
    <x:row r="448" ht="58" customHeight="1">
      <x:c r="A448" s="351" t="str">
        <x:v>CYB-055</x:v>
      </x:c>
      <x:c r="B448" s="351" t="n">
        <x:v>6</x:v>
      </x:c>
      <x:c r="C448" s="351" t="str">
        <x:v>Especialización II</x:v>
      </x:c>
      <x:c r="D448" s="351" t="str">
        <x:v>Informática forense y auditoría</x:v>
      </x:c>
      <x:c r="E448" s="351" t="str">
        <x:v>Ciberseguridad, forense y auditoría</x:v>
      </x:c>
      <x:c r="F448" s="351" t="str">
        <x:v>Legislación, cadena de custodia y testimonio</x:v>
      </x:c>
      <x:c r="G448" s="351" t="str">
        <x:v>Legislación, cadena de custodia y testimonio. Autoridad legal, preservación, cadena de custodia, validación, repetibilidad y testimonio técnico.</x:v>
      </x:c>
      <x:c r="H448" s="351" t="str">
        <x:v>CYB-054</x:v>
      </x:c>
      <x:c r="I448" s="351" t="str">
        <x:v>Dominio profesional</x:v>
      </x:c>
      <x:c r="J448" s="351" t="n">
        <x:v>2</x:v>
      </x:c>
      <x:c r="K448" s="351" t="n">
        <x:v>28</x:v>
      </x:c>
      <x:c r="L448" s="351" t="n">
        <x:v>36</x:v>
      </x:c>
      <x:c r="M448" s="351" t="n">
        <x:v>20</x:v>
      </x:c>
      <x:c r="N448" s="352" t="n">
        <x:f>SUM(K448:M448)</x:f>
        <x:v>84</x:v>
      </x:c>
      <x:c r="O448" s="353" t="n">
        <x:f>N448/25</x:f>
        <x:v>3.36</x:v>
      </x:c>
      <x:c r="P448" s="351" t="str">
        <x:v>Expediente forense: Legislación, cadena de custodia y testimonio.</x:v>
      </x:c>
      <x:c r="Q448" s="351" t="str">
        <x:v>S08; S34; S35; S36</x:v>
      </x:c>
      <x:c r="R448" s="351" t="str">
        <x:v>No iniciado</x:v>
      </x:c>
      <x:c r="S448" s="354" t="n">
        <x:v>0</x:v>
      </x:c>
      <x:c r="T448" s="355"/>
      <x:c r="U448" s="355"/>
      <x:c r="V448" s="351" t="str">
        <x:v>Evoluciona con sistemas multiusuario, criptografía, delitos digitales, regulación y gestión del riesgo.</x:v>
      </x:c>
      <x:c r="W448" s="351" t="str">
        <x:v>Alta: práctica vigente</x:v>
      </x:c>
      <x:c r="X448" s="351" t="str">
        <x:v>Presente 2026 y corto (2027–2029)</x:v>
      </x:c>
      <x:c r="Y448" s="351" t="str">
        <x:v>Actual</x:v>
      </x:c>
      <x:c r="Z448" s="351" t="str">
        <x:v>12 meses</x:v>
      </x:c>
      <x:c r="AA448" s="351" t="str">
        <x:v>Migración poscuántica, seguridad de IA, explotación activa, identidad, privacidad y resiliencia de proveedores.</x:v>
      </x:c>
    </x:row>
    <x:row r="449" ht="58" customHeight="1">
      <x:c r="A449" s="366" t="str">
        <x:v>CYB-056</x:v>
      </x:c>
      <x:c r="B449" s="366" t="n">
        <x:v>6</x:v>
      </x:c>
      <x:c r="C449" s="366" t="str">
        <x:v>Especialización II</x:v>
      </x:c>
      <x:c r="D449" s="366" t="str">
        <x:v>Informática forense y auditoría</x:v>
      </x:c>
      <x:c r="E449" s="366" t="str">
        <x:v>Ciberseguridad, forense y auditoría</x:v>
      </x:c>
      <x:c r="F449" s="366" t="str">
        <x:v>Auditoría de sistemas I</x:v>
      </x:c>
      <x:c r="G449" s="366" t="str">
        <x:v>Auditoría de sistemas I. Autoridad legal, preservación, cadena de custodia, validación, repetibilidad y testimonio técnico.</x:v>
      </x:c>
      <x:c r="H449" s="366" t="str">
        <x:v>CYB-055</x:v>
      </x:c>
      <x:c r="I449" s="366" t="str">
        <x:v>Dominio profesional</x:v>
      </x:c>
      <x:c r="J449" s="366" t="n">
        <x:v>2</x:v>
      </x:c>
      <x:c r="K449" s="366" t="n">
        <x:v>28</x:v>
      </x:c>
      <x:c r="L449" s="366" t="n">
        <x:v>36</x:v>
      </x:c>
      <x:c r="M449" s="366" t="n">
        <x:v>20</x:v>
      </x:c>
      <x:c r="N449" s="367" t="n">
        <x:f>SUM(K449:M449)</x:f>
        <x:v>84</x:v>
      </x:c>
      <x:c r="O449" s="368" t="n">
        <x:f>N449/25</x:f>
        <x:v>3.36</x:v>
      </x:c>
      <x:c r="P449" s="366" t="str">
        <x:v>Expediente forense: Auditoría de sistemas I.</x:v>
      </x:c>
      <x:c r="Q449" s="366" t="str">
        <x:v>S08; S34; S35; S36</x:v>
      </x:c>
      <x:c r="R449" s="366" t="str">
        <x:v>No iniciado</x:v>
      </x:c>
      <x:c r="S449" s="369" t="n">
        <x:v>0</x:v>
      </x:c>
      <x:c r="T449" s="370"/>
      <x:c r="U449" s="370"/>
      <x:c r="V449" s="366" t="str">
        <x:v>Evoluciona con sistemas multiusuario, criptografía, delitos digitales, regulación y gestión del riesgo.</x:v>
      </x:c>
      <x:c r="W449" s="366" t="str">
        <x:v>Alta: práctica vigente</x:v>
      </x:c>
      <x:c r="X449" s="366" t="str">
        <x:v>Presente 2026 y corto (2027–2029)</x:v>
      </x:c>
      <x:c r="Y449" s="366" t="str">
        <x:v>Actual</x:v>
      </x:c>
      <x:c r="Z449" s="366" t="str">
        <x:v>12 meses</x:v>
      </x:c>
      <x:c r="AA449" s="366" t="str">
        <x:v>Migración poscuántica, seguridad de IA, explotación activa, identidad, privacidad y resiliencia de proveedores.</x:v>
      </x:c>
    </x:row>
    <x:row r="450" ht="58" customHeight="1">
      <x:c r="A450" s="351" t="str">
        <x:v>CYB-057</x:v>
      </x:c>
      <x:c r="B450" s="351" t="n">
        <x:v>6</x:v>
      </x:c>
      <x:c r="C450" s="351" t="str">
        <x:v>Especialización II</x:v>
      </x:c>
      <x:c r="D450" s="351" t="str">
        <x:v>Informática forense y auditoría</x:v>
      </x:c>
      <x:c r="E450" s="351" t="str">
        <x:v>Ciberseguridad, forense y auditoría</x:v>
      </x:c>
      <x:c r="F450" s="351" t="str">
        <x:v>Auditoría de sistemas II</x:v>
      </x:c>
      <x:c r="G450" s="351" t="str">
        <x:v>Auditoría de sistemas II. Autoridad legal, preservación, cadena de custodia, validación, repetibilidad y testimonio técnico.</x:v>
      </x:c>
      <x:c r="H450" s="351" t="str">
        <x:v>CYB-056</x:v>
      </x:c>
      <x:c r="I450" s="351" t="str">
        <x:v>Dominio profesional</x:v>
      </x:c>
      <x:c r="J450" s="351" t="n">
        <x:v>2</x:v>
      </x:c>
      <x:c r="K450" s="351" t="n">
        <x:v>28</x:v>
      </x:c>
      <x:c r="L450" s="351" t="n">
        <x:v>36</x:v>
      </x:c>
      <x:c r="M450" s="351" t="n">
        <x:v>20</x:v>
      </x:c>
      <x:c r="N450" s="352" t="n">
        <x:f>SUM(K450:M450)</x:f>
        <x:v>84</x:v>
      </x:c>
      <x:c r="O450" s="353" t="n">
        <x:f>N450/25</x:f>
        <x:v>3.36</x:v>
      </x:c>
      <x:c r="P450" s="351" t="str">
        <x:v>Expediente forense: Auditoría de sistemas II.</x:v>
      </x:c>
      <x:c r="Q450" s="351" t="str">
        <x:v>S08; S34; S35; S36</x:v>
      </x:c>
      <x:c r="R450" s="351" t="str">
        <x:v>No iniciado</x:v>
      </x:c>
      <x:c r="S450" s="354" t="n">
        <x:v>0</x:v>
      </x:c>
      <x:c r="T450" s="355"/>
      <x:c r="U450" s="355"/>
      <x:c r="V450" s="351" t="str">
        <x:v>Evoluciona con sistemas multiusuario, criptografía, delitos digitales, regulación y gestión del riesgo.</x:v>
      </x:c>
      <x:c r="W450" s="351" t="str">
        <x:v>Alta: práctica vigente</x:v>
      </x:c>
      <x:c r="X450" s="351" t="str">
        <x:v>Presente 2026 y corto (2027–2029)</x:v>
      </x:c>
      <x:c r="Y450" s="351" t="str">
        <x:v>Actual</x:v>
      </x:c>
      <x:c r="Z450" s="351" t="str">
        <x:v>12 meses</x:v>
      </x:c>
      <x:c r="AA450" s="351" t="str">
        <x:v>Migración poscuántica, seguridad de IA, explotación activa, identidad, privacidad y resiliencia de proveedores.</x:v>
      </x:c>
    </x:row>
    <x:row r="451" ht="58" customHeight="1">
      <x:c r="A451" s="366" t="str">
        <x:v>DAI-040</x:v>
      </x:c>
      <x:c r="B451" s="366" t="n">
        <x:v>6</x:v>
      </x:c>
      <x:c r="C451" s="366" t="str">
        <x:v>Especialización II</x:v>
      </x:c>
      <x:c r="D451" s="366" t="str">
        <x:v>Inteligencia artificial y aprendizaje automático</x:v>
      </x:c>
      <x:c r="E451" s="366" t="str">
        <x:v>Datos, BI e IA</x:v>
      </x:c>
      <x:c r="F451" s="366" t="str">
        <x:v>Agentes y sistemas multiagente</x:v>
      </x:c>
      <x:c r="G451" s="366" t="str">
        <x:v>Agentes y sistemas multiagente. Fundamentos, evaluación rigurosa, implementación, despliegue responsable y aplicaciones.</x:v>
      </x:c>
      <x:c r="H451" s="366" t="str">
        <x:v>DAI-039</x:v>
      </x:c>
      <x:c r="I451" s="366" t="str">
        <x:v>Dominio profesional</x:v>
      </x:c>
      <x:c r="J451" s="366" t="n">
        <x:v>2</x:v>
      </x:c>
      <x:c r="K451" s="366" t="n">
        <x:v>28</x:v>
      </x:c>
      <x:c r="L451" s="366" t="n">
        <x:v>36</x:v>
      </x:c>
      <x:c r="M451" s="366" t="n">
        <x:v>20</x:v>
      </x:c>
      <x:c r="N451" s="367" t="n">
        <x:f>SUM(K451:M451)</x:f>
        <x:v>84</x:v>
      </x:c>
      <x:c r="O451" s="368" t="n">
        <x:f>N451/25</x:f>
        <x:v>3.36</x:v>
      </x:c>
      <x:c r="P451" s="366" t="str">
        <x:v>Modelo evaluado y desplegado: Agentes y sistemas multiagente.</x:v>
      </x:c>
      <x:c r="Q451" s="366" t="str">
        <x:v>S01; S07; S12; S18; S19; S20; S38</x:v>
      </x:c>
      <x:c r="R451" s="366" t="str">
        <x:v>No iniciado</x:v>
      </x:c>
      <x:c r="S451" s="369" t="n">
        <x:v>0</x:v>
      </x:c>
      <x:c r="T451" s="370"/>
      <x:c r="U451" s="370"/>
      <x:c r="V451" s="366" t="str">
        <x:v>Une estadística, bases de datos, investigación operativa, aprendizaje automático e IA generativa.</x:v>
      </x:c>
      <x:c r="W451" s="366" t="str">
        <x:v>Variable: validar evidencia y madurez</x:v>
      </x:c>
      <x:c r="X451" s="366" t="str">
        <x:v>Corto (2027–2029) y mediano (2030–2035)</x:v>
      </x:c>
      <x:c r="Y451" s="366" t="str">
        <x:v>Emergente</x:v>
      </x:c>
      <x:c r="Z451" s="366" t="str">
        <x:v>6 meses</x:v>
      </x:c>
      <x:c r="AA451" s="366" t="str">
        <x:v>Modelos multimodales, IA agente, causalidad, privacidad, aprendizaje federado, evaluación y gobernanza.</x:v>
      </x:c>
    </x:row>
    <x:row r="452" ht="58" customHeight="1">
      <x:c r="A452" s="351" t="str">
        <x:v>DAI-041</x:v>
      </x:c>
      <x:c r="B452" s="351" t="n">
        <x:v>6</x:v>
      </x:c>
      <x:c r="C452" s="351" t="str">
        <x:v>Especialización II</x:v>
      </x:c>
      <x:c r="D452" s="351" t="str">
        <x:v>Inteligencia artificial y aprendizaje automático</x:v>
      </x:c>
      <x:c r="E452" s="351" t="str">
        <x:v>Datos, BI e IA</x:v>
      </x:c>
      <x:c r="F452" s="351" t="str">
        <x:v>MLOps</x:v>
      </x:c>
      <x:c r="G452" s="351" t="str">
        <x:v>MLOps. Fundamentos, evaluación rigurosa, implementación, despliegue responsable y aplicaciones.</x:v>
      </x:c>
      <x:c r="H452" s="351" t="str">
        <x:v>DAI-040</x:v>
      </x:c>
      <x:c r="I452" s="351" t="str">
        <x:v>Dominio profesional</x:v>
      </x:c>
      <x:c r="J452" s="351" t="n">
        <x:v>2</x:v>
      </x:c>
      <x:c r="K452" s="351" t="n">
        <x:v>28</x:v>
      </x:c>
      <x:c r="L452" s="351" t="n">
        <x:v>36</x:v>
      </x:c>
      <x:c r="M452" s="351" t="n">
        <x:v>20</x:v>
      </x:c>
      <x:c r="N452" s="352" t="n">
        <x:f>SUM(K452:M452)</x:f>
        <x:v>84</x:v>
      </x:c>
      <x:c r="O452" s="353" t="n">
        <x:f>N452/25</x:f>
        <x:v>3.36</x:v>
      </x:c>
      <x:c r="P452" s="351" t="str">
        <x:v>Modelo evaluado y desplegado: MLOps.</x:v>
      </x:c>
      <x:c r="Q452" s="351" t="str">
        <x:v>S01; S07; S12; S18; S19; S20; S38</x:v>
      </x:c>
      <x:c r="R452" s="351" t="str">
        <x:v>No iniciado</x:v>
      </x:c>
      <x:c r="S452" s="354" t="n">
        <x:v>0</x:v>
      </x:c>
      <x:c r="T452" s="355"/>
      <x:c r="U452" s="355"/>
      <x:c r="V452" s="351" t="str">
        <x:v>Une estadística, bases de datos, investigación operativa, aprendizaje automático e IA generativa.</x:v>
      </x:c>
      <x:c r="W452" s="351" t="str">
        <x:v>Alta: práctica vigente</x:v>
      </x:c>
      <x:c r="X452" s="351" t="str">
        <x:v>Presente 2026 y corto (2027–2029)</x:v>
      </x:c>
      <x:c r="Y452" s="351" t="str">
        <x:v>Actual</x:v>
      </x:c>
      <x:c r="Z452" s="351" t="str">
        <x:v>12 meses</x:v>
      </x:c>
      <x:c r="AA452" s="351" t="str">
        <x:v>Modelos multimodales, IA agente, causalidad, privacidad, aprendizaje federado, evaluación y gobernanza.</x:v>
      </x:c>
    </x:row>
    <x:row r="453" ht="58" customHeight="1">
      <x:c r="A453" s="366" t="str">
        <x:v>DAI-042</x:v>
      </x:c>
      <x:c r="B453" s="366" t="n">
        <x:v>6</x:v>
      </x:c>
      <x:c r="C453" s="366" t="str">
        <x:v>Especialización II</x:v>
      </x:c>
      <x:c r="D453" s="366" t="str">
        <x:v>Inteligencia artificial y aprendizaje automático</x:v>
      </x:c>
      <x:c r="E453" s="366" t="str">
        <x:v>Datos, BI e IA</x:v>
      </x:c>
      <x:c r="F453" s="366" t="str">
        <x:v>LLMOps y evaluación de sistemas generativos</x:v>
      </x:c>
      <x:c r="G453" s="366" t="str">
        <x:v>LLMOps y evaluación de sistemas generativos. Fundamentos, evaluación rigurosa, implementación, despliegue responsable y aplicaciones.</x:v>
      </x:c>
      <x:c r="H453" s="366" t="str">
        <x:v>DAI-041</x:v>
      </x:c>
      <x:c r="I453" s="366" t="str">
        <x:v>Dominio profesional</x:v>
      </x:c>
      <x:c r="J453" s="366" t="n">
        <x:v>2</x:v>
      </x:c>
      <x:c r="K453" s="366" t="n">
        <x:v>28</x:v>
      </x:c>
      <x:c r="L453" s="366" t="n">
        <x:v>36</x:v>
      </x:c>
      <x:c r="M453" s="366" t="n">
        <x:v>20</x:v>
      </x:c>
      <x:c r="N453" s="367" t="n">
        <x:f>SUM(K453:M453)</x:f>
        <x:v>84</x:v>
      </x:c>
      <x:c r="O453" s="368" t="n">
        <x:f>N453/25</x:f>
        <x:v>3.36</x:v>
      </x:c>
      <x:c r="P453" s="366" t="str">
        <x:v>Modelo evaluado y desplegado: LLMOps y evaluación de sistemas generativos.</x:v>
      </x:c>
      <x:c r="Q453" s="366" t="str">
        <x:v>S01; S07; S12; S18; S19; S20; S38</x:v>
      </x:c>
      <x:c r="R453" s="366" t="str">
        <x:v>No iniciado</x:v>
      </x:c>
      <x:c r="S453" s="369" t="n">
        <x:v>0</x:v>
      </x:c>
      <x:c r="T453" s="370"/>
      <x:c r="U453" s="370"/>
      <x:c r="V453" s="366" t="str">
        <x:v>Une estadística, bases de datos, investigación operativa, aprendizaje automático e IA generativa.</x:v>
      </x:c>
      <x:c r="W453" s="366" t="str">
        <x:v>Variable: validar evidencia y madurez</x:v>
      </x:c>
      <x:c r="X453" s="366" t="str">
        <x:v>Corto (2027–2029) y mediano (2030–2035)</x:v>
      </x:c>
      <x:c r="Y453" s="366" t="str">
        <x:v>Emergente</x:v>
      </x:c>
      <x:c r="Z453" s="366" t="str">
        <x:v>6 meses</x:v>
      </x:c>
      <x:c r="AA453" s="366" t="str">
        <x:v>Modelos multimodales, IA agente, causalidad, privacidad, aprendizaje federado, evaluación y gobernanza.</x:v>
      </x:c>
    </x:row>
    <x:row r="454" ht="58" customHeight="1">
      <x:c r="A454" s="351" t="str">
        <x:v>DAI-043</x:v>
      </x:c>
      <x:c r="B454" s="351" t="n">
        <x:v>6</x:v>
      </x:c>
      <x:c r="C454" s="351" t="str">
        <x:v>Especialización II</x:v>
      </x:c>
      <x:c r="D454" s="351" t="str">
        <x:v>Inteligencia artificial y aprendizaje automático</x:v>
      </x:c>
      <x:c r="E454" s="351" t="str">
        <x:v>Datos, BI e IA</x:v>
      </x:c>
      <x:c r="F454" s="351" t="str">
        <x:v>IA explicable e interpretable</x:v>
      </x:c>
      <x:c r="G454" s="351" t="str">
        <x:v>IA explicable e interpretable. Fundamentos, evaluación rigurosa, implementación, despliegue responsable y aplicaciones.</x:v>
      </x:c>
      <x:c r="H454" s="351" t="str">
        <x:v>DAI-042</x:v>
      </x:c>
      <x:c r="I454" s="351" t="str">
        <x:v>Dominio profesional</x:v>
      </x:c>
      <x:c r="J454" s="351" t="n">
        <x:v>2</x:v>
      </x:c>
      <x:c r="K454" s="351" t="n">
        <x:v>28</x:v>
      </x:c>
      <x:c r="L454" s="351" t="n">
        <x:v>36</x:v>
      </x:c>
      <x:c r="M454" s="351" t="n">
        <x:v>20</x:v>
      </x:c>
      <x:c r="N454" s="352" t="n">
        <x:f>SUM(K454:M454)</x:f>
        <x:v>84</x:v>
      </x:c>
      <x:c r="O454" s="353" t="n">
        <x:f>N454/25</x:f>
        <x:v>3.36</x:v>
      </x:c>
      <x:c r="P454" s="351" t="str">
        <x:v>Modelo evaluado y desplegado: IA explicable e interpretable.</x:v>
      </x:c>
      <x:c r="Q454" s="351" t="str">
        <x:v>S01; S07; S12; S18; S19; S20; S38</x:v>
      </x:c>
      <x:c r="R454" s="351" t="str">
        <x:v>No iniciado</x:v>
      </x:c>
      <x:c r="S454" s="354" t="n">
        <x:v>0</x:v>
      </x:c>
      <x:c r="T454" s="355"/>
      <x:c r="U454" s="355"/>
      <x:c r="V454" s="351" t="str">
        <x:v>Une estadística, bases de datos, investigación operativa, aprendizaje automático e IA generativa.</x:v>
      </x:c>
      <x:c r="W454" s="351" t="str">
        <x:v>Alta: práctica vigente</x:v>
      </x:c>
      <x:c r="X454" s="351" t="str">
        <x:v>Presente 2026 y corto (2027–2029)</x:v>
      </x:c>
      <x:c r="Y454" s="351" t="str">
        <x:v>Actual</x:v>
      </x:c>
      <x:c r="Z454" s="351" t="str">
        <x:v>12 meses</x:v>
      </x:c>
      <x:c r="AA454" s="351" t="str">
        <x:v>Modelos multimodales, IA agente, causalidad, privacidad, aprendizaje federado, evaluación y gobernanza.</x:v>
      </x:c>
    </x:row>
    <x:row r="455" ht="58" customHeight="1">
      <x:c r="A455" s="366" t="str">
        <x:v>DAI-044</x:v>
      </x:c>
      <x:c r="B455" s="366" t="n">
        <x:v>6</x:v>
      </x:c>
      <x:c r="C455" s="366" t="str">
        <x:v>Especialización II</x:v>
      </x:c>
      <x:c r="D455" s="366" t="str">
        <x:v>Inteligencia artificial y aprendizaje automático</x:v>
      </x:c>
      <x:c r="E455" s="366" t="str">
        <x:v>Datos, BI e IA</x:v>
      </x:c>
      <x:c r="F455" s="366" t="str">
        <x:v>Robustez, seguridad y privacidad en ML</x:v>
      </x:c>
      <x:c r="G455" s="366" t="str">
        <x:v>Robustez, seguridad y privacidad en ML. Fundamentos, evaluación rigurosa, implementación, despliegue responsable y aplicaciones.</x:v>
      </x:c>
      <x:c r="H455" s="366" t="str">
        <x:v>DAI-043</x:v>
      </x:c>
      <x:c r="I455" s="366" t="str">
        <x:v>Dominio profesional</x:v>
      </x:c>
      <x:c r="J455" s="366" t="n">
        <x:v>2</x:v>
      </x:c>
      <x:c r="K455" s="366" t="n">
        <x:v>28</x:v>
      </x:c>
      <x:c r="L455" s="366" t="n">
        <x:v>36</x:v>
      </x:c>
      <x:c r="M455" s="366" t="n">
        <x:v>20</x:v>
      </x:c>
      <x:c r="N455" s="367" t="n">
        <x:f>SUM(K455:M455)</x:f>
        <x:v>84</x:v>
      </x:c>
      <x:c r="O455" s="368" t="n">
        <x:f>N455/25</x:f>
        <x:v>3.36</x:v>
      </x:c>
      <x:c r="P455" s="366" t="str">
        <x:v>Modelo evaluado y desplegado: Robustez, seguridad y privacidad en ML.</x:v>
      </x:c>
      <x:c r="Q455" s="366" t="str">
        <x:v>S01; S07; S12; S18; S19; S20; S38</x:v>
      </x:c>
      <x:c r="R455" s="366" t="str">
        <x:v>No iniciado</x:v>
      </x:c>
      <x:c r="S455" s="369" t="n">
        <x:v>0</x:v>
      </x:c>
      <x:c r="T455" s="370"/>
      <x:c r="U455" s="370"/>
      <x:c r="V455" s="366" t="str">
        <x:v>Une estadística, bases de datos, investigación operativa, aprendizaje automático e IA generativa.</x:v>
      </x:c>
      <x:c r="W455" s="366" t="str">
        <x:v>Alta: práctica vigente</x:v>
      </x:c>
      <x:c r="X455" s="366" t="str">
        <x:v>Presente 2026 y corto (2027–2029)</x:v>
      </x:c>
      <x:c r="Y455" s="366" t="str">
        <x:v>Actual</x:v>
      </x:c>
      <x:c r="Z455" s="366" t="str">
        <x:v>12 meses</x:v>
      </x:c>
      <x:c r="AA455" s="366" t="str">
        <x:v>Modelos multimodales, IA agente, causalidad, privacidad, aprendizaje federado, evaluación y gobernanza.</x:v>
      </x:c>
    </x:row>
    <x:row r="456" ht="58" customHeight="1">
      <x:c r="A456" s="351" t="str">
        <x:v>DAI-045</x:v>
      </x:c>
      <x:c r="B456" s="351" t="n">
        <x:v>6</x:v>
      </x:c>
      <x:c r="C456" s="351" t="str">
        <x:v>Especialización II</x:v>
      </x:c>
      <x:c r="D456" s="351" t="str">
        <x:v>Inteligencia artificial y aprendizaje automático</x:v>
      </x:c>
      <x:c r="E456" s="351" t="str">
        <x:v>Datos, BI e IA</x:v>
      </x:c>
      <x:c r="F456" s="351" t="str">
        <x:v>Ética, sesgo y gobernanza de IA</x:v>
      </x:c>
      <x:c r="G456" s="351" t="str">
        <x:v>Ética, sesgo y gobernanza de IA. Fundamentos, evaluación rigurosa, implementación, despliegue responsable y aplicaciones.</x:v>
      </x:c>
      <x:c r="H456" s="351" t="str">
        <x:v>DAI-044</x:v>
      </x:c>
      <x:c r="I456" s="351" t="str">
        <x:v>Dominio profesional</x:v>
      </x:c>
      <x:c r="J456" s="351" t="n">
        <x:v>2</x:v>
      </x:c>
      <x:c r="K456" s="351" t="n">
        <x:v>28</x:v>
      </x:c>
      <x:c r="L456" s="351" t="n">
        <x:v>36</x:v>
      </x:c>
      <x:c r="M456" s="351" t="n">
        <x:v>20</x:v>
      </x:c>
      <x:c r="N456" s="352" t="n">
        <x:f>SUM(K456:M456)</x:f>
        <x:v>84</x:v>
      </x:c>
      <x:c r="O456" s="353" t="n">
        <x:f>N456/25</x:f>
        <x:v>3.36</x:v>
      </x:c>
      <x:c r="P456" s="351" t="str">
        <x:v>Modelo evaluado y desplegado: Ética, sesgo y gobernanza de IA.</x:v>
      </x:c>
      <x:c r="Q456" s="351" t="str">
        <x:v>S01; S07; S12; S18; S19; S20; S38</x:v>
      </x:c>
      <x:c r="R456" s="351" t="str">
        <x:v>No iniciado</x:v>
      </x:c>
      <x:c r="S456" s="354" t="n">
        <x:v>0</x:v>
      </x:c>
      <x:c r="T456" s="355"/>
      <x:c r="U456" s="355"/>
      <x:c r="V456" s="351" t="str">
        <x:v>Une estadística, bases de datos, investigación operativa, aprendizaje automático e IA generativa.</x:v>
      </x:c>
      <x:c r="W456" s="351" t="str">
        <x:v>Alta: práctica vigente</x:v>
      </x:c>
      <x:c r="X456" s="351" t="str">
        <x:v>Presente 2026 y corto (2027–2029)</x:v>
      </x:c>
      <x:c r="Y456" s="351" t="str">
        <x:v>Actual</x:v>
      </x:c>
      <x:c r="Z456" s="351" t="str">
        <x:v>12 meses</x:v>
      </x:c>
      <x:c r="AA456" s="351" t="str">
        <x:v>Modelos multimodales, IA agente, causalidad, privacidad, aprendizaje federado, evaluación y gobernanza.</x:v>
      </x:c>
    </x:row>
    <x:row r="457" ht="58" customHeight="1">
      <x:c r="A457" s="366" t="str">
        <x:v>GXR-013</x:v>
      </x:c>
      <x:c r="B457" s="366" t="n">
        <x:v>6</x:v>
      </x:c>
      <x:c r="C457" s="366" t="str">
        <x:v>Especialización II</x:v>
      </x:c>
      <x:c r="D457" s="366" t="str">
        <x:v>Computación gráfica, videojuegos y entornos</x:v>
      </x:c>
      <x:c r="E457" s="366" t="str">
        <x:v>Gráficos, juegos y XR</x:v>
      </x:c>
      <x:c r="F457" s="366" t="str">
        <x:v>Godot y motores open source</x:v>
      </x:c>
      <x:c r="G457" s="366" t="str">
        <x:v>Godot y motores open source. Matemática visual, interacción en tiempo real, optimización, experiencia y producción.</x:v>
      </x:c>
      <x:c r="H457" s="366" t="str">
        <x:v>GXR-012</x:v>
      </x:c>
      <x:c r="I457" s="366" t="str">
        <x:v>Dominio profesional</x:v>
      </x:c>
      <x:c r="J457" s="366" t="n">
        <x:v>2</x:v>
      </x:c>
      <x:c r="K457" s="366" t="n">
        <x:v>18</x:v>
      </x:c>
      <x:c r="L457" s="366" t="n">
        <x:v>52</x:v>
      </x:c>
      <x:c r="M457" s="366" t="n">
        <x:v>26</x:v>
      </x:c>
      <x:c r="N457" s="367" t="n">
        <x:f>SUM(K457:M457)</x:f>
        <x:v>96</x:v>
      </x:c>
      <x:c r="O457" s="368" t="n">
        <x:f>N457/25</x:f>
        <x:v>3.84</x:v>
      </x:c>
      <x:c r="P457" s="366" t="str">
        <x:v>Demo interactiva: Godot y motores open source.</x:v>
      </x:c>
      <x:c r="Q457" s="366" t="str">
        <x:v>S01; S12; S18; S20; S22; S23</x:v>
      </x:c>
      <x:c r="R457" s="366" t="str">
        <x:v>No iniciado</x:v>
      </x:c>
      <x:c r="S457" s="369" t="n">
        <x:v>0</x:v>
      </x:c>
      <x:c r="T457" s="370"/>
      <x:c r="U457" s="370"/>
      <x:c r="V457" s="366" t="str">
        <x:v>Combina geometría, óptica, simulación, interacción, animación y cómputo en tiempo real.</x:v>
      </x:c>
      <x:c r="W457" s="366" t="str">
        <x:v>Alta: práctica vigente</x:v>
      </x:c>
      <x:c r="X457" s="366" t="str">
        <x:v>Presente 2026 y corto (2027–2029)</x:v>
      </x:c>
      <x:c r="Y457" s="366" t="str">
        <x:v>Actual</x:v>
      </x:c>
      <x:c r="Z457" s="366" t="str">
        <x:v>12 meses</x:v>
      </x:c>
      <x:c r="AA457" s="366" t="str">
        <x:v>Render neural, computación espacial, captura volumétrica, háptica y mundos persistentes interoperables.</x:v>
      </x:c>
    </x:row>
    <x:row r="458" ht="58" customHeight="1">
      <x:c r="A458" s="351" t="str">
        <x:v>GXR-014</x:v>
      </x:c>
      <x:c r="B458" s="351" t="n">
        <x:v>6</x:v>
      </x:c>
      <x:c r="C458" s="351" t="str">
        <x:v>Especialización II</x:v>
      </x:c>
      <x:c r="D458" s="351" t="str">
        <x:v>Computación gráfica, videojuegos y entornos</x:v>
      </x:c>
      <x:c r="E458" s="351" t="str">
        <x:v>Gráficos, juegos y XR</x:v>
      </x:c>
      <x:c r="F458" s="351" t="str">
        <x:v>IA para videojuegos</x:v>
      </x:c>
      <x:c r="G458" s="351" t="str">
        <x:v>IA para videojuegos. Matemática visual, interacción en tiempo real, optimización, experiencia y producción.</x:v>
      </x:c>
      <x:c r="H458" s="351" t="str">
        <x:v>GXR-013</x:v>
      </x:c>
      <x:c r="I458" s="351" t="str">
        <x:v>Dominio profesional</x:v>
      </x:c>
      <x:c r="J458" s="351" t="n">
        <x:v>2</x:v>
      </x:c>
      <x:c r="K458" s="351" t="n">
        <x:v>18</x:v>
      </x:c>
      <x:c r="L458" s="351" t="n">
        <x:v>52</x:v>
      </x:c>
      <x:c r="M458" s="351" t="n">
        <x:v>26</x:v>
      </x:c>
      <x:c r="N458" s="352" t="n">
        <x:f>SUM(K458:M458)</x:f>
        <x:v>96</x:v>
      </x:c>
      <x:c r="O458" s="353" t="n">
        <x:f>N458/25</x:f>
        <x:v>3.84</x:v>
      </x:c>
      <x:c r="P458" s="351" t="str">
        <x:v>Demo interactiva: IA para videojuegos.</x:v>
      </x:c>
      <x:c r="Q458" s="351" t="str">
        <x:v>S01; S12; S18; S20; S22; S23</x:v>
      </x:c>
      <x:c r="R458" s="351" t="str">
        <x:v>No iniciado</x:v>
      </x:c>
      <x:c r="S458" s="354" t="n">
        <x:v>0</x:v>
      </x:c>
      <x:c r="T458" s="355"/>
      <x:c r="U458" s="355"/>
      <x:c r="V458" s="351" t="str">
        <x:v>Combina geometría, óptica, simulación, interacción, animación y cómputo en tiempo real.</x:v>
      </x:c>
      <x:c r="W458" s="351" t="str">
        <x:v>Alta: práctica vigente</x:v>
      </x:c>
      <x:c r="X458" s="351" t="str">
        <x:v>Presente 2026 y corto (2027–2029)</x:v>
      </x:c>
      <x:c r="Y458" s="351" t="str">
        <x:v>Actual</x:v>
      </x:c>
      <x:c r="Z458" s="351" t="str">
        <x:v>12 meses</x:v>
      </x:c>
      <x:c r="AA458" s="351" t="str">
        <x:v>Render neural, computación espacial, captura volumétrica, háptica y mundos persistentes interoperables.</x:v>
      </x:c>
    </x:row>
    <x:row r="459" ht="58" customHeight="1">
      <x:c r="A459" s="366" t="str">
        <x:v>GXR-015</x:v>
      </x:c>
      <x:c r="B459" s="366" t="n">
        <x:v>6</x:v>
      </x:c>
      <x:c r="C459" s="366" t="str">
        <x:v>Especialización II</x:v>
      </x:c>
      <x:c r="D459" s="366" t="str">
        <x:v>Computación gráfica, videojuegos y entornos</x:v>
      </x:c>
      <x:c r="E459" s="366" t="str">
        <x:v>Gráficos, juegos y XR</x:v>
      </x:c>
      <x:c r="F459" s="366" t="str">
        <x:v>Redes y multijugador</x:v>
      </x:c>
      <x:c r="G459" s="366" t="str">
        <x:v>Redes y multijugador. Matemática visual, interacción en tiempo real, optimización, experiencia y producción.</x:v>
      </x:c>
      <x:c r="H459" s="366" t="str">
        <x:v>GXR-014</x:v>
      </x:c>
      <x:c r="I459" s="366" t="str">
        <x:v>Dominio profesional</x:v>
      </x:c>
      <x:c r="J459" s="366" t="n">
        <x:v>2</x:v>
      </x:c>
      <x:c r="K459" s="366" t="n">
        <x:v>18</x:v>
      </x:c>
      <x:c r="L459" s="366" t="n">
        <x:v>52</x:v>
      </x:c>
      <x:c r="M459" s="366" t="n">
        <x:v>26</x:v>
      </x:c>
      <x:c r="N459" s="367" t="n">
        <x:f>SUM(K459:M459)</x:f>
        <x:v>96</x:v>
      </x:c>
      <x:c r="O459" s="368" t="n">
        <x:f>N459/25</x:f>
        <x:v>3.84</x:v>
      </x:c>
      <x:c r="P459" s="366" t="str">
        <x:v>Demo interactiva: Redes y multijugador.</x:v>
      </x:c>
      <x:c r="Q459" s="366" t="str">
        <x:v>S01; S12; S18; S20; S22; S23</x:v>
      </x:c>
      <x:c r="R459" s="366" t="str">
        <x:v>No iniciado</x:v>
      </x:c>
      <x:c r="S459" s="369" t="n">
        <x:v>0</x:v>
      </x:c>
      <x:c r="T459" s="370"/>
      <x:c r="U459" s="370"/>
      <x:c r="V459" s="366" t="str">
        <x:v>Combina geometría, óptica, simulación, interacción, animación y cómputo en tiempo real.</x:v>
      </x:c>
      <x:c r="W459" s="366" t="str">
        <x:v>Alta: práctica vigente</x:v>
      </x:c>
      <x:c r="X459" s="366" t="str">
        <x:v>Presente 2026 y corto (2027–2029)</x:v>
      </x:c>
      <x:c r="Y459" s="366" t="str">
        <x:v>Actual</x:v>
      </x:c>
      <x:c r="Z459" s="366" t="str">
        <x:v>12 meses</x:v>
      </x:c>
      <x:c r="AA459" s="366" t="str">
        <x:v>Render neural, computación espacial, captura volumétrica, háptica y mundos persistentes interoperables.</x:v>
      </x:c>
    </x:row>
    <x:row r="460" ht="58" customHeight="1">
      <x:c r="A460" s="351" t="str">
        <x:v>GXR-016</x:v>
      </x:c>
      <x:c r="B460" s="351" t="n">
        <x:v>6</x:v>
      </x:c>
      <x:c r="C460" s="351" t="str">
        <x:v>Especialización II</x:v>
      </x:c>
      <x:c r="D460" s="351" t="str">
        <x:v>Computación gráfica, videojuegos y entornos</x:v>
      </x:c>
      <x:c r="E460" s="351" t="str">
        <x:v>Gráficos, juegos y XR</x:v>
      </x:c>
      <x:c r="F460" s="351" t="str">
        <x:v>Audio interactivo</x:v>
      </x:c>
      <x:c r="G460" s="351" t="str">
        <x:v>Audio interactivo. Matemática visual, interacción en tiempo real, optimización, experiencia y producción.</x:v>
      </x:c>
      <x:c r="H460" s="351" t="str">
        <x:v>GXR-015</x:v>
      </x:c>
      <x:c r="I460" s="351" t="str">
        <x:v>Dominio profesional</x:v>
      </x:c>
      <x:c r="J460" s="351" t="n">
        <x:v>2</x:v>
      </x:c>
      <x:c r="K460" s="351" t="n">
        <x:v>18</x:v>
      </x:c>
      <x:c r="L460" s="351" t="n">
        <x:v>52</x:v>
      </x:c>
      <x:c r="M460" s="351" t="n">
        <x:v>26</x:v>
      </x:c>
      <x:c r="N460" s="352" t="n">
        <x:f>SUM(K460:M460)</x:f>
        <x:v>96</x:v>
      </x:c>
      <x:c r="O460" s="353" t="n">
        <x:f>N460/25</x:f>
        <x:v>3.84</x:v>
      </x:c>
      <x:c r="P460" s="351" t="str">
        <x:v>Demo interactiva: Audio interactivo.</x:v>
      </x:c>
      <x:c r="Q460" s="351" t="str">
        <x:v>S01; S12; S18; S20; S22; S23</x:v>
      </x:c>
      <x:c r="R460" s="351" t="str">
        <x:v>No iniciado</x:v>
      </x:c>
      <x:c r="S460" s="354" t="n">
        <x:v>0</x:v>
      </x:c>
      <x:c r="T460" s="355"/>
      <x:c r="U460" s="355"/>
      <x:c r="V460" s="351" t="str">
        <x:v>Combina geometría, óptica, simulación, interacción, animación y cómputo en tiempo real.</x:v>
      </x:c>
      <x:c r="W460" s="351" t="str">
        <x:v>Alta: práctica vigente</x:v>
      </x:c>
      <x:c r="X460" s="351" t="str">
        <x:v>Presente 2026 y corto (2027–2029)</x:v>
      </x:c>
      <x:c r="Y460" s="351" t="str">
        <x:v>Actual</x:v>
      </x:c>
      <x:c r="Z460" s="351" t="str">
        <x:v>12 meses</x:v>
      </x:c>
      <x:c r="AA460" s="351" t="str">
        <x:v>Render neural, computación espacial, captura volumétrica, háptica y mundos persistentes interoperables.</x:v>
      </x:c>
    </x:row>
    <x:row r="461" ht="58" customHeight="1">
      <x:c r="A461" s="366" t="str">
        <x:v>GXR-017</x:v>
      </x:c>
      <x:c r="B461" s="366" t="n">
        <x:v>6</x:v>
      </x:c>
      <x:c r="C461" s="366" t="str">
        <x:v>Especialización II</x:v>
      </x:c>
      <x:c r="D461" s="366" t="str">
        <x:v>Computación gráfica, videojuegos y entornos</x:v>
      </x:c>
      <x:c r="E461" s="366" t="str">
        <x:v>Gráficos, juegos y XR</x:v>
      </x:c>
      <x:c r="F461" s="366" t="str">
        <x:v>Optimización y portabilidad de juegos</x:v>
      </x:c>
      <x:c r="G461" s="366" t="str">
        <x:v>Optimización y portabilidad de juegos. Matemática visual, interacción en tiempo real, optimización, experiencia y producción.</x:v>
      </x:c>
      <x:c r="H461" s="366" t="str">
        <x:v>GXR-016</x:v>
      </x:c>
      <x:c r="I461" s="366" t="str">
        <x:v>Dominio profesional</x:v>
      </x:c>
      <x:c r="J461" s="366" t="n">
        <x:v>2</x:v>
      </x:c>
      <x:c r="K461" s="366" t="n">
        <x:v>18</x:v>
      </x:c>
      <x:c r="L461" s="366" t="n">
        <x:v>52</x:v>
      </x:c>
      <x:c r="M461" s="366" t="n">
        <x:v>26</x:v>
      </x:c>
      <x:c r="N461" s="367" t="n">
        <x:f>SUM(K461:M461)</x:f>
        <x:v>96</x:v>
      </x:c>
      <x:c r="O461" s="368" t="n">
        <x:f>N461/25</x:f>
        <x:v>3.84</x:v>
      </x:c>
      <x:c r="P461" s="366" t="str">
        <x:v>Demo interactiva: Optimización y portabilidad de juegos.</x:v>
      </x:c>
      <x:c r="Q461" s="366" t="str">
        <x:v>S01; S12; S18; S20; S22; S23</x:v>
      </x:c>
      <x:c r="R461" s="366" t="str">
        <x:v>No iniciado</x:v>
      </x:c>
      <x:c r="S461" s="369" t="n">
        <x:v>0</x:v>
      </x:c>
      <x:c r="T461" s="370"/>
      <x:c r="U461" s="370"/>
      <x:c r="V461" s="366" t="str">
        <x:v>Combina geometría, óptica, simulación, interacción, animación y cómputo en tiempo real.</x:v>
      </x:c>
      <x:c r="W461" s="366" t="str">
        <x:v>Alta: práctica vigente</x:v>
      </x:c>
      <x:c r="X461" s="366" t="str">
        <x:v>Presente 2026 y corto (2027–2029)</x:v>
      </x:c>
      <x:c r="Y461" s="366" t="str">
        <x:v>Actual</x:v>
      </x:c>
      <x:c r="Z461" s="366" t="str">
        <x:v>12 meses</x:v>
      </x:c>
      <x:c r="AA461" s="366" t="str">
        <x:v>Render neural, computación espacial, captura volumétrica, háptica y mundos persistentes interoperables.</x:v>
      </x:c>
    </x:row>
    <x:row r="462" ht="58" customHeight="1">
      <x:c r="A462" s="351" t="str">
        <x:v>GXR-018</x:v>
      </x:c>
      <x:c r="B462" s="351" t="n">
        <x:v>6</x:v>
      </x:c>
      <x:c r="C462" s="351" t="str">
        <x:v>Especialización II</x:v>
      </x:c>
      <x:c r="D462" s="351" t="str">
        <x:v>Computación gráfica, videojuegos y entornos</x:v>
      </x:c>
      <x:c r="E462" s="351" t="str">
        <x:v>Gráficos, juegos y XR</x:v>
      </x:c>
      <x:c r="F462" s="351" t="str">
        <x:v>Producción y negocio de videojuegos</x:v>
      </x:c>
      <x:c r="G462" s="351" t="str">
        <x:v>Producción y negocio de videojuegos. Matemática visual, interacción en tiempo real, optimización, experiencia y producción.</x:v>
      </x:c>
      <x:c r="H462" s="351" t="str">
        <x:v>GXR-017</x:v>
      </x:c>
      <x:c r="I462" s="351" t="str">
        <x:v>Dominio profesional</x:v>
      </x:c>
      <x:c r="J462" s="351" t="n">
        <x:v>2</x:v>
      </x:c>
      <x:c r="K462" s="351" t="n">
        <x:v>18</x:v>
      </x:c>
      <x:c r="L462" s="351" t="n">
        <x:v>52</x:v>
      </x:c>
      <x:c r="M462" s="351" t="n">
        <x:v>26</x:v>
      </x:c>
      <x:c r="N462" s="352" t="n">
        <x:f>SUM(K462:M462)</x:f>
        <x:v>96</x:v>
      </x:c>
      <x:c r="O462" s="353" t="n">
        <x:f>N462/25</x:f>
        <x:v>3.84</x:v>
      </x:c>
      <x:c r="P462" s="351" t="str">
        <x:v>Demo interactiva: Producción y negocio de videojuegos.</x:v>
      </x:c>
      <x:c r="Q462" s="351" t="str">
        <x:v>S01; S12; S18; S20; S22; S23</x:v>
      </x:c>
      <x:c r="R462" s="351" t="str">
        <x:v>No iniciado</x:v>
      </x:c>
      <x:c r="S462" s="354" t="n">
        <x:v>0</x:v>
      </x:c>
      <x:c r="T462" s="355"/>
      <x:c r="U462" s="355"/>
      <x:c r="V462" s="351" t="str">
        <x:v>Combina geometría, óptica, simulación, interacción, animación y cómputo en tiempo real.</x:v>
      </x:c>
      <x:c r="W462" s="351" t="str">
        <x:v>Alta: práctica vigente</x:v>
      </x:c>
      <x:c r="X462" s="351" t="str">
        <x:v>Presente 2026 y corto (2027–2029)</x:v>
      </x:c>
      <x:c r="Y462" s="351" t="str">
        <x:v>Actual</x:v>
      </x:c>
      <x:c r="Z462" s="351" t="str">
        <x:v>12 meses</x:v>
      </x:c>
      <x:c r="AA462" s="351" t="str">
        <x:v>Render neural, computación espacial, captura volumétrica, háptica y mundos persistentes interoperables.</x:v>
      </x:c>
    </x:row>
    <x:row r="463" ht="58" customHeight="1">
      <x:c r="A463" s="366" t="str">
        <x:v>CAP-017</x:v>
      </x:c>
      <x:c r="B463" s="366" t="n">
        <x:v>6</x:v>
      </x:c>
      <x:c r="C463" s="366" t="str">
        <x:v>Especialización II</x:v>
      </x:c>
      <x:c r="D463" s="366" t="str">
        <x:v>Proyectos integradores</x:v>
      </x:c>
      <x:c r="E463" s="366" t="str">
        <x:v>Investigación, profesión y capstones</x:v>
      </x:c>
      <x:c r="F463" s="366" t="str">
        <x:v>Capstone V: electrónica e IoT</x:v>
      </x:c>
      <x:c r="G463" s="366" t="str">
        <x:v>Capstone V: electrónica e IoT. Problema real, requisitos, diseño, implementación, validación, documentación, ética y defensa pública.</x:v>
      </x:c>
      <x:c r="H463" s="366" t="str">
        <x:v>CAP-016</x:v>
      </x:c>
      <x:c r="I463" s="366" t="str">
        <x:v>Núcleo esencial</x:v>
      </x:c>
      <x:c r="J463" s="366" t="n">
        <x:v>1</x:v>
      </x:c>
      <x:c r="K463" s="366" t="n">
        <x:v>20</x:v>
      </x:c>
      <x:c r="L463" s="366" t="n">
        <x:v>24</x:v>
      </x:c>
      <x:c r="M463" s="366" t="n">
        <x:v>56</x:v>
      </x:c>
      <x:c r="N463" s="367" t="n">
        <x:f>SUM(K463:M463)</x:f>
        <x:v>100</x:v>
      </x:c>
      <x:c r="O463" s="368" t="n">
        <x:f>N463/25</x:f>
        <x:v>4</x:v>
      </x:c>
      <x:c r="P463" s="366" t="str">
        <x:v>Capstone integral: Capstone V: electrónica e IoT.</x:v>
      </x:c>
      <x:c r="Q463" s="366" t="str">
        <x:v>S03; S04; S09; S11; S12; S18</x:v>
      </x:c>
      <x:c r="R463" s="366" t="str">
        <x:v>No iniciado</x:v>
      </x:c>
      <x:c r="S463" s="369" t="n">
        <x:v>0</x:v>
      </x:c>
      <x:c r="T463" s="370"/>
      <x:c r="U463" s="370"/>
      <x:c r="V463" s="366" t="str">
        <x:v>Hereda método científico, ingeniería, revisión por pares, ética profesional e innovación.</x:v>
      </x:c>
      <x:c r="W463" s="366" t="str">
        <x:v>Muy alta: fundamento durable</x:v>
      </x:c>
      <x:c r="X463" s="366" t="str">
        <x:v>Presente 2026 y corto (2027–2029)</x:v>
      </x:c>
      <x:c r="Y463" s="366" t="str">
        <x:v>Actual</x:v>
      </x:c>
      <x:c r="Z463" s="366" t="str">
        <x:v>12 meses</x:v>
      </x:c>
      <x:c r="AA463" s="366" t="str">
        <x:v>Ciencia asistida por IA, inteligencia de patentes/estándares y actualización curricular basada en señales.</x:v>
      </x:c>
    </x:row>
    <x:row r="464" ht="58" customHeight="1">
      <x:c r="A464" s="351" t="str">
        <x:v>CAP-018</x:v>
      </x:c>
      <x:c r="B464" s="351" t="n">
        <x:v>6</x:v>
      </x:c>
      <x:c r="C464" s="351" t="str">
        <x:v>Especialización II</x:v>
      </x:c>
      <x:c r="D464" s="351" t="str">
        <x:v>Proyectos integradores</x:v>
      </x:c>
      <x:c r="E464" s="351" t="str">
        <x:v>Investigación, profesión y capstones</x:v>
      </x:c>
      <x:c r="F464" s="351" t="str">
        <x:v>Capstone VI: robótica y mecatrónica</x:v>
      </x:c>
      <x:c r="G464" s="351" t="str">
        <x:v>Capstone VI: robótica y mecatrónica. Problema real, requisitos, diseño, implementación, validación, documentación, ética y defensa pública.</x:v>
      </x:c>
      <x:c r="H464" s="351" t="str">
        <x:v>CAP-017</x:v>
      </x:c>
      <x:c r="I464" s="351" t="str">
        <x:v>Núcleo esencial</x:v>
      </x:c>
      <x:c r="J464" s="351" t="n">
        <x:v>1</x:v>
      </x:c>
      <x:c r="K464" s="351" t="n">
        <x:v>20</x:v>
      </x:c>
      <x:c r="L464" s="351" t="n">
        <x:v>24</x:v>
      </x:c>
      <x:c r="M464" s="351" t="n">
        <x:v>56</x:v>
      </x:c>
      <x:c r="N464" s="352" t="n">
        <x:f>SUM(K464:M464)</x:f>
        <x:v>100</x:v>
      </x:c>
      <x:c r="O464" s="353" t="n">
        <x:f>N464/25</x:f>
        <x:v>4</x:v>
      </x:c>
      <x:c r="P464" s="351" t="str">
        <x:v>Capstone integral: Capstone VI: robótica y mecatrónica.</x:v>
      </x:c>
      <x:c r="Q464" s="351" t="str">
        <x:v>S03; S04; S09; S11; S12; S18</x:v>
      </x:c>
      <x:c r="R464" s="351" t="str">
        <x:v>No iniciado</x:v>
      </x:c>
      <x:c r="S464" s="354" t="n">
        <x:v>0</x:v>
      </x:c>
      <x:c r="T464" s="355"/>
      <x:c r="U464" s="355"/>
      <x:c r="V464" s="351" t="str">
        <x:v>Hereda método científico, ingeniería, revisión por pares, ética profesional e innovación.</x:v>
      </x:c>
      <x:c r="W464" s="351" t="str">
        <x:v>Muy alta: fundamento durable</x:v>
      </x:c>
      <x:c r="X464" s="351" t="str">
        <x:v>Presente 2026 y corto (2027–2029)</x:v>
      </x:c>
      <x:c r="Y464" s="351" t="str">
        <x:v>Actual</x:v>
      </x:c>
      <x:c r="Z464" s="351" t="str">
        <x:v>12 meses</x:v>
      </x:c>
      <x:c r="AA464" s="351" t="str">
        <x:v>Ciencia asistida por IA, inteligencia de patentes/estándares y actualización curricular basada en señales.</x:v>
      </x:c>
    </x:row>
    <x:row r="465" ht="58" customHeight="1">
      <x:c r="A465" s="366" t="str">
        <x:v>CAP-027</x:v>
      </x:c>
      <x:c r="B465" s="366" t="n">
        <x:v>6</x:v>
      </x:c>
      <x:c r="C465" s="366" t="str">
        <x:v>Especialización II</x:v>
      </x:c>
      <x:c r="D465" s="366" t="str">
        <x:v>Historia, prospectiva y vigilancia tecnológica</x:v>
      </x:c>
      <x:c r="E465" s="366" t="str">
        <x:v>Investigación, profesión y capstones</x:v>
      </x:c>
      <x:c r="F465" s="366" t="str">
        <x:v>Prospectiva tecnológica y construcción de escenarios</x:v>
      </x:c>
      <x:c r="G465" s="366" t="str">
        <x:v>Prospectiva tecnológica y construcción de escenarios. Reconstrucción histórica, análisis de evidencia, escenarios alternativos, señales tempranas, madurez tecnológica y revisión periódica de decisiones.</x:v>
      </x:c>
      <x:c r="H465" s="366" t="str">
        <x:v>CAP-026</x:v>
      </x:c>
      <x:c r="I465" s="366" t="str">
        <x:v>Núcleo esencial</x:v>
      </x:c>
      <x:c r="J465" s="366" t="n">
        <x:v>1</x:v>
      </x:c>
      <x:c r="K465" s="366" t="n">
        <x:v>20</x:v>
      </x:c>
      <x:c r="L465" s="366" t="n">
        <x:v>24</x:v>
      </x:c>
      <x:c r="M465" s="366" t="n">
        <x:v>56</x:v>
      </x:c>
      <x:c r="N465" s="367" t="n">
        <x:f>SUM(K465:M465)</x:f>
        <x:v>100</x:v>
      </x:c>
      <x:c r="O465" s="368" t="n">
        <x:f>N465/25</x:f>
        <x:v>4</x:v>
      </x:c>
      <x:c r="P465" s="366" t="str">
        <x:v>Dossier temporal y radar auditado: Prospectiva tecnológica y construcción de escenarios.</x:v>
      </x:c>
      <x:c r="Q465" s="366" t="str">
        <x:v>S50; S51; S52; S53; S54; S61; S62; S63; S64; S67; S68</x:v>
      </x:c>
      <x:c r="R465" s="366" t="str">
        <x:v>No iniciado</x:v>
      </x:c>
      <x:c r="S465" s="369" t="n">
        <x:v>0</x:v>
      </x:c>
      <x:c r="T465" s="370"/>
      <x:c r="U465" s="370"/>
      <x:c r="V465" s="366" t="str">
        <x:v>Hereda método científico, ingeniería, revisión por pares, ética profesional e innovación.</x:v>
      </x:c>
      <x:c r="W465" s="366" t="str">
        <x:v>Muy alta: fundamento durable</x:v>
      </x:c>
      <x:c r="X465" s="366" t="str">
        <x:v>Presente 2026 y corto (2027–2029)</x:v>
      </x:c>
      <x:c r="Y465" s="366" t="str">
        <x:v>Actual</x:v>
      </x:c>
      <x:c r="Z465" s="366" t="str">
        <x:v>12 meses</x:v>
      </x:c>
      <x:c r="AA465" s="366" t="str">
        <x:v>Ciencia asistida por IA, inteligencia de patentes/estándares y actualización curricular basada en señales.</x:v>
      </x:c>
    </x:row>
    <x:row r="466" ht="58" customHeight="1">
      <x:c r="A466" s="351" t="str">
        <x:v>CAP-028</x:v>
      </x:c>
      <x:c r="B466" s="351" t="n">
        <x:v>6</x:v>
      </x:c>
      <x:c r="C466" s="351" t="str">
        <x:v>Especialización II</x:v>
      </x:c>
      <x:c r="D466" s="351" t="str">
        <x:v>Historia, prospectiva y vigilancia tecnológica</x:v>
      </x:c>
      <x:c r="E466" s="351" t="str">
        <x:v>Investigación, profesión y capstones</x:v>
      </x:c>
      <x:c r="F466" s="351" t="str">
        <x:v>Horizon scanning y radar tecnológico</x:v>
      </x:c>
      <x:c r="G466" s="351" t="str">
        <x:v>Horizon scanning y radar tecnológico. Reconstrucción histórica, análisis de evidencia, escenarios alternativos, señales tempranas, madurez tecnológica y revisión periódica de decisiones.</x:v>
      </x:c>
      <x:c r="H466" s="351" t="str">
        <x:v>CAP-027</x:v>
      </x:c>
      <x:c r="I466" s="351" t="str">
        <x:v>Núcleo esencial</x:v>
      </x:c>
      <x:c r="J466" s="351" t="n">
        <x:v>1</x:v>
      </x:c>
      <x:c r="K466" s="351" t="n">
        <x:v>20</x:v>
      </x:c>
      <x:c r="L466" s="351" t="n">
        <x:v>24</x:v>
      </x:c>
      <x:c r="M466" s="351" t="n">
        <x:v>56</x:v>
      </x:c>
      <x:c r="N466" s="352" t="n">
        <x:f>SUM(K466:M466)</x:f>
        <x:v>100</x:v>
      </x:c>
      <x:c r="O466" s="353" t="n">
        <x:f>N466/25</x:f>
        <x:v>4</x:v>
      </x:c>
      <x:c r="P466" s="351" t="str">
        <x:v>Dossier temporal y radar auditado: Horizon scanning y radar tecnológico.</x:v>
      </x:c>
      <x:c r="Q466" s="351" t="str">
        <x:v>S50; S51; S52; S53; S54; S61; S62; S63; S64; S67; S68</x:v>
      </x:c>
      <x:c r="R466" s="351" t="str">
        <x:v>No iniciado</x:v>
      </x:c>
      <x:c r="S466" s="354" t="n">
        <x:v>0</x:v>
      </x:c>
      <x:c r="T466" s="355"/>
      <x:c r="U466" s="355"/>
      <x:c r="V466" s="351" t="str">
        <x:v>Hereda método científico, ingeniería, revisión por pares, ética profesional e innovación.</x:v>
      </x:c>
      <x:c r="W466" s="351" t="str">
        <x:v>Muy alta: fundamento durable</x:v>
      </x:c>
      <x:c r="X466" s="351" t="str">
        <x:v>Presente 2026 y corto (2027–2029)</x:v>
      </x:c>
      <x:c r="Y466" s="351" t="str">
        <x:v>Actual</x:v>
      </x:c>
      <x:c r="Z466" s="351" t="str">
        <x:v>12 meses</x:v>
      </x:c>
      <x:c r="AA466" s="351" t="str">
        <x:v>Ciencia asistida por IA, inteligencia de patentes/estándares y actualización curricular basada en señales.</x:v>
      </x:c>
    </x:row>
    <x:row r="467" ht="58" customHeight="1">
      <x:c r="A467" s="366" t="str">
        <x:v>NET-041</x:v>
      </x:c>
      <x:c r="B467" s="366" t="n">
        <x:v>6</x:v>
      </x:c>
      <x:c r="C467" s="366" t="str">
        <x:v>Especialización II</x:v>
      </x:c>
      <x:c r="D467" s="366" t="str">
        <x:v>Administración de sistemas y nube</x:v>
      </x:c>
      <x:c r="E467" s="366" t="str">
        <x:v>Redes, telecom y cloud</x:v>
      </x:c>
      <x:c r="F467" s="366" t="str">
        <x:v>FinOps y optimización de costos</x:v>
      </x:c>
      <x:c r="G467" s="366" t="str">
        <x:v>FinOps y optimización de costos. Implementación, automatización, identidad, monitoreo, continuidad y optimización de costos.</x:v>
      </x:c>
      <x:c r="H467" s="366" t="str">
        <x:v>NET-040</x:v>
      </x:c>
      <x:c r="I467" s="366" t="str">
        <x:v>Dominio profesional</x:v>
      </x:c>
      <x:c r="J467" s="366" t="n">
        <x:v>2</x:v>
      </x:c>
      <x:c r="K467" s="366" t="n">
        <x:v>20</x:v>
      </x:c>
      <x:c r="L467" s="366" t="n">
        <x:v>52</x:v>
      </x:c>
      <x:c r="M467" s="366" t="n">
        <x:v>20</x:v>
      </x:c>
      <x:c r="N467" s="367" t="n">
        <x:f>SUM(K467:M467)</x:f>
        <x:v>92</x:v>
      </x:c>
      <x:c r="O467" s="368" t="n">
        <x:f>N467/25</x:f>
        <x:v>3.68</x:v>
      </x:c>
      <x:c r="P467" s="366" t="str">
        <x:v>Infraestructura como código: FinOps y optimización de costos.</x:v>
      </x:c>
      <x:c r="Q467" s="366" t="str">
        <x:v>S03; S28; S29; S30; S31</x:v>
      </x:c>
      <x:c r="R467" s="366" t="str">
        <x:v>No iniciado</x:v>
      </x:c>
      <x:c r="S467" s="369" t="n">
        <x:v>0</x:v>
      </x:c>
      <x:c r="T467" s="370"/>
      <x:c r="U467" s="370"/>
      <x:c r="V467" s="366" t="str">
        <x:v>Integra telegrafía, telefonía, conmutación de paquetes, Internet, virtualización y nube.</x:v>
      </x:c>
      <x:c r="W467" s="366" t="str">
        <x:v>Alta: práctica vigente</x:v>
      </x:c>
      <x:c r="X467" s="366" t="str">
        <x:v>Presente 2026 y corto (2027–2029)</x:v>
      </x:c>
      <x:c r="Y467" s="366" t="str">
        <x:v>Actual</x:v>
      </x:c>
      <x:c r="Z467" s="366" t="str">
        <x:v>12 meses</x:v>
      </x:c>
      <x:c r="AA467" s="366" t="str">
        <x:v>5G-Advanced, IMT-2030/6G, edge, redes no terrestres, nube soberana y operación autónoma.</x:v>
      </x:c>
    </x:row>
    <x:row r="468" ht="58" customHeight="1">
      <x:c r="A468" s="351" t="str">
        <x:v>NET-042</x:v>
      </x:c>
      <x:c r="B468" s="351" t="n">
        <x:v>6</x:v>
      </x:c>
      <x:c r="C468" s="351" t="str">
        <x:v>Especialización II</x:v>
      </x:c>
      <x:c r="D468" s="351" t="str">
        <x:v>Administración de sistemas y nube</x:v>
      </x:c>
      <x:c r="E468" s="351" t="str">
        <x:v>Redes, telecom y cloud</x:v>
      </x:c>
      <x:c r="F468" s="351" t="str">
        <x:v>Arquitectura cloud-native</x:v>
      </x:c>
      <x:c r="G468" s="351" t="str">
        <x:v>Arquitectura cloud-native. Implementación, automatización, identidad, monitoreo, continuidad y optimización de costos.</x:v>
      </x:c>
      <x:c r="H468" s="351" t="str">
        <x:v>NET-041</x:v>
      </x:c>
      <x:c r="I468" s="351" t="str">
        <x:v>Dominio profesional</x:v>
      </x:c>
      <x:c r="J468" s="351" t="n">
        <x:v>2</x:v>
      </x:c>
      <x:c r="K468" s="351" t="n">
        <x:v>20</x:v>
      </x:c>
      <x:c r="L468" s="351" t="n">
        <x:v>52</x:v>
      </x:c>
      <x:c r="M468" s="351" t="n">
        <x:v>20</x:v>
      </x:c>
      <x:c r="N468" s="352" t="n">
        <x:f>SUM(K468:M468)</x:f>
        <x:v>92</x:v>
      </x:c>
      <x:c r="O468" s="353" t="n">
        <x:f>N468/25</x:f>
        <x:v>3.68</x:v>
      </x:c>
      <x:c r="P468" s="351" t="str">
        <x:v>Infraestructura como código: Arquitectura cloud-native.</x:v>
      </x:c>
      <x:c r="Q468" s="351" t="str">
        <x:v>S03; S28; S29; S30; S31</x:v>
      </x:c>
      <x:c r="R468" s="351" t="str">
        <x:v>No iniciado</x:v>
      </x:c>
      <x:c r="S468" s="354" t="n">
        <x:v>0</x:v>
      </x:c>
      <x:c r="T468" s="355"/>
      <x:c r="U468" s="355"/>
      <x:c r="V468" s="351" t="str">
        <x:v>Integra telegrafía, telefonía, conmutación de paquetes, Internet, virtualización y nube.</x:v>
      </x:c>
      <x:c r="W468" s="351" t="str">
        <x:v>Alta: práctica vigente</x:v>
      </x:c>
      <x:c r="X468" s="351" t="str">
        <x:v>Presente 2026 y corto (2027–2029)</x:v>
      </x:c>
      <x:c r="Y468" s="351" t="str">
        <x:v>Actual</x:v>
      </x:c>
      <x:c r="Z468" s="351" t="str">
        <x:v>12 meses</x:v>
      </x:c>
      <x:c r="AA468" s="351" t="str">
        <x:v>5G-Advanced, IMT-2030/6G, edge, redes no terrestres, nube soberana y operación autónoma.</x:v>
      </x:c>
    </x:row>
    <x:row r="469" ht="58" customHeight="1">
      <x:c r="A469" s="366" t="str">
        <x:v>NET-043</x:v>
      </x:c>
      <x:c r="B469" s="366" t="n">
        <x:v>6</x:v>
      </x:c>
      <x:c r="C469" s="366" t="str">
        <x:v>Especialización II</x:v>
      </x:c>
      <x:c r="D469" s="366" t="str">
        <x:v>Administración de sistemas y nube</x:v>
      </x:c>
      <x:c r="E469" s="366" t="str">
        <x:v>Redes, telecom y cloud</x:v>
      </x:c>
      <x:c r="F469" s="366" t="str">
        <x:v>Operación de plataformas a gran escala</x:v>
      </x:c>
      <x:c r="G469" s="366" t="str">
        <x:v>Operación de plataformas a gran escala. Implementación, automatización, identidad, monitoreo, continuidad y optimización de costos.</x:v>
      </x:c>
      <x:c r="H469" s="366" t="str">
        <x:v>NET-042</x:v>
      </x:c>
      <x:c r="I469" s="366" t="str">
        <x:v>Dominio profesional</x:v>
      </x:c>
      <x:c r="J469" s="366" t="n">
        <x:v>2</x:v>
      </x:c>
      <x:c r="K469" s="366" t="n">
        <x:v>20</x:v>
      </x:c>
      <x:c r="L469" s="366" t="n">
        <x:v>52</x:v>
      </x:c>
      <x:c r="M469" s="366" t="n">
        <x:v>20</x:v>
      </x:c>
      <x:c r="N469" s="367" t="n">
        <x:f>SUM(K469:M469)</x:f>
        <x:v>92</x:v>
      </x:c>
      <x:c r="O469" s="368" t="n">
        <x:f>N469/25</x:f>
        <x:v>3.68</x:v>
      </x:c>
      <x:c r="P469" s="366" t="str">
        <x:v>Infraestructura como código: Operación de plataformas a gran escala.</x:v>
      </x:c>
      <x:c r="Q469" s="366" t="str">
        <x:v>S03; S28; S29; S30; S31</x:v>
      </x:c>
      <x:c r="R469" s="366" t="str">
        <x:v>No iniciado</x:v>
      </x:c>
      <x:c r="S469" s="369" t="n">
        <x:v>0</x:v>
      </x:c>
      <x:c r="T469" s="370"/>
      <x:c r="U469" s="370"/>
      <x:c r="V469" s="366" t="str">
        <x:v>Integra telegrafía, telefonía, conmutación de paquetes, Internet, virtualización y nube.</x:v>
      </x:c>
      <x:c r="W469" s="366" t="str">
        <x:v>Alta: práctica vigente</x:v>
      </x:c>
      <x:c r="X469" s="366" t="str">
        <x:v>Presente 2026 y corto (2027–2029)</x:v>
      </x:c>
      <x:c r="Y469" s="366" t="str">
        <x:v>Actual</x:v>
      </x:c>
      <x:c r="Z469" s="366" t="str">
        <x:v>12 meses</x:v>
      </x:c>
      <x:c r="AA469" s="366" t="str">
        <x:v>5G-Advanced, IMT-2030/6G, edge, redes no terrestres, nube soberana y operación autónoma.</x:v>
      </x:c>
    </x:row>
    <x:row r="470" ht="58" customHeight="1">
      <x:c r="A470" s="351" t="str">
        <x:v>ROB-025</x:v>
      </x:c>
      <x:c r="B470" s="351" t="n">
        <x:v>6</x:v>
      </x:c>
      <x:c r="C470" s="351" t="str">
        <x:v>Especialización II</x:v>
      </x:c>
      <x:c r="D470" s="351" t="str">
        <x:v>Robótica</x:v>
      </x:c>
      <x:c r="E470" s="351" t="str">
        <x:v>Robótica y mecatrónica</x:v>
      </x:c>
      <x:c r="F470" s="351" t="str">
        <x:v>Robótica humanoide</x:v>
      </x:c>
      <x:c r="G470" s="351" t="str">
        <x:v>Robótica humanoide. Percepción, movimiento, planificación, control, interacción y experimentación reproducible.</x:v>
      </x:c>
      <x:c r="H470" s="351" t="str">
        <x:v>ROB-024</x:v>
      </x:c>
      <x:c r="I470" s="351" t="str">
        <x:v>Dominio profesional</x:v>
      </x:c>
      <x:c r="J470" s="351" t="n">
        <x:v>2</x:v>
      </x:c>
      <x:c r="K470" s="351" t="n">
        <x:v>20</x:v>
      </x:c>
      <x:c r="L470" s="351" t="n">
        <x:v>52</x:v>
      </x:c>
      <x:c r="M470" s="351" t="n">
        <x:v>20</x:v>
      </x:c>
      <x:c r="N470" s="352" t="n">
        <x:f>SUM(K470:M470)</x:f>
        <x:v>92</x:v>
      </x:c>
      <x:c r="O470" s="353" t="n">
        <x:f>N470/25</x:f>
        <x:v>3.68</x:v>
      </x:c>
      <x:c r="P470" s="351" t="str">
        <x:v>Robot o simulación validada: Robótica humanoide.</x:v>
      </x:c>
      <x:c r="Q470" s="351" t="str">
        <x:v>S04; S12; S24; S25</x:v>
      </x:c>
      <x:c r="R470" s="351" t="str">
        <x:v>No iniciado</x:v>
      </x:c>
      <x:c r="S470" s="354" t="n">
        <x:v>0</x:v>
      </x:c>
      <x:c r="T470" s="355"/>
      <x:c r="U470" s="355"/>
      <x:c r="V470" s="351" t="str">
        <x:v>Converge mecánica, control, electrónica, percepción, planificación e inteligencia artificial.</x:v>
      </x:c>
      <x:c r="W470" s="351" t="str">
        <x:v>Alta: práctica vigente</x:v>
      </x:c>
      <x:c r="X470" s="351" t="str">
        <x:v>Presente 2026 y corto (2027–2029)</x:v>
      </x:c>
      <x:c r="Y470" s="351" t="str">
        <x:v>Actual</x:v>
      </x:c>
      <x:c r="Z470" s="351" t="str">
        <x:v>12 meses</x:v>
      </x:c>
      <x:c r="AA470" s="351" t="str">
        <x:v>IA corporeizada, robots colaborativos, autonomía, enjambres, robótica blanda y seguridad física.</x:v>
      </x:c>
    </x:row>
    <x:row r="471" ht="58" customHeight="1">
      <x:c r="A471" s="366" t="str">
        <x:v>ROB-026</x:v>
      </x:c>
      <x:c r="B471" s="366" t="n">
        <x:v>6</x:v>
      </x:c>
      <x:c r="C471" s="366" t="str">
        <x:v>Especialización II</x:v>
      </x:c>
      <x:c r="D471" s="366" t="str">
        <x:v>Robótica</x:v>
      </x:c>
      <x:c r="E471" s="366" t="str">
        <x:v>Robótica y mecatrónica</x:v>
      </x:c>
      <x:c r="F471" s="366" t="str">
        <x:v>Interacción humano–robot</x:v>
      </x:c>
      <x:c r="G471" s="366" t="str">
        <x:v>Interacción humano–robot. Percepción, movimiento, planificación, control, interacción y experimentación reproducible.</x:v>
      </x:c>
      <x:c r="H471" s="366" t="str">
        <x:v>ROB-025</x:v>
      </x:c>
      <x:c r="I471" s="366" t="str">
        <x:v>Dominio profesional</x:v>
      </x:c>
      <x:c r="J471" s="366" t="n">
        <x:v>2</x:v>
      </x:c>
      <x:c r="K471" s="366" t="n">
        <x:v>20</x:v>
      </x:c>
      <x:c r="L471" s="366" t="n">
        <x:v>52</x:v>
      </x:c>
      <x:c r="M471" s="366" t="n">
        <x:v>20</x:v>
      </x:c>
      <x:c r="N471" s="367" t="n">
        <x:f>SUM(K471:M471)</x:f>
        <x:v>92</x:v>
      </x:c>
      <x:c r="O471" s="368" t="n">
        <x:f>N471/25</x:f>
        <x:v>3.68</x:v>
      </x:c>
      <x:c r="P471" s="366" t="str">
        <x:v>Robot o simulación validada: Interacción humano–robot.</x:v>
      </x:c>
      <x:c r="Q471" s="366" t="str">
        <x:v>S04; S12; S24; S25</x:v>
      </x:c>
      <x:c r="R471" s="366" t="str">
        <x:v>No iniciado</x:v>
      </x:c>
      <x:c r="S471" s="369" t="n">
        <x:v>0</x:v>
      </x:c>
      <x:c r="T471" s="370"/>
      <x:c r="U471" s="370"/>
      <x:c r="V471" s="366" t="str">
        <x:v>Converge mecánica, control, electrónica, percepción, planificación e inteligencia artificial.</x:v>
      </x:c>
      <x:c r="W471" s="366" t="str">
        <x:v>Alta: práctica vigente</x:v>
      </x:c>
      <x:c r="X471" s="366" t="str">
        <x:v>Presente 2026 y corto (2027–2029)</x:v>
      </x:c>
      <x:c r="Y471" s="366" t="str">
        <x:v>Actual</x:v>
      </x:c>
      <x:c r="Z471" s="366" t="str">
        <x:v>12 meses</x:v>
      </x:c>
      <x:c r="AA471" s="366" t="str">
        <x:v>IA corporeizada, robots colaborativos, autonomía, enjambres, robótica blanda y seguridad física.</x:v>
      </x:c>
    </x:row>
    <x:row r="472" ht="58" customHeight="1">
      <x:c r="A472" s="351" t="str">
        <x:v>ROB-027</x:v>
      </x:c>
      <x:c r="B472" s="351" t="n">
        <x:v>6</x:v>
      </x:c>
      <x:c r="C472" s="351" t="str">
        <x:v>Especialización II</x:v>
      </x:c>
      <x:c r="D472" s="351" t="str">
        <x:v>Robótica</x:v>
      </x:c>
      <x:c r="E472" s="351" t="str">
        <x:v>Robótica y mecatrónica</x:v>
      </x:c>
      <x:c r="F472" s="351" t="str">
        <x:v>Robótica colaborativa y seguridad</x:v>
      </x:c>
      <x:c r="G472" s="351" t="str">
        <x:v>Robótica colaborativa y seguridad. Percepción, movimiento, planificación, control, interacción y experimentación reproducible.</x:v>
      </x:c>
      <x:c r="H472" s="351" t="str">
        <x:v>ROB-026</x:v>
      </x:c>
      <x:c r="I472" s="351" t="str">
        <x:v>Dominio profesional</x:v>
      </x:c>
      <x:c r="J472" s="351" t="n">
        <x:v>2</x:v>
      </x:c>
      <x:c r="K472" s="351" t="n">
        <x:v>20</x:v>
      </x:c>
      <x:c r="L472" s="351" t="n">
        <x:v>52</x:v>
      </x:c>
      <x:c r="M472" s="351" t="n">
        <x:v>20</x:v>
      </x:c>
      <x:c r="N472" s="352" t="n">
        <x:f>SUM(K472:M472)</x:f>
        <x:v>92</x:v>
      </x:c>
      <x:c r="O472" s="353" t="n">
        <x:f>N472/25</x:f>
        <x:v>3.68</x:v>
      </x:c>
      <x:c r="P472" s="351" t="str">
        <x:v>Robot o simulación validada: Robótica colaborativa y seguridad.</x:v>
      </x:c>
      <x:c r="Q472" s="351" t="str">
        <x:v>S04; S12; S24; S25</x:v>
      </x:c>
      <x:c r="R472" s="351" t="str">
        <x:v>No iniciado</x:v>
      </x:c>
      <x:c r="S472" s="354" t="n">
        <x:v>0</x:v>
      </x:c>
      <x:c r="T472" s="355"/>
      <x:c r="U472" s="355"/>
      <x:c r="V472" s="351" t="str">
        <x:v>Converge mecánica, control, electrónica, percepción, planificación e inteligencia artificial.</x:v>
      </x:c>
      <x:c r="W472" s="351" t="str">
        <x:v>Alta: práctica vigente</x:v>
      </x:c>
      <x:c r="X472" s="351" t="str">
        <x:v>Presente 2026 y corto (2027–2029)</x:v>
      </x:c>
      <x:c r="Y472" s="351" t="str">
        <x:v>Actual</x:v>
      </x:c>
      <x:c r="Z472" s="351" t="str">
        <x:v>12 meses</x:v>
      </x:c>
      <x:c r="AA472" s="351" t="str">
        <x:v>IA corporeizada, robots colaborativos, autonomía, enjambres, robótica blanda y seguridad física.</x:v>
      </x:c>
    </x:row>
    <x:row r="473" ht="58" customHeight="1">
      <x:c r="A473" s="366" t="str">
        <x:v>ROB-028</x:v>
      </x:c>
      <x:c r="B473" s="366" t="n">
        <x:v>6</x:v>
      </x:c>
      <x:c r="C473" s="366" t="str">
        <x:v>Especialización II</x:v>
      </x:c>
      <x:c r="D473" s="366" t="str">
        <x:v>Robótica</x:v>
      </x:c>
      <x:c r="E473" s="366" t="str">
        <x:v>Robótica y mecatrónica</x:v>
      </x:c>
      <x:c r="F473" s="366" t="str">
        <x:v>Aprendizaje para robótica</x:v>
      </x:c>
      <x:c r="G473" s="366" t="str">
        <x:v>Aprendizaje para robótica. Percepción, movimiento, planificación, control, interacción y experimentación reproducible.</x:v>
      </x:c>
      <x:c r="H473" s="366" t="str">
        <x:v>ROB-027</x:v>
      </x:c>
      <x:c r="I473" s="366" t="str">
        <x:v>Dominio profesional</x:v>
      </x:c>
      <x:c r="J473" s="366" t="n">
        <x:v>2</x:v>
      </x:c>
      <x:c r="K473" s="366" t="n">
        <x:v>20</x:v>
      </x:c>
      <x:c r="L473" s="366" t="n">
        <x:v>52</x:v>
      </x:c>
      <x:c r="M473" s="366" t="n">
        <x:v>20</x:v>
      </x:c>
      <x:c r="N473" s="367" t="n">
        <x:f>SUM(K473:M473)</x:f>
        <x:v>92</x:v>
      </x:c>
      <x:c r="O473" s="368" t="n">
        <x:f>N473/25</x:f>
        <x:v>3.68</x:v>
      </x:c>
      <x:c r="P473" s="366" t="str">
        <x:v>Robot o simulación validada: Aprendizaje para robótica.</x:v>
      </x:c>
      <x:c r="Q473" s="366" t="str">
        <x:v>S04; S12; S24; S25</x:v>
      </x:c>
      <x:c r="R473" s="366" t="str">
        <x:v>No iniciado</x:v>
      </x:c>
      <x:c r="S473" s="369" t="n">
        <x:v>0</x:v>
      </x:c>
      <x:c r="T473" s="370"/>
      <x:c r="U473" s="370"/>
      <x:c r="V473" s="366" t="str">
        <x:v>Converge mecánica, control, electrónica, percepción, planificación e inteligencia artificial.</x:v>
      </x:c>
      <x:c r="W473" s="366" t="str">
        <x:v>Alta: práctica vigente</x:v>
      </x:c>
      <x:c r="X473" s="366" t="str">
        <x:v>Presente 2026 y corto (2027–2029)</x:v>
      </x:c>
      <x:c r="Y473" s="366" t="str">
        <x:v>Actual</x:v>
      </x:c>
      <x:c r="Z473" s="366" t="str">
        <x:v>12 meses</x:v>
      </x:c>
      <x:c r="AA473" s="366" t="str">
        <x:v>IA corporeizada, robots colaborativos, autonomía, enjambres, robótica blanda y seguridad física.</x:v>
      </x:c>
    </x:row>
    <x:row r="474" ht="58" customHeight="1">
      <x:c r="A474" s="351" t="str">
        <x:v>ROB-029</x:v>
      </x:c>
      <x:c r="B474" s="351" t="n">
        <x:v>6</x:v>
      </x:c>
      <x:c r="C474" s="351" t="str">
        <x:v>Especialización II</x:v>
      </x:c>
      <x:c r="D474" s="351" t="str">
        <x:v>Robótica</x:v>
      </x:c>
      <x:c r="E474" s="351" t="str">
        <x:v>Robótica y mecatrónica</x:v>
      </x:c>
      <x:c r="F474" s="351" t="str">
        <x:v>Sistemas multi-robot</x:v>
      </x:c>
      <x:c r="G474" s="351" t="str">
        <x:v>Sistemas multi-robot. Percepción, movimiento, planificación, control, interacción y experimentación reproducible.</x:v>
      </x:c>
      <x:c r="H474" s="351" t="str">
        <x:v>ROB-028</x:v>
      </x:c>
      <x:c r="I474" s="351" t="str">
        <x:v>Dominio profesional</x:v>
      </x:c>
      <x:c r="J474" s="351" t="n">
        <x:v>2</x:v>
      </x:c>
      <x:c r="K474" s="351" t="n">
        <x:v>20</x:v>
      </x:c>
      <x:c r="L474" s="351" t="n">
        <x:v>52</x:v>
      </x:c>
      <x:c r="M474" s="351" t="n">
        <x:v>20</x:v>
      </x:c>
      <x:c r="N474" s="352" t="n">
        <x:f>SUM(K474:M474)</x:f>
        <x:v>92</x:v>
      </x:c>
      <x:c r="O474" s="353" t="n">
        <x:f>N474/25</x:f>
        <x:v>3.68</x:v>
      </x:c>
      <x:c r="P474" s="351" t="str">
        <x:v>Robot o simulación validada: Sistemas multi-robot.</x:v>
      </x:c>
      <x:c r="Q474" s="351" t="str">
        <x:v>S04; S12; S24; S25</x:v>
      </x:c>
      <x:c r="R474" s="351" t="str">
        <x:v>No iniciado</x:v>
      </x:c>
      <x:c r="S474" s="354" t="n">
        <x:v>0</x:v>
      </x:c>
      <x:c r="T474" s="355"/>
      <x:c r="U474" s="355"/>
      <x:c r="V474" s="351" t="str">
        <x:v>Converge mecánica, control, electrónica, percepción, planificación e inteligencia artificial.</x:v>
      </x:c>
      <x:c r="W474" s="351" t="str">
        <x:v>Alta: práctica vigente</x:v>
      </x:c>
      <x:c r="X474" s="351" t="str">
        <x:v>Presente 2026 y corto (2027–2029)</x:v>
      </x:c>
      <x:c r="Y474" s="351" t="str">
        <x:v>Actual</x:v>
      </x:c>
      <x:c r="Z474" s="351" t="str">
        <x:v>12 meses</x:v>
      </x:c>
      <x:c r="AA474" s="351" t="str">
        <x:v>IA corporeizada, robots colaborativos, autonomía, enjambres, robótica blanda y seguridad física.</x:v>
      </x:c>
    </x:row>
    <x:row r="475" ht="58" customHeight="1">
      <x:c r="A475" s="366" t="str">
        <x:v>ROB-030</x:v>
      </x:c>
      <x:c r="B475" s="366" t="n">
        <x:v>6</x:v>
      </x:c>
      <x:c r="C475" s="366" t="str">
        <x:v>Especialización II</x:v>
      </x:c>
      <x:c r="D475" s="366" t="str">
        <x:v>Robótica</x:v>
      </x:c>
      <x:c r="E475" s="366" t="str">
        <x:v>Robótica y mecatrónica</x:v>
      </x:c>
      <x:c r="F475" s="366" t="str">
        <x:v>Robótica blanda y bioinspirada</x:v>
      </x:c>
      <x:c r="G475" s="366" t="str">
        <x:v>Robótica blanda y bioinspirada. Percepción, movimiento, planificación, control, interacción y experimentación reproducible.</x:v>
      </x:c>
      <x:c r="H475" s="366" t="str">
        <x:v>ROB-029</x:v>
      </x:c>
      <x:c r="I475" s="366" t="str">
        <x:v>Dominio profesional</x:v>
      </x:c>
      <x:c r="J475" s="366" t="n">
        <x:v>2</x:v>
      </x:c>
      <x:c r="K475" s="366" t="n">
        <x:v>20</x:v>
      </x:c>
      <x:c r="L475" s="366" t="n">
        <x:v>52</x:v>
      </x:c>
      <x:c r="M475" s="366" t="n">
        <x:v>20</x:v>
      </x:c>
      <x:c r="N475" s="367" t="n">
        <x:f>SUM(K475:M475)</x:f>
        <x:v>92</x:v>
      </x:c>
      <x:c r="O475" s="368" t="n">
        <x:f>N475/25</x:f>
        <x:v>3.68</x:v>
      </x:c>
      <x:c r="P475" s="366" t="str">
        <x:v>Robot o simulación validada: Robótica blanda y bioinspirada.</x:v>
      </x:c>
      <x:c r="Q475" s="366" t="str">
        <x:v>S04; S12; S24; S25</x:v>
      </x:c>
      <x:c r="R475" s="366" t="str">
        <x:v>No iniciado</x:v>
      </x:c>
      <x:c r="S475" s="369" t="n">
        <x:v>0</x:v>
      </x:c>
      <x:c r="T475" s="370"/>
      <x:c r="U475" s="370"/>
      <x:c r="V475" s="366" t="str">
        <x:v>Converge mecánica, control, electrónica, percepción, planificación e inteligencia artificial.</x:v>
      </x:c>
      <x:c r="W475" s="366" t="str">
        <x:v>Variable: validar evidencia y madurez</x:v>
      </x:c>
      <x:c r="X475" s="366" t="str">
        <x:v>Mediano (2030–2035) y largo (2036–2045)</x:v>
      </x:c>
      <x:c r="Y475" s="366" t="str">
        <x:v>Experimental</x:v>
      </x:c>
      <x:c r="Z475" s="366" t="str">
        <x:v>6 meses</x:v>
      </x:c>
      <x:c r="AA475" s="366" t="str">
        <x:v>IA corporeizada, robots colaborativos, autonomía, enjambres, robótica blanda y seguridad física.</x:v>
      </x:c>
    </x:row>
    <x:row r="476" ht="58" customHeight="1">
      <x:c r="A476" s="351" t="str">
        <x:v>BIO-007</x:v>
      </x:c>
      <x:c r="B476" s="351" t="n">
        <x:v>7</x:v>
      </x:c>
      <x:c r="C476" s="351" t="str">
        <x:v>Profundización</x:v>
      </x:c>
      <x:c r="D476" s="351" t="str">
        <x:v>Bioinformática y biología computacional</x:v>
      </x:c>
      <x:c r="E476" s="351" t="str">
        <x:v>Bioinformática y salud digital</x:v>
      </x:c>
      <x:c r="F476" s="351" t="str">
        <x:v>Genómica y secuenciación</x:v>
      </x:c>
      <x:c r="G476" s="351" t="str">
        <x:v>Genómica y secuenciación. Biología molecular, datos ómicos, algoritmos, reproducibilidad y ética.</x:v>
      </x:c>
      <x:c r="H476" s="351" t="str">
        <x:v>BIO-006</x:v>
      </x:c>
      <x:c r="I476" s="351" t="str">
        <x:v>Frontera/adyacente</x:v>
      </x:c>
      <x:c r="J476" s="351" t="n">
        <x:v>3</x:v>
      </x:c>
      <x:c r="K476" s="351" t="n">
        <x:v>28</x:v>
      </x:c>
      <x:c r="L476" s="351" t="n">
        <x:v>36</x:v>
      </x:c>
      <x:c r="M476" s="351" t="n">
        <x:v>20</x:v>
      </x:c>
      <x:c r="N476" s="352" t="n">
        <x:f>SUM(K476:M476)</x:f>
        <x:v>84</x:v>
      </x:c>
      <x:c r="O476" s="353" t="n">
        <x:f>N476/25</x:f>
        <x:v>3.36</x:v>
      </x:c>
      <x:c r="P476" s="351" t="str">
        <x:v>Pipeline bioinformático: Genómica y secuenciación.</x:v>
      </x:c>
      <x:c r="Q476" s="351" t="str">
        <x:v>S12; S20; S39</x:v>
      </x:c>
      <x:c r="R476" s="351" t="str">
        <x:v>No iniciado</x:v>
      </x:c>
      <x:c r="S476" s="354" t="n">
        <x:v>0</x:v>
      </x:c>
      <x:c r="T476" s="355"/>
      <x:c r="U476" s="355"/>
      <x:c r="V476" s="351" t="str">
        <x:v>Une biología molecular, medicina, estadística, computación y gestión clínica de información.</x:v>
      </x:c>
      <x:c r="W476" s="351" t="str">
        <x:v>Alta: práctica vigente</x:v>
      </x:c>
      <x:c r="X476" s="351" t="str">
        <x:v>Presente 2026 y corto (2027–2029)</x:v>
      </x:c>
      <x:c r="Y476" s="351" t="str">
        <x:v>Actual</x:v>
      </x:c>
      <x:c r="Z476" s="351" t="str">
        <x:v>12 meses</x:v>
      </x:c>
      <x:c r="AA476" s="351" t="str">
        <x:v>Multi-ómica, modelos fundacionales biomédicos, biomarcadores digitales, federación e interfaces neurales.</x:v>
      </x:c>
    </x:row>
    <x:row r="477" ht="58" customHeight="1">
      <x:c r="A477" s="366" t="str">
        <x:v>BIO-008</x:v>
      </x:c>
      <x:c r="B477" s="366" t="n">
        <x:v>7</x:v>
      </x:c>
      <x:c r="C477" s="366" t="str">
        <x:v>Profundización</x:v>
      </x:c>
      <x:c r="D477" s="366" t="str">
        <x:v>Bioinformática y biología computacional</x:v>
      </x:c>
      <x:c r="E477" s="366" t="str">
        <x:v>Bioinformática y salud digital</x:v>
      </x:c>
      <x:c r="F477" s="366" t="str">
        <x:v>Proteómica y metabolómica</x:v>
      </x:c>
      <x:c r="G477" s="366" t="str">
        <x:v>Proteómica y metabolómica. Biología molecular, datos ómicos, algoritmos, reproducibilidad y ética.</x:v>
      </x:c>
      <x:c r="H477" s="366" t="str">
        <x:v>BIO-007</x:v>
      </x:c>
      <x:c r="I477" s="366" t="str">
        <x:v>Frontera/adyacente</x:v>
      </x:c>
      <x:c r="J477" s="366" t="n">
        <x:v>3</x:v>
      </x:c>
      <x:c r="K477" s="366" t="n">
        <x:v>28</x:v>
      </x:c>
      <x:c r="L477" s="366" t="n">
        <x:v>36</x:v>
      </x:c>
      <x:c r="M477" s="366" t="n">
        <x:v>20</x:v>
      </x:c>
      <x:c r="N477" s="367" t="n">
        <x:f>SUM(K477:M477)</x:f>
        <x:v>84</x:v>
      </x:c>
      <x:c r="O477" s="368" t="n">
        <x:f>N477/25</x:f>
        <x:v>3.36</x:v>
      </x:c>
      <x:c r="P477" s="366" t="str">
        <x:v>Pipeline bioinformático: Proteómica y metabolómica.</x:v>
      </x:c>
      <x:c r="Q477" s="366" t="str">
        <x:v>S12; S20; S39</x:v>
      </x:c>
      <x:c r="R477" s="366" t="str">
        <x:v>No iniciado</x:v>
      </x:c>
      <x:c r="S477" s="369" t="n">
        <x:v>0</x:v>
      </x:c>
      <x:c r="T477" s="370"/>
      <x:c r="U477" s="370"/>
      <x:c r="V477" s="366" t="str">
        <x:v>Une biología molecular, medicina, estadística, computación y gestión clínica de información.</x:v>
      </x:c>
      <x:c r="W477" s="366" t="str">
        <x:v>Alta: práctica vigente</x:v>
      </x:c>
      <x:c r="X477" s="366" t="str">
        <x:v>Presente 2026 y corto (2027–2029)</x:v>
      </x:c>
      <x:c r="Y477" s="366" t="str">
        <x:v>Actual</x:v>
      </x:c>
      <x:c r="Z477" s="366" t="str">
        <x:v>12 meses</x:v>
      </x:c>
      <x:c r="AA477" s="366" t="str">
        <x:v>Multi-ómica, modelos fundacionales biomédicos, biomarcadores digitales, federación e interfaces neurales.</x:v>
      </x:c>
    </x:row>
    <x:row r="478" ht="58" customHeight="1">
      <x:c r="A478" s="351" t="str">
        <x:v>BIO-009</x:v>
      </x:c>
      <x:c r="B478" s="351" t="n">
        <x:v>7</x:v>
      </x:c>
      <x:c r="C478" s="351" t="str">
        <x:v>Profundización</x:v>
      </x:c>
      <x:c r="D478" s="351" t="str">
        <x:v>Bioinformática y biología computacional</x:v>
      </x:c>
      <x:c r="E478" s="351" t="str">
        <x:v>Bioinformática y salud digital</x:v>
      </x:c>
      <x:c r="F478" s="351" t="str">
        <x:v>Algoritmos para secuencias biológicas</x:v>
      </x:c>
      <x:c r="G478" s="351" t="str">
        <x:v>Algoritmos para secuencias biológicas. Biología molecular, datos ómicos, algoritmos, reproducibilidad y ética.</x:v>
      </x:c>
      <x:c r="H478" s="351" t="str">
        <x:v>BIO-008</x:v>
      </x:c>
      <x:c r="I478" s="351" t="str">
        <x:v>Frontera/adyacente</x:v>
      </x:c>
      <x:c r="J478" s="351" t="n">
        <x:v>3</x:v>
      </x:c>
      <x:c r="K478" s="351" t="n">
        <x:v>28</x:v>
      </x:c>
      <x:c r="L478" s="351" t="n">
        <x:v>36</x:v>
      </x:c>
      <x:c r="M478" s="351" t="n">
        <x:v>20</x:v>
      </x:c>
      <x:c r="N478" s="352" t="n">
        <x:f>SUM(K478:M478)</x:f>
        <x:v>84</x:v>
      </x:c>
      <x:c r="O478" s="353" t="n">
        <x:f>N478/25</x:f>
        <x:v>3.36</x:v>
      </x:c>
      <x:c r="P478" s="351" t="str">
        <x:v>Pipeline bioinformático: Algoritmos para secuencias biológicas.</x:v>
      </x:c>
      <x:c r="Q478" s="351" t="str">
        <x:v>S12; S20; S39</x:v>
      </x:c>
      <x:c r="R478" s="351" t="str">
        <x:v>No iniciado</x:v>
      </x:c>
      <x:c r="S478" s="354" t="n">
        <x:v>0</x:v>
      </x:c>
      <x:c r="T478" s="355"/>
      <x:c r="U478" s="355"/>
      <x:c r="V478" s="351" t="str">
        <x:v>Une biología molecular, medicina, estadística, computación y gestión clínica de información.</x:v>
      </x:c>
      <x:c r="W478" s="351" t="str">
        <x:v>Alta: práctica vigente</x:v>
      </x:c>
      <x:c r="X478" s="351" t="str">
        <x:v>Presente 2026 y corto (2027–2029)</x:v>
      </x:c>
      <x:c r="Y478" s="351" t="str">
        <x:v>Actual</x:v>
      </x:c>
      <x:c r="Z478" s="351" t="str">
        <x:v>12 meses</x:v>
      </x:c>
      <x:c r="AA478" s="351" t="str">
        <x:v>Multi-ómica, modelos fundacionales biomédicos, biomarcadores digitales, federación e interfaces neurales.</x:v>
      </x:c>
    </x:row>
    <x:row r="479" ht="58" customHeight="1">
      <x:c r="A479" s="366" t="str">
        <x:v>BIO-010</x:v>
      </x:c>
      <x:c r="B479" s="366" t="n">
        <x:v>7</x:v>
      </x:c>
      <x:c r="C479" s="366" t="str">
        <x:v>Profundización</x:v>
      </x:c>
      <x:c r="D479" s="366" t="str">
        <x:v>Bioinformática y biología computacional</x:v>
      </x:c>
      <x:c r="E479" s="366" t="str">
        <x:v>Bioinformática y salud digital</x:v>
      </x:c>
      <x:c r="F479" s="366" t="str">
        <x:v>Biología de sistemas</x:v>
      </x:c>
      <x:c r="G479" s="366" t="str">
        <x:v>Biología de sistemas. Biología molecular, datos ómicos, algoritmos, reproducibilidad y ética.</x:v>
      </x:c>
      <x:c r="H479" s="366" t="str">
        <x:v>BIO-009</x:v>
      </x:c>
      <x:c r="I479" s="366" t="str">
        <x:v>Frontera/adyacente</x:v>
      </x:c>
      <x:c r="J479" s="366" t="n">
        <x:v>3</x:v>
      </x:c>
      <x:c r="K479" s="366" t="n">
        <x:v>28</x:v>
      </x:c>
      <x:c r="L479" s="366" t="n">
        <x:v>36</x:v>
      </x:c>
      <x:c r="M479" s="366" t="n">
        <x:v>20</x:v>
      </x:c>
      <x:c r="N479" s="367" t="n">
        <x:f>SUM(K479:M479)</x:f>
        <x:v>84</x:v>
      </x:c>
      <x:c r="O479" s="368" t="n">
        <x:f>N479/25</x:f>
        <x:v>3.36</x:v>
      </x:c>
      <x:c r="P479" s="366" t="str">
        <x:v>Pipeline bioinformático: Biología de sistemas.</x:v>
      </x:c>
      <x:c r="Q479" s="366" t="str">
        <x:v>S12; S20; S39</x:v>
      </x:c>
      <x:c r="R479" s="366" t="str">
        <x:v>No iniciado</x:v>
      </x:c>
      <x:c r="S479" s="369" t="n">
        <x:v>0</x:v>
      </x:c>
      <x:c r="T479" s="370"/>
      <x:c r="U479" s="370"/>
      <x:c r="V479" s="366" t="str">
        <x:v>Une biología molecular, medicina, estadística, computación y gestión clínica de información.</x:v>
      </x:c>
      <x:c r="W479" s="366" t="str">
        <x:v>Alta: práctica vigente</x:v>
      </x:c>
      <x:c r="X479" s="366" t="str">
        <x:v>Presente 2026 y corto (2027–2029)</x:v>
      </x:c>
      <x:c r="Y479" s="366" t="str">
        <x:v>Actual</x:v>
      </x:c>
      <x:c r="Z479" s="366" t="str">
        <x:v>12 meses</x:v>
      </x:c>
      <x:c r="AA479" s="366" t="str">
        <x:v>Multi-ómica, modelos fundacionales biomédicos, biomarcadores digitales, federación e interfaces neurales.</x:v>
      </x:c>
    </x:row>
    <x:row r="480" ht="58" customHeight="1">
      <x:c r="A480" s="351" t="str">
        <x:v>BIO-011</x:v>
      </x:c>
      <x:c r="B480" s="351" t="n">
        <x:v>7</x:v>
      </x:c>
      <x:c r="C480" s="351" t="str">
        <x:v>Profundización</x:v>
      </x:c>
      <x:c r="D480" s="351" t="str">
        <x:v>Bioinformática y biología computacional</x:v>
      </x:c>
      <x:c r="E480" s="351" t="str">
        <x:v>Bioinformática y salud digital</x:v>
      </x:c>
      <x:c r="F480" s="351" t="str">
        <x:v>Modelado computacional de sistemas biológicos</x:v>
      </x:c>
      <x:c r="G480" s="351" t="str">
        <x:v>Modelado computacional de sistemas biológicos. Biología molecular, datos ómicos, algoritmos, reproducibilidad y ética.</x:v>
      </x:c>
      <x:c r="H480" s="351" t="str">
        <x:v>BIO-010</x:v>
      </x:c>
      <x:c r="I480" s="351" t="str">
        <x:v>Frontera/adyacente</x:v>
      </x:c>
      <x:c r="J480" s="351" t="n">
        <x:v>3</x:v>
      </x:c>
      <x:c r="K480" s="351" t="n">
        <x:v>28</x:v>
      </x:c>
      <x:c r="L480" s="351" t="n">
        <x:v>36</x:v>
      </x:c>
      <x:c r="M480" s="351" t="n">
        <x:v>20</x:v>
      </x:c>
      <x:c r="N480" s="352" t="n">
        <x:f>SUM(K480:M480)</x:f>
        <x:v>84</x:v>
      </x:c>
      <x:c r="O480" s="353" t="n">
        <x:f>N480/25</x:f>
        <x:v>3.36</x:v>
      </x:c>
      <x:c r="P480" s="351" t="str">
        <x:v>Pipeline bioinformático: Modelado computacional de sistemas biológicos.</x:v>
      </x:c>
      <x:c r="Q480" s="351" t="str">
        <x:v>S12; S20; S39</x:v>
      </x:c>
      <x:c r="R480" s="351" t="str">
        <x:v>No iniciado</x:v>
      </x:c>
      <x:c r="S480" s="354" t="n">
        <x:v>0</x:v>
      </x:c>
      <x:c r="T480" s="355"/>
      <x:c r="U480" s="355"/>
      <x:c r="V480" s="351" t="str">
        <x:v>Une biología molecular, medicina, estadística, computación y gestión clínica de información.</x:v>
      </x:c>
      <x:c r="W480" s="351" t="str">
        <x:v>Alta: práctica vigente</x:v>
      </x:c>
      <x:c r="X480" s="351" t="str">
        <x:v>Presente 2026 y corto (2027–2029)</x:v>
      </x:c>
      <x:c r="Y480" s="351" t="str">
        <x:v>Actual</x:v>
      </x:c>
      <x:c r="Z480" s="351" t="str">
        <x:v>12 meses</x:v>
      </x:c>
      <x:c r="AA480" s="351" t="str">
        <x:v>Multi-ómica, modelos fundacionales biomédicos, biomarcadores digitales, federación e interfaces neurales.</x:v>
      </x:c>
    </x:row>
    <x:row r="481" ht="58" customHeight="1">
      <x:c r="A481" s="366" t="str">
        <x:v>BIO-012</x:v>
      </x:c>
      <x:c r="B481" s="366" t="n">
        <x:v>7</x:v>
      </x:c>
      <x:c r="C481" s="366" t="str">
        <x:v>Profundización</x:v>
      </x:c>
      <x:c r="D481" s="366" t="str">
        <x:v>Bioinformática y biología computacional</x:v>
      </x:c>
      <x:c r="E481" s="366" t="str">
        <x:v>Bioinformática y salud digital</x:v>
      </x:c>
      <x:c r="F481" s="366" t="str">
        <x:v>Machine Learning para biología</x:v>
      </x:c>
      <x:c r="G481" s="366" t="str">
        <x:v>Machine Learning para biología. Biología molecular, datos ómicos, algoritmos, reproducibilidad y ética.</x:v>
      </x:c>
      <x:c r="H481" s="366" t="str">
        <x:v>BIO-011</x:v>
      </x:c>
      <x:c r="I481" s="366" t="str">
        <x:v>Frontera/adyacente</x:v>
      </x:c>
      <x:c r="J481" s="366" t="n">
        <x:v>3</x:v>
      </x:c>
      <x:c r="K481" s="366" t="n">
        <x:v>28</x:v>
      </x:c>
      <x:c r="L481" s="366" t="n">
        <x:v>36</x:v>
      </x:c>
      <x:c r="M481" s="366" t="n">
        <x:v>20</x:v>
      </x:c>
      <x:c r="N481" s="367" t="n">
        <x:f>SUM(K481:M481)</x:f>
        <x:v>84</x:v>
      </x:c>
      <x:c r="O481" s="368" t="n">
        <x:f>N481/25</x:f>
        <x:v>3.36</x:v>
      </x:c>
      <x:c r="P481" s="366" t="str">
        <x:v>Pipeline bioinformático: Machine Learning para biología.</x:v>
      </x:c>
      <x:c r="Q481" s="366" t="str">
        <x:v>S12; S20; S39</x:v>
      </x:c>
      <x:c r="R481" s="366" t="str">
        <x:v>No iniciado</x:v>
      </x:c>
      <x:c r="S481" s="369" t="n">
        <x:v>0</x:v>
      </x:c>
      <x:c r="T481" s="370"/>
      <x:c r="U481" s="370"/>
      <x:c r="V481" s="366" t="str">
        <x:v>Une biología molecular, medicina, estadística, computación y gestión clínica de información.</x:v>
      </x:c>
      <x:c r="W481" s="366" t="str">
        <x:v>Alta: práctica vigente</x:v>
      </x:c>
      <x:c r="X481" s="366" t="str">
        <x:v>Presente 2026 y corto (2027–2029)</x:v>
      </x:c>
      <x:c r="Y481" s="366" t="str">
        <x:v>Actual</x:v>
      </x:c>
      <x:c r="Z481" s="366" t="str">
        <x:v>12 meses</x:v>
      </x:c>
      <x:c r="AA481" s="366" t="str">
        <x:v>Multi-ómica, modelos fundacionales biomédicos, biomarcadores digitales, federación e interfaces neurales.</x:v>
      </x:c>
    </x:row>
    <x:row r="482" ht="58" customHeight="1">
      <x:c r="A482" s="351" t="str">
        <x:v>BIO-021</x:v>
      </x:c>
      <x:c r="B482" s="351" t="n">
        <x:v>7</x:v>
      </x:c>
      <x:c r="C482" s="351" t="str">
        <x:v>Profundización</x:v>
      </x:c>
      <x:c r="D482" s="351" t="str">
        <x:v>Informática médica y salud digital</x:v>
      </x:c>
      <x:c r="E482" s="351" t="str">
        <x:v>Bioinformática y salud digital</x:v>
      </x:c>
      <x:c r="F482" s="351" t="str">
        <x:v>Analítica de salud</x:v>
      </x:c>
      <x:c r="G482" s="351" t="str">
        <x:v>Analítica de salud. Información clínica, interoperabilidad, decisión, seguridad, regulación y transformación sanitaria.</x:v>
      </x:c>
      <x:c r="H482" s="351" t="str">
        <x:v>BIO-020</x:v>
      </x:c>
      <x:c r="I482" s="351" t="str">
        <x:v>Frontera/adyacente</x:v>
      </x:c>
      <x:c r="J482" s="351" t="n">
        <x:v>3</x:v>
      </x:c>
      <x:c r="K482" s="351" t="n">
        <x:v>28</x:v>
      </x:c>
      <x:c r="L482" s="351" t="n">
        <x:v>36</x:v>
      </x:c>
      <x:c r="M482" s="351" t="n">
        <x:v>20</x:v>
      </x:c>
      <x:c r="N482" s="352" t="n">
        <x:f>SUM(K482:M482)</x:f>
        <x:v>84</x:v>
      </x:c>
      <x:c r="O482" s="353" t="n">
        <x:f>N482/25</x:f>
        <x:v>3.36</x:v>
      </x:c>
      <x:c r="P482" s="351" t="str">
        <x:v>Caso de salud digital: Analítica de salud.</x:v>
      </x:c>
      <x:c r="Q482" s="351" t="str">
        <x:v>S40</x:v>
      </x:c>
      <x:c r="R482" s="351" t="str">
        <x:v>No iniciado</x:v>
      </x:c>
      <x:c r="S482" s="354" t="n">
        <x:v>0</x:v>
      </x:c>
      <x:c r="T482" s="355"/>
      <x:c r="U482" s="355"/>
      <x:c r="V482" s="351" t="str">
        <x:v>Une biología molecular, medicina, estadística, computación y gestión clínica de información.</x:v>
      </x:c>
      <x:c r="W482" s="351" t="str">
        <x:v>Alta: práctica vigente</x:v>
      </x:c>
      <x:c r="X482" s="351" t="str">
        <x:v>Presente 2026 y corto (2027–2029)</x:v>
      </x:c>
      <x:c r="Y482" s="351" t="str">
        <x:v>Actual</x:v>
      </x:c>
      <x:c r="Z482" s="351" t="str">
        <x:v>12 meses</x:v>
      </x:c>
      <x:c r="AA482" s="351" t="str">
        <x:v>Multi-ómica, modelos fundacionales biomédicos, biomarcadores digitales, federación e interfaces neurales.</x:v>
      </x:c>
    </x:row>
    <x:row r="483" ht="58" customHeight="1">
      <x:c r="A483" s="366" t="str">
        <x:v>BIO-022</x:v>
      </x:c>
      <x:c r="B483" s="366" t="n">
        <x:v>7</x:v>
      </x:c>
      <x:c r="C483" s="366" t="str">
        <x:v>Profundización</x:v>
      </x:c>
      <x:c r="D483" s="366" t="str">
        <x:v>Informática médica y salud digital</x:v>
      </x:c>
      <x:c r="E483" s="366" t="str">
        <x:v>Bioinformática y salud digital</x:v>
      </x:c>
      <x:c r="F483" s="366" t="str">
        <x:v>Sistemas de apoyo a la decisión clínica</x:v>
      </x:c>
      <x:c r="G483" s="366" t="str">
        <x:v>Sistemas de apoyo a la decisión clínica. Información clínica, interoperabilidad, decisión, seguridad, regulación y transformación sanitaria.</x:v>
      </x:c>
      <x:c r="H483" s="366" t="str">
        <x:v>BIO-021</x:v>
      </x:c>
      <x:c r="I483" s="366" t="str">
        <x:v>Frontera/adyacente</x:v>
      </x:c>
      <x:c r="J483" s="366" t="n">
        <x:v>3</x:v>
      </x:c>
      <x:c r="K483" s="366" t="n">
        <x:v>28</x:v>
      </x:c>
      <x:c r="L483" s="366" t="n">
        <x:v>36</x:v>
      </x:c>
      <x:c r="M483" s="366" t="n">
        <x:v>20</x:v>
      </x:c>
      <x:c r="N483" s="367" t="n">
        <x:f>SUM(K483:M483)</x:f>
        <x:v>84</x:v>
      </x:c>
      <x:c r="O483" s="368" t="n">
        <x:f>N483/25</x:f>
        <x:v>3.36</x:v>
      </x:c>
      <x:c r="P483" s="366" t="str">
        <x:v>Caso de salud digital: Sistemas de apoyo a la decisión clínica.</x:v>
      </x:c>
      <x:c r="Q483" s="366" t="str">
        <x:v>S40</x:v>
      </x:c>
      <x:c r="R483" s="366" t="str">
        <x:v>No iniciado</x:v>
      </x:c>
      <x:c r="S483" s="369" t="n">
        <x:v>0</x:v>
      </x:c>
      <x:c r="T483" s="370"/>
      <x:c r="U483" s="370"/>
      <x:c r="V483" s="366" t="str">
        <x:v>Une biología molecular, medicina, estadística, computación y gestión clínica de información.</x:v>
      </x:c>
      <x:c r="W483" s="366" t="str">
        <x:v>Alta: práctica vigente</x:v>
      </x:c>
      <x:c r="X483" s="366" t="str">
        <x:v>Presente 2026 y corto (2027–2029)</x:v>
      </x:c>
      <x:c r="Y483" s="366" t="str">
        <x:v>Actual</x:v>
      </x:c>
      <x:c r="Z483" s="366" t="str">
        <x:v>12 meses</x:v>
      </x:c>
      <x:c r="AA483" s="366" t="str">
        <x:v>Multi-ómica, modelos fundacionales biomédicos, biomarcadores digitales, federación e interfaces neurales.</x:v>
      </x:c>
    </x:row>
    <x:row r="484" ht="58" customHeight="1">
      <x:c r="A484" s="351" t="str">
        <x:v>BIO-023</x:v>
      </x:c>
      <x:c r="B484" s="351" t="n">
        <x:v>7</x:v>
      </x:c>
      <x:c r="C484" s="351" t="str">
        <x:v>Profundización</x:v>
      </x:c>
      <x:c r="D484" s="351" t="str">
        <x:v>Informática médica y salud digital</x:v>
      </x:c>
      <x:c r="E484" s="351" t="str">
        <x:v>Bioinformática y salud digital</x:v>
      </x:c>
      <x:c r="F484" s="351" t="str">
        <x:v>Telemedicina y salud móvil</x:v>
      </x:c>
      <x:c r="G484" s="351" t="str">
        <x:v>Telemedicina y salud móvil. Información clínica, interoperabilidad, decisión, seguridad, regulación y transformación sanitaria.</x:v>
      </x:c>
      <x:c r="H484" s="351" t="str">
        <x:v>BIO-022</x:v>
      </x:c>
      <x:c r="I484" s="351" t="str">
        <x:v>Frontera/adyacente</x:v>
      </x:c>
      <x:c r="J484" s="351" t="n">
        <x:v>3</x:v>
      </x:c>
      <x:c r="K484" s="351" t="n">
        <x:v>28</x:v>
      </x:c>
      <x:c r="L484" s="351" t="n">
        <x:v>36</x:v>
      </x:c>
      <x:c r="M484" s="351" t="n">
        <x:v>20</x:v>
      </x:c>
      <x:c r="N484" s="352" t="n">
        <x:f>SUM(K484:M484)</x:f>
        <x:v>84</x:v>
      </x:c>
      <x:c r="O484" s="353" t="n">
        <x:f>N484/25</x:f>
        <x:v>3.36</x:v>
      </x:c>
      <x:c r="P484" s="351" t="str">
        <x:v>Caso de salud digital: Telemedicina y salud móvil.</x:v>
      </x:c>
      <x:c r="Q484" s="351" t="str">
        <x:v>S40</x:v>
      </x:c>
      <x:c r="R484" s="351" t="str">
        <x:v>No iniciado</x:v>
      </x:c>
      <x:c r="S484" s="354" t="n">
        <x:v>0</x:v>
      </x:c>
      <x:c r="T484" s="355"/>
      <x:c r="U484" s="355"/>
      <x:c r="V484" s="351" t="str">
        <x:v>Une biología molecular, medicina, estadística, computación y gestión clínica de información.</x:v>
      </x:c>
      <x:c r="W484" s="351" t="str">
        <x:v>Alta: práctica vigente</x:v>
      </x:c>
      <x:c r="X484" s="351" t="str">
        <x:v>Presente 2026 y corto (2027–2029)</x:v>
      </x:c>
      <x:c r="Y484" s="351" t="str">
        <x:v>Actual</x:v>
      </x:c>
      <x:c r="Z484" s="351" t="str">
        <x:v>12 meses</x:v>
      </x:c>
      <x:c r="AA484" s="351" t="str">
        <x:v>Multi-ómica, modelos fundacionales biomédicos, biomarcadores digitales, federación e interfaces neurales.</x:v>
      </x:c>
    </x:row>
    <x:row r="485" ht="58" customHeight="1">
      <x:c r="A485" s="366" t="str">
        <x:v>BIO-024</x:v>
      </x:c>
      <x:c r="B485" s="366" t="n">
        <x:v>7</x:v>
      </x:c>
      <x:c r="C485" s="366" t="str">
        <x:v>Profundización</x:v>
      </x:c>
      <x:c r="D485" s="366" t="str">
        <x:v>Informática médica y salud digital</x:v>
      </x:c>
      <x:c r="E485" s="366" t="str">
        <x:v>Bioinformática y salud digital</x:v>
      </x:c>
      <x:c r="F485" s="366" t="str">
        <x:v>IoT médico y dispositivos conectados</x:v>
      </x:c>
      <x:c r="G485" s="366" t="str">
        <x:v>IoT médico y dispositivos conectados. Información clínica, interoperabilidad, decisión, seguridad, regulación y transformación sanitaria.</x:v>
      </x:c>
      <x:c r="H485" s="366" t="str">
        <x:v>BIO-023</x:v>
      </x:c>
      <x:c r="I485" s="366" t="str">
        <x:v>Frontera/adyacente</x:v>
      </x:c>
      <x:c r="J485" s="366" t="n">
        <x:v>3</x:v>
      </x:c>
      <x:c r="K485" s="366" t="n">
        <x:v>28</x:v>
      </x:c>
      <x:c r="L485" s="366" t="n">
        <x:v>36</x:v>
      </x:c>
      <x:c r="M485" s="366" t="n">
        <x:v>20</x:v>
      </x:c>
      <x:c r="N485" s="367" t="n">
        <x:f>SUM(K485:M485)</x:f>
        <x:v>84</x:v>
      </x:c>
      <x:c r="O485" s="368" t="n">
        <x:f>N485/25</x:f>
        <x:v>3.36</x:v>
      </x:c>
      <x:c r="P485" s="366" t="str">
        <x:v>Caso de salud digital: IoT médico y dispositivos conectados.</x:v>
      </x:c>
      <x:c r="Q485" s="366" t="str">
        <x:v>S40</x:v>
      </x:c>
      <x:c r="R485" s="366" t="str">
        <x:v>No iniciado</x:v>
      </x:c>
      <x:c r="S485" s="369" t="n">
        <x:v>0</x:v>
      </x:c>
      <x:c r="T485" s="370"/>
      <x:c r="U485" s="370"/>
      <x:c r="V485" s="366" t="str">
        <x:v>Une biología molecular, medicina, estadística, computación y gestión clínica de información.</x:v>
      </x:c>
      <x:c r="W485" s="366" t="str">
        <x:v>Alta: práctica vigente</x:v>
      </x:c>
      <x:c r="X485" s="366" t="str">
        <x:v>Presente 2026 y corto (2027–2029)</x:v>
      </x:c>
      <x:c r="Y485" s="366" t="str">
        <x:v>Actual</x:v>
      </x:c>
      <x:c r="Z485" s="366" t="str">
        <x:v>12 meses</x:v>
      </x:c>
      <x:c r="AA485" s="366" t="str">
        <x:v>Multi-ómica, modelos fundacionales biomédicos, biomarcadores digitales, federación e interfaces neurales.</x:v>
      </x:c>
    </x:row>
    <x:row r="486" ht="58" customHeight="1">
      <x:c r="A486" s="351" t="str">
        <x:v>BIO-025</x:v>
      </x:c>
      <x:c r="B486" s="351" t="n">
        <x:v>7</x:v>
      </x:c>
      <x:c r="C486" s="351" t="str">
        <x:v>Profundización</x:v>
      </x:c>
      <x:c r="D486" s="351" t="str">
        <x:v>Informática médica y salud digital</x:v>
      </x:c>
      <x:c r="E486" s="351" t="str">
        <x:v>Bioinformática y salud digital</x:v>
      </x:c>
      <x:c r="F486" s="351" t="str">
        <x:v>Privacidad, seguridad y ética en salud</x:v>
      </x:c>
      <x:c r="G486" s="351" t="str">
        <x:v>Privacidad, seguridad y ética en salud. Información clínica, interoperabilidad, decisión, seguridad, regulación y transformación sanitaria.</x:v>
      </x:c>
      <x:c r="H486" s="351" t="str">
        <x:v>BIO-024</x:v>
      </x:c>
      <x:c r="I486" s="351" t="str">
        <x:v>Frontera/adyacente</x:v>
      </x:c>
      <x:c r="J486" s="351" t="n">
        <x:v>3</x:v>
      </x:c>
      <x:c r="K486" s="351" t="n">
        <x:v>28</x:v>
      </x:c>
      <x:c r="L486" s="351" t="n">
        <x:v>36</x:v>
      </x:c>
      <x:c r="M486" s="351" t="n">
        <x:v>20</x:v>
      </x:c>
      <x:c r="N486" s="352" t="n">
        <x:f>SUM(K486:M486)</x:f>
        <x:v>84</x:v>
      </x:c>
      <x:c r="O486" s="353" t="n">
        <x:f>N486/25</x:f>
        <x:v>3.36</x:v>
      </x:c>
      <x:c r="P486" s="351" t="str">
        <x:v>Caso de salud digital: Privacidad, seguridad y ética en salud.</x:v>
      </x:c>
      <x:c r="Q486" s="351" t="str">
        <x:v>S40</x:v>
      </x:c>
      <x:c r="R486" s="351" t="str">
        <x:v>No iniciado</x:v>
      </x:c>
      <x:c r="S486" s="354" t="n">
        <x:v>0</x:v>
      </x:c>
      <x:c r="T486" s="355"/>
      <x:c r="U486" s="355"/>
      <x:c r="V486" s="351" t="str">
        <x:v>Une biología molecular, medicina, estadística, computación y gestión clínica de información.</x:v>
      </x:c>
      <x:c r="W486" s="351" t="str">
        <x:v>Alta: práctica vigente</x:v>
      </x:c>
      <x:c r="X486" s="351" t="str">
        <x:v>Presente 2026 y corto (2027–2029)</x:v>
      </x:c>
      <x:c r="Y486" s="351" t="str">
        <x:v>Actual</x:v>
      </x:c>
      <x:c r="Z486" s="351" t="str">
        <x:v>12 meses</x:v>
      </x:c>
      <x:c r="AA486" s="351" t="str">
        <x:v>Multi-ómica, modelos fundacionales biomédicos, biomarcadores digitales, federación e interfaces neurales.</x:v>
      </x:c>
    </x:row>
    <x:row r="487" ht="58" customHeight="1">
      <x:c r="A487" s="366" t="str">
        <x:v>BIO-026</x:v>
      </x:c>
      <x:c r="B487" s="366" t="n">
        <x:v>7</x:v>
      </x:c>
      <x:c r="C487" s="366" t="str">
        <x:v>Profundización</x:v>
      </x:c>
      <x:c r="D487" s="366" t="str">
        <x:v>Informática médica y salud digital</x:v>
      </x:c>
      <x:c r="E487" s="366" t="str">
        <x:v>Bioinformática y salud digital</x:v>
      </x:c>
      <x:c r="F487" s="366" t="str">
        <x:v>IA clínica y evaluación</x:v>
      </x:c>
      <x:c r="G487" s="366" t="str">
        <x:v>IA clínica y evaluación. Información clínica, interoperabilidad, decisión, seguridad, regulación y transformación sanitaria.</x:v>
      </x:c>
      <x:c r="H487" s="366" t="str">
        <x:v>BIO-025</x:v>
      </x:c>
      <x:c r="I487" s="366" t="str">
        <x:v>Frontera/adyacente</x:v>
      </x:c>
      <x:c r="J487" s="366" t="n">
        <x:v>3</x:v>
      </x:c>
      <x:c r="K487" s="366" t="n">
        <x:v>28</x:v>
      </x:c>
      <x:c r="L487" s="366" t="n">
        <x:v>36</x:v>
      </x:c>
      <x:c r="M487" s="366" t="n">
        <x:v>20</x:v>
      </x:c>
      <x:c r="N487" s="367" t="n">
        <x:f>SUM(K487:M487)</x:f>
        <x:v>84</x:v>
      </x:c>
      <x:c r="O487" s="368" t="n">
        <x:f>N487/25</x:f>
        <x:v>3.36</x:v>
      </x:c>
      <x:c r="P487" s="366" t="str">
        <x:v>Caso de salud digital: IA clínica y evaluación.</x:v>
      </x:c>
      <x:c r="Q487" s="366" t="str">
        <x:v>S40</x:v>
      </x:c>
      <x:c r="R487" s="366" t="str">
        <x:v>No iniciado</x:v>
      </x:c>
      <x:c r="S487" s="369" t="n">
        <x:v>0</x:v>
      </x:c>
      <x:c r="T487" s="370"/>
      <x:c r="U487" s="370"/>
      <x:c r="V487" s="366" t="str">
        <x:v>Une biología molecular, medicina, estadística, computación y gestión clínica de información.</x:v>
      </x:c>
      <x:c r="W487" s="366" t="str">
        <x:v>Alta: práctica vigente</x:v>
      </x:c>
      <x:c r="X487" s="366" t="str">
        <x:v>Presente 2026 y corto (2027–2029)</x:v>
      </x:c>
      <x:c r="Y487" s="366" t="str">
        <x:v>Actual</x:v>
      </x:c>
      <x:c r="Z487" s="366" t="str">
        <x:v>12 meses</x:v>
      </x:c>
      <x:c r="AA487" s="366" t="str">
        <x:v>Multi-ómica, modelos fundacionales biomédicos, biomarcadores digitales, federación e interfaces neurales.</x:v>
      </x:c>
    </x:row>
    <x:row r="488" ht="58" customHeight="1">
      <x:c r="A488" s="351" t="str">
        <x:v>CYB-029</x:v>
      </x:c>
      <x:c r="B488" s="351" t="n">
        <x:v>7</x:v>
      </x:c>
      <x:c r="C488" s="351" t="str">
        <x:v>Profundización</x:v>
      </x:c>
      <x:c r="D488" s="351" t="str">
        <x:v>Seguridad defensiva y gobierno</x:v>
      </x:c>
      <x:c r="E488" s="351" t="str">
        <x:v>Ciberseguridad, forense y auditoría</x:v>
      </x:c>
      <x:c r="F488" s="351" t="str">
        <x:v>Riesgo de terceros y cadena de suministro</x:v>
      </x:c>
      <x:c r="G488" s="351" t="str">
        <x:v>Riesgo de terceros y cadena de suministro. Diseño de controles, laboratorios aislados, gestión de riesgo y evidencia auditable.</x:v>
      </x:c>
      <x:c r="H488" s="351" t="str">
        <x:v>CYB-028</x:v>
      </x:c>
      <x:c r="I488" s="351" t="str">
        <x:v>Dominio profesional</x:v>
      </x:c>
      <x:c r="J488" s="351" t="n">
        <x:v>2</x:v>
      </x:c>
      <x:c r="K488" s="351" t="n">
        <x:v>28</x:v>
      </x:c>
      <x:c r="L488" s="351" t="n">
        <x:v>36</x:v>
      </x:c>
      <x:c r="M488" s="351" t="n">
        <x:v>20</x:v>
      </x:c>
      <x:c r="N488" s="352" t="n">
        <x:f>SUM(K488:M488)</x:f>
        <x:v>84</x:v>
      </x:c>
      <x:c r="O488" s="353" t="n">
        <x:f>N488/25</x:f>
        <x:v>3.36</x:v>
      </x:c>
      <x:c r="P488" s="351" t="str">
        <x:v>Evaluación defensiva: Riesgo de terceros y cadena de suministro.</x:v>
      </x:c>
      <x:c r="Q488" s="351" t="str">
        <x:v>S03; S05; S08; S33; S34; S36</x:v>
      </x:c>
      <x:c r="R488" s="351" t="str">
        <x:v>No iniciado</x:v>
      </x:c>
      <x:c r="S488" s="354" t="n">
        <x:v>0</x:v>
      </x:c>
      <x:c r="T488" s="355"/>
      <x:c r="U488" s="355"/>
      <x:c r="V488" s="351" t="str">
        <x:v>Evoluciona con sistemas multiusuario, criptografía, delitos digitales, regulación y gestión del riesgo.</x:v>
      </x:c>
      <x:c r="W488" s="351" t="str">
        <x:v>Alta: práctica vigente</x:v>
      </x:c>
      <x:c r="X488" s="351" t="str">
        <x:v>Presente 2026 y corto (2027–2029)</x:v>
      </x:c>
      <x:c r="Y488" s="351" t="str">
        <x:v>Actual</x:v>
      </x:c>
      <x:c r="Z488" s="351" t="str">
        <x:v>12 meses</x:v>
      </x:c>
      <x:c r="AA488" s="351" t="str">
        <x:v>Migración poscuántica, seguridad de IA, explotación activa, identidad, privacidad y resiliencia de proveedores.</x:v>
      </x:c>
    </x:row>
    <x:row r="489" ht="58" customHeight="1">
      <x:c r="A489" s="366" t="str">
        <x:v>CYB-030</x:v>
      </x:c>
      <x:c r="B489" s="366" t="n">
        <x:v>7</x:v>
      </x:c>
      <x:c r="C489" s="366" t="str">
        <x:v>Profundización</x:v>
      </x:c>
      <x:c r="D489" s="366" t="str">
        <x:v>Seguridad defensiva y gobierno</x:v>
      </x:c>
      <x:c r="E489" s="366" t="str">
        <x:v>Ciberseguridad, forense y auditoría</x:v>
      </x:c>
      <x:c r="F489" s="366" t="str">
        <x:v>Liderazgo y estrategia de ciberseguridad</x:v>
      </x:c>
      <x:c r="G489" s="366" t="str">
        <x:v>Liderazgo y estrategia de ciberseguridad. Diseño de controles, laboratorios aislados, gestión de riesgo y evidencia auditable.</x:v>
      </x:c>
      <x:c r="H489" s="366" t="str">
        <x:v>CYB-029</x:v>
      </x:c>
      <x:c r="I489" s="366" t="str">
        <x:v>Dominio profesional</x:v>
      </x:c>
      <x:c r="J489" s="366" t="n">
        <x:v>2</x:v>
      </x:c>
      <x:c r="K489" s="366" t="n">
        <x:v>28</x:v>
      </x:c>
      <x:c r="L489" s="366" t="n">
        <x:v>36</x:v>
      </x:c>
      <x:c r="M489" s="366" t="n">
        <x:v>20</x:v>
      </x:c>
      <x:c r="N489" s="367" t="n">
        <x:f>SUM(K489:M489)</x:f>
        <x:v>84</x:v>
      </x:c>
      <x:c r="O489" s="368" t="n">
        <x:f>N489/25</x:f>
        <x:v>3.36</x:v>
      </x:c>
      <x:c r="P489" s="366" t="str">
        <x:v>Evaluación defensiva: Liderazgo y estrategia de ciberseguridad.</x:v>
      </x:c>
      <x:c r="Q489" s="366" t="str">
        <x:v>S03; S05; S08; S33; S34; S36</x:v>
      </x:c>
      <x:c r="R489" s="366" t="str">
        <x:v>No iniciado</x:v>
      </x:c>
      <x:c r="S489" s="369" t="n">
        <x:v>0</x:v>
      </x:c>
      <x:c r="T489" s="370"/>
      <x:c r="U489" s="370"/>
      <x:c r="V489" s="366" t="str">
        <x:v>Evoluciona con sistemas multiusuario, criptografía, delitos digitales, regulación y gestión del riesgo.</x:v>
      </x:c>
      <x:c r="W489" s="366" t="str">
        <x:v>Alta: práctica vigente</x:v>
      </x:c>
      <x:c r="X489" s="366" t="str">
        <x:v>Presente 2026 y corto (2027–2029)</x:v>
      </x:c>
      <x:c r="Y489" s="366" t="str">
        <x:v>Actual</x:v>
      </x:c>
      <x:c r="Z489" s="366" t="str">
        <x:v>12 meses</x:v>
      </x:c>
      <x:c r="AA489" s="366" t="str">
        <x:v>Migración poscuántica, seguridad de IA, explotación activa, identidad, privacidad y resiliencia de proveedores.</x:v>
      </x:c>
    </x:row>
    <x:row r="490" ht="58" customHeight="1">
      <x:c r="A490" s="351" t="str">
        <x:v>CYB-041</x:v>
      </x:c>
      <x:c r="B490" s="351" t="n">
        <x:v>7</x:v>
      </x:c>
      <x:c r="C490" s="351" t="str">
        <x:v>Profundización</x:v>
      </x:c>
      <x:c r="D490" s="351" t="str">
        <x:v>Seguridad ofensiva ética</x:v>
      </x:c>
      <x:c r="E490" s="351" t="str">
        <x:v>Ciberseguridad, forense y auditoría</x:v>
      </x:c>
      <x:c r="F490" s="351" t="str">
        <x:v>Purple Team y validación defensiva</x:v>
      </x:c>
      <x:c r="G490" s="351" t="str">
        <x:v>Purple Team y validación defensiva. Exclusivamente en laboratorios propios o con autorización expresa; reporte, remediación y ética obligatorios.</x:v>
      </x:c>
      <x:c r="H490" s="351" t="str">
        <x:v>CYB-040</x:v>
      </x:c>
      <x:c r="I490" s="351" t="str">
        <x:v>Dominio profesional</x:v>
      </x:c>
      <x:c r="J490" s="351" t="n">
        <x:v>2</x:v>
      </x:c>
      <x:c r="K490" s="351" t="n">
        <x:v>20</x:v>
      </x:c>
      <x:c r="L490" s="351" t="n">
        <x:v>52</x:v>
      </x:c>
      <x:c r="M490" s="351" t="n">
        <x:v>20</x:v>
      </x:c>
      <x:c r="N490" s="352" t="n">
        <x:f>SUM(K490:M490)</x:f>
        <x:v>92</x:v>
      </x:c>
      <x:c r="O490" s="353" t="n">
        <x:f>N490/25</x:f>
        <x:v>3.68</x:v>
      </x:c>
      <x:c r="P490" s="351" t="str">
        <x:v>Informe de pentest autorizado: Purple Team y validación defensiva.</x:v>
      </x:c>
      <x:c r="Q490" s="351" t="str">
        <x:v>S08; S32; S33</x:v>
      </x:c>
      <x:c r="R490" s="351" t="str">
        <x:v>No iniciado</x:v>
      </x:c>
      <x:c r="S490" s="354" t="n">
        <x:v>0</x:v>
      </x:c>
      <x:c r="T490" s="355"/>
      <x:c r="U490" s="355"/>
      <x:c r="V490" s="351" t="str">
        <x:v>Evoluciona con sistemas multiusuario, criptografía, delitos digitales, regulación y gestión del riesgo.</x:v>
      </x:c>
      <x:c r="W490" s="351" t="str">
        <x:v>Alta: práctica vigente</x:v>
      </x:c>
      <x:c r="X490" s="351" t="str">
        <x:v>Presente 2026 y corto (2027–2029)</x:v>
      </x:c>
      <x:c r="Y490" s="351" t="str">
        <x:v>Actual</x:v>
      </x:c>
      <x:c r="Z490" s="351" t="str">
        <x:v>12 meses</x:v>
      </x:c>
      <x:c r="AA490" s="351" t="str">
        <x:v>Migración poscuántica, seguridad de IA, explotación activa, identidad, privacidad y resiliencia de proveedores.</x:v>
      </x:c>
    </x:row>
    <x:row r="491" ht="58" customHeight="1">
      <x:c r="A491" s="366" t="str">
        <x:v>CYB-042</x:v>
      </x:c>
      <x:c r="B491" s="366" t="n">
        <x:v>7</x:v>
      </x:c>
      <x:c r="C491" s="366" t="str">
        <x:v>Profundización</x:v>
      </x:c>
      <x:c r="D491" s="366" t="str">
        <x:v>Seguridad ofensiva ética</x:v>
      </x:c>
      <x:c r="E491" s="366" t="str">
        <x:v>Ciberseguridad, forense y auditoría</x:v>
      </x:c>
      <x:c r="F491" s="366" t="str">
        <x:v>Seguridad ofensiva en Active Directory</x:v>
      </x:c>
      <x:c r="G491" s="366" t="str">
        <x:v>Seguridad ofensiva en Active Directory. Exclusivamente en laboratorios propios o con autorización expresa; reporte, remediación y ética obligatorios.</x:v>
      </x:c>
      <x:c r="H491" s="366" t="str">
        <x:v>CYB-041</x:v>
      </x:c>
      <x:c r="I491" s="366" t="str">
        <x:v>Dominio profesional</x:v>
      </x:c>
      <x:c r="J491" s="366" t="n">
        <x:v>2</x:v>
      </x:c>
      <x:c r="K491" s="366" t="n">
        <x:v>20</x:v>
      </x:c>
      <x:c r="L491" s="366" t="n">
        <x:v>52</x:v>
      </x:c>
      <x:c r="M491" s="366" t="n">
        <x:v>20</x:v>
      </x:c>
      <x:c r="N491" s="367" t="n">
        <x:f>SUM(K491:M491)</x:f>
        <x:v>92</x:v>
      </x:c>
      <x:c r="O491" s="368" t="n">
        <x:f>N491/25</x:f>
        <x:v>3.68</x:v>
      </x:c>
      <x:c r="P491" s="366" t="str">
        <x:v>Informe de pentest autorizado: Seguridad ofensiva en Active Directory.</x:v>
      </x:c>
      <x:c r="Q491" s="366" t="str">
        <x:v>S08; S32; S33</x:v>
      </x:c>
      <x:c r="R491" s="366" t="str">
        <x:v>No iniciado</x:v>
      </x:c>
      <x:c r="S491" s="369" t="n">
        <x:v>0</x:v>
      </x:c>
      <x:c r="T491" s="370"/>
      <x:c r="U491" s="370"/>
      <x:c r="V491" s="366" t="str">
        <x:v>Evoluciona con sistemas multiusuario, criptografía, delitos digitales, regulación y gestión del riesgo.</x:v>
      </x:c>
      <x:c r="W491" s="366" t="str">
        <x:v>Alta: práctica vigente</x:v>
      </x:c>
      <x:c r="X491" s="366" t="str">
        <x:v>Presente 2026 y corto (2027–2029)</x:v>
      </x:c>
      <x:c r="Y491" s="366" t="str">
        <x:v>Actual</x:v>
      </x:c>
      <x:c r="Z491" s="366" t="str">
        <x:v>12 meses</x:v>
      </x:c>
      <x:c r="AA491" s="366" t="str">
        <x:v>Migración poscuántica, seguridad de IA, explotación activa, identidad, privacidad y resiliencia de proveedores.</x:v>
      </x:c>
    </x:row>
    <x:row r="492" ht="58" customHeight="1">
      <x:c r="A492" s="351" t="str">
        <x:v>CYB-043</x:v>
      </x:c>
      <x:c r="B492" s="351" t="n">
        <x:v>7</x:v>
      </x:c>
      <x:c r="C492" s="351" t="str">
        <x:v>Profundización</x:v>
      </x:c>
      <x:c r="D492" s="351" t="str">
        <x:v>Seguridad ofensiva ética</x:v>
      </x:c>
      <x:c r="E492" s="351" t="str">
        <x:v>Ciberseguridad, forense y auditoría</x:v>
      </x:c>
      <x:c r="F492" s="351" t="str">
        <x:v>Pruebas de penetración cloud</x:v>
      </x:c>
      <x:c r="G492" s="351" t="str">
        <x:v>Pruebas de penetración cloud. Exclusivamente en laboratorios propios o con autorización expresa; reporte, remediación y ética obligatorios.</x:v>
      </x:c>
      <x:c r="H492" s="351" t="str">
        <x:v>CYB-042</x:v>
      </x:c>
      <x:c r="I492" s="351" t="str">
        <x:v>Dominio profesional</x:v>
      </x:c>
      <x:c r="J492" s="351" t="n">
        <x:v>2</x:v>
      </x:c>
      <x:c r="K492" s="351" t="n">
        <x:v>20</x:v>
      </x:c>
      <x:c r="L492" s="351" t="n">
        <x:v>52</x:v>
      </x:c>
      <x:c r="M492" s="351" t="n">
        <x:v>20</x:v>
      </x:c>
      <x:c r="N492" s="352" t="n">
        <x:f>SUM(K492:M492)</x:f>
        <x:v>92</x:v>
      </x:c>
      <x:c r="O492" s="353" t="n">
        <x:f>N492/25</x:f>
        <x:v>3.68</x:v>
      </x:c>
      <x:c r="P492" s="351" t="str">
        <x:v>Informe de pentest autorizado: Pruebas de penetración cloud.</x:v>
      </x:c>
      <x:c r="Q492" s="351" t="str">
        <x:v>S08; S32; S33</x:v>
      </x:c>
      <x:c r="R492" s="351" t="str">
        <x:v>No iniciado</x:v>
      </x:c>
      <x:c r="S492" s="354" t="n">
        <x:v>0</x:v>
      </x:c>
      <x:c r="T492" s="355"/>
      <x:c r="U492" s="355"/>
      <x:c r="V492" s="351" t="str">
        <x:v>Evoluciona con sistemas multiusuario, criptografía, delitos digitales, regulación y gestión del riesgo.</x:v>
      </x:c>
      <x:c r="W492" s="351" t="str">
        <x:v>Alta: práctica vigente</x:v>
      </x:c>
      <x:c r="X492" s="351" t="str">
        <x:v>Presente 2026 y corto (2027–2029)</x:v>
      </x:c>
      <x:c r="Y492" s="351" t="str">
        <x:v>Actual</x:v>
      </x:c>
      <x:c r="Z492" s="351" t="str">
        <x:v>12 meses</x:v>
      </x:c>
      <x:c r="AA492" s="351" t="str">
        <x:v>Migración poscuántica, seguridad de IA, explotación activa, identidad, privacidad y resiliencia de proveedores.</x:v>
      </x:c>
    </x:row>
    <x:row r="493" ht="58" customHeight="1">
      <x:c r="A493" s="366" t="str">
        <x:v>CYB-044</x:v>
      </x:c>
      <x:c r="B493" s="366" t="n">
        <x:v>7</x:v>
      </x:c>
      <x:c r="C493" s="366" t="str">
        <x:v>Profundización</x:v>
      </x:c>
      <x:c r="D493" s="366" t="str">
        <x:v>Seguridad ofensiva ética</x:v>
      </x:c>
      <x:c r="E493" s="366" t="str">
        <x:v>Ciberseguridad, forense y auditoría</x:v>
      </x:c>
      <x:c r="F493" s="366" t="str">
        <x:v>Seguridad de hardware y side channels</x:v>
      </x:c>
      <x:c r="G493" s="366" t="str">
        <x:v>Seguridad de hardware y side channels. Exclusivamente en laboratorios propios o con autorización expresa; reporte, remediación y ética obligatorios.</x:v>
      </x:c>
      <x:c r="H493" s="366" t="str">
        <x:v>CYB-043</x:v>
      </x:c>
      <x:c r="I493" s="366" t="str">
        <x:v>Dominio profesional</x:v>
      </x:c>
      <x:c r="J493" s="366" t="n">
        <x:v>2</x:v>
      </x:c>
      <x:c r="K493" s="366" t="n">
        <x:v>20</x:v>
      </x:c>
      <x:c r="L493" s="366" t="n">
        <x:v>52</x:v>
      </x:c>
      <x:c r="M493" s="366" t="n">
        <x:v>20</x:v>
      </x:c>
      <x:c r="N493" s="367" t="n">
        <x:f>SUM(K493:M493)</x:f>
        <x:v>92</x:v>
      </x:c>
      <x:c r="O493" s="368" t="n">
        <x:f>N493/25</x:f>
        <x:v>3.68</x:v>
      </x:c>
      <x:c r="P493" s="366" t="str">
        <x:v>Informe de pentest autorizado: Seguridad de hardware y side channels.</x:v>
      </x:c>
      <x:c r="Q493" s="366" t="str">
        <x:v>S08; S32; S33</x:v>
      </x:c>
      <x:c r="R493" s="366" t="str">
        <x:v>No iniciado</x:v>
      </x:c>
      <x:c r="S493" s="369" t="n">
        <x:v>0</x:v>
      </x:c>
      <x:c r="T493" s="370"/>
      <x:c r="U493" s="370"/>
      <x:c r="V493" s="366" t="str">
        <x:v>Evoluciona con sistemas multiusuario, criptografía, delitos digitales, regulación y gestión del riesgo.</x:v>
      </x:c>
      <x:c r="W493" s="366" t="str">
        <x:v>Alta: práctica vigente</x:v>
      </x:c>
      <x:c r="X493" s="366" t="str">
        <x:v>Presente 2026 y corto (2027–2029)</x:v>
      </x:c>
      <x:c r="Y493" s="366" t="str">
        <x:v>Actual</x:v>
      </x:c>
      <x:c r="Z493" s="366" t="str">
        <x:v>12 meses</x:v>
      </x:c>
      <x:c r="AA493" s="366" t="str">
        <x:v>Migración poscuántica, seguridad de IA, explotación activa, identidad, privacidad y resiliencia de proveedores.</x:v>
      </x:c>
    </x:row>
    <x:row r="494" ht="58" customHeight="1">
      <x:c r="A494" s="351" t="str">
        <x:v>CYB-045</x:v>
      </x:c>
      <x:c r="B494" s="351" t="n">
        <x:v>7</x:v>
      </x:c>
      <x:c r="C494" s="351" t="str">
        <x:v>Profundización</x:v>
      </x:c>
      <x:c r="D494" s="351" t="str">
        <x:v>Seguridad ofensiva ética</x:v>
      </x:c>
      <x:c r="E494" s="351" t="str">
        <x:v>Ciberseguridad, forense y auditoría</x:v>
      </x:c>
      <x:c r="F494" s="351" t="str">
        <x:v>Investigación de vulnerabilidades y divulgación responsable</x:v>
      </x:c>
      <x:c r="G494" s="351" t="str">
        <x:v>Investigación de vulnerabilidades y divulgación responsable. Exclusivamente en laboratorios propios o con autorización expresa; reporte, remediación y ética obligatorios.</x:v>
      </x:c>
      <x:c r="H494" s="351" t="str">
        <x:v>CYB-044</x:v>
      </x:c>
      <x:c r="I494" s="351" t="str">
        <x:v>Dominio profesional</x:v>
      </x:c>
      <x:c r="J494" s="351" t="n">
        <x:v>2</x:v>
      </x:c>
      <x:c r="K494" s="351" t="n">
        <x:v>20</x:v>
      </x:c>
      <x:c r="L494" s="351" t="n">
        <x:v>52</x:v>
      </x:c>
      <x:c r="M494" s="351" t="n">
        <x:v>20</x:v>
      </x:c>
      <x:c r="N494" s="352" t="n">
        <x:f>SUM(K494:M494)</x:f>
        <x:v>92</x:v>
      </x:c>
      <x:c r="O494" s="353" t="n">
        <x:f>N494/25</x:f>
        <x:v>3.68</x:v>
      </x:c>
      <x:c r="P494" s="351" t="str">
        <x:v>Informe de pentest autorizado: Investigación de vulnerabilidades y divulgación responsable.</x:v>
      </x:c>
      <x:c r="Q494" s="351" t="str">
        <x:v>S08; S32; S33</x:v>
      </x:c>
      <x:c r="R494" s="351" t="str">
        <x:v>No iniciado</x:v>
      </x:c>
      <x:c r="S494" s="354" t="n">
        <x:v>0</x:v>
      </x:c>
      <x:c r="T494" s="355"/>
      <x:c r="U494" s="355"/>
      <x:c r="V494" s="351" t="str">
        <x:v>Evoluciona con sistemas multiusuario, criptografía, delitos digitales, regulación y gestión del riesgo.</x:v>
      </x:c>
      <x:c r="W494" s="351" t="str">
        <x:v>Alta: práctica vigente</x:v>
      </x:c>
      <x:c r="X494" s="351" t="str">
        <x:v>Presente 2026 y corto (2027–2029)</x:v>
      </x:c>
      <x:c r="Y494" s="351" t="str">
        <x:v>Actual</x:v>
      </x:c>
      <x:c r="Z494" s="351" t="str">
        <x:v>12 meses</x:v>
      </x:c>
      <x:c r="AA494" s="351" t="str">
        <x:v>Migración poscuántica, seguridad de IA, explotación activa, identidad, privacidad y resiliencia de proveedores.</x:v>
      </x:c>
    </x:row>
    <x:row r="495" ht="58" customHeight="1">
      <x:c r="A495" s="366" t="str">
        <x:v>CYB-058</x:v>
      </x:c>
      <x:c r="B495" s="366" t="n">
        <x:v>7</x:v>
      </x:c>
      <x:c r="C495" s="366" t="str">
        <x:v>Profundización</x:v>
      </x:c>
      <x:c r="D495" s="366" t="str">
        <x:v>Informática forense y auditoría</x:v>
      </x:c>
      <x:c r="E495" s="366" t="str">
        <x:v>Ciberseguridad, forense y auditoría</x:v>
      </x:c>
      <x:c r="F495" s="366" t="str">
        <x:v>Auditoría de aplicaciones y bases de datos</x:v>
      </x:c>
      <x:c r="G495" s="366" t="str">
        <x:v>Auditoría de aplicaciones y bases de datos. Autoridad legal, preservación, cadena de custodia, validación, repetibilidad y testimonio técnico.</x:v>
      </x:c>
      <x:c r="H495" s="366" t="str">
        <x:v>CYB-057</x:v>
      </x:c>
      <x:c r="I495" s="366" t="str">
        <x:v>Dominio profesional</x:v>
      </x:c>
      <x:c r="J495" s="366" t="n">
        <x:v>2</x:v>
      </x:c>
      <x:c r="K495" s="366" t="n">
        <x:v>28</x:v>
      </x:c>
      <x:c r="L495" s="366" t="n">
        <x:v>36</x:v>
      </x:c>
      <x:c r="M495" s="366" t="n">
        <x:v>20</x:v>
      </x:c>
      <x:c r="N495" s="367" t="n">
        <x:f>SUM(K495:M495)</x:f>
        <x:v>84</x:v>
      </x:c>
      <x:c r="O495" s="368" t="n">
        <x:f>N495/25</x:f>
        <x:v>3.36</x:v>
      </x:c>
      <x:c r="P495" s="366" t="str">
        <x:v>Expediente forense: Auditoría de aplicaciones y bases de datos.</x:v>
      </x:c>
      <x:c r="Q495" s="366" t="str">
        <x:v>S08; S34; S35; S36</x:v>
      </x:c>
      <x:c r="R495" s="366" t="str">
        <x:v>No iniciado</x:v>
      </x:c>
      <x:c r="S495" s="369" t="n">
        <x:v>0</x:v>
      </x:c>
      <x:c r="T495" s="370"/>
      <x:c r="U495" s="370"/>
      <x:c r="V495" s="366" t="str">
        <x:v>Evoluciona con sistemas multiusuario, criptografía, delitos digitales, regulación y gestión del riesgo.</x:v>
      </x:c>
      <x:c r="W495" s="366" t="str">
        <x:v>Alta: práctica vigente</x:v>
      </x:c>
      <x:c r="X495" s="366" t="str">
        <x:v>Presente 2026 y corto (2027–2029)</x:v>
      </x:c>
      <x:c r="Y495" s="366" t="str">
        <x:v>Actual</x:v>
      </x:c>
      <x:c r="Z495" s="366" t="str">
        <x:v>12 meses</x:v>
      </x:c>
      <x:c r="AA495" s="366" t="str">
        <x:v>Migración poscuántica, seguridad de IA, explotación activa, identidad, privacidad y resiliencia de proveedores.</x:v>
      </x:c>
    </x:row>
    <x:row r="496" ht="58" customHeight="1">
      <x:c r="A496" s="351" t="str">
        <x:v>CYB-059</x:v>
      </x:c>
      <x:c r="B496" s="351" t="n">
        <x:v>7</x:v>
      </x:c>
      <x:c r="C496" s="351" t="str">
        <x:v>Profundización</x:v>
      </x:c>
      <x:c r="D496" s="351" t="str">
        <x:v>Informática forense y auditoría</x:v>
      </x:c>
      <x:c r="E496" s="351" t="str">
        <x:v>Ciberseguridad, forense y auditoría</x:v>
      </x:c>
      <x:c r="F496" s="351" t="str">
        <x:v>Auditoría de infraestructura y cloud</x:v>
      </x:c>
      <x:c r="G496" s="351" t="str">
        <x:v>Auditoría de infraestructura y cloud. Autoridad legal, preservación, cadena de custodia, validación, repetibilidad y testimonio técnico.</x:v>
      </x:c>
      <x:c r="H496" s="351" t="str">
        <x:v>CYB-058</x:v>
      </x:c>
      <x:c r="I496" s="351" t="str">
        <x:v>Dominio profesional</x:v>
      </x:c>
      <x:c r="J496" s="351" t="n">
        <x:v>2</x:v>
      </x:c>
      <x:c r="K496" s="351" t="n">
        <x:v>28</x:v>
      </x:c>
      <x:c r="L496" s="351" t="n">
        <x:v>36</x:v>
      </x:c>
      <x:c r="M496" s="351" t="n">
        <x:v>20</x:v>
      </x:c>
      <x:c r="N496" s="352" t="n">
        <x:f>SUM(K496:M496)</x:f>
        <x:v>84</x:v>
      </x:c>
      <x:c r="O496" s="353" t="n">
        <x:f>N496/25</x:f>
        <x:v>3.36</x:v>
      </x:c>
      <x:c r="P496" s="351" t="str">
        <x:v>Expediente forense: Auditoría de infraestructura y cloud.</x:v>
      </x:c>
      <x:c r="Q496" s="351" t="str">
        <x:v>S08; S34; S35; S36</x:v>
      </x:c>
      <x:c r="R496" s="351" t="str">
        <x:v>No iniciado</x:v>
      </x:c>
      <x:c r="S496" s="354" t="n">
        <x:v>0</x:v>
      </x:c>
      <x:c r="T496" s="355"/>
      <x:c r="U496" s="355"/>
      <x:c r="V496" s="351" t="str">
        <x:v>Evoluciona con sistemas multiusuario, criptografía, delitos digitales, regulación y gestión del riesgo.</x:v>
      </x:c>
      <x:c r="W496" s="351" t="str">
        <x:v>Alta: práctica vigente</x:v>
      </x:c>
      <x:c r="X496" s="351" t="str">
        <x:v>Presente 2026 y corto (2027–2029)</x:v>
      </x:c>
      <x:c r="Y496" s="351" t="str">
        <x:v>Actual</x:v>
      </x:c>
      <x:c r="Z496" s="351" t="str">
        <x:v>12 meses</x:v>
      </x:c>
      <x:c r="AA496" s="351" t="str">
        <x:v>Migración poscuántica, seguridad de IA, explotación activa, identidad, privacidad y resiliencia de proveedores.</x:v>
      </x:c>
    </x:row>
    <x:row r="497" ht="58" customHeight="1">
      <x:c r="A497" s="366" t="str">
        <x:v>CYB-060</x:v>
      </x:c>
      <x:c r="B497" s="366" t="n">
        <x:v>7</x:v>
      </x:c>
      <x:c r="C497" s="366" t="str">
        <x:v>Profundización</x:v>
      </x:c>
      <x:c r="D497" s="366" t="str">
        <x:v>Informática forense y auditoría</x:v>
      </x:c>
      <x:c r="E497" s="366" t="str">
        <x:v>Ciberseguridad, forense y auditoría</x:v>
      </x:c>
      <x:c r="F497" s="366" t="str">
        <x:v>Auditoría continua y análisis de datos</x:v>
      </x:c>
      <x:c r="G497" s="366" t="str">
        <x:v>Auditoría continua y análisis de datos. Autoridad legal, preservación, cadena de custodia, validación, repetibilidad y testimonio técnico.</x:v>
      </x:c>
      <x:c r="H497" s="366" t="str">
        <x:v>CYB-059</x:v>
      </x:c>
      <x:c r="I497" s="366" t="str">
        <x:v>Dominio profesional</x:v>
      </x:c>
      <x:c r="J497" s="366" t="n">
        <x:v>2</x:v>
      </x:c>
      <x:c r="K497" s="366" t="n">
        <x:v>28</x:v>
      </x:c>
      <x:c r="L497" s="366" t="n">
        <x:v>36</x:v>
      </x:c>
      <x:c r="M497" s="366" t="n">
        <x:v>20</x:v>
      </x:c>
      <x:c r="N497" s="367" t="n">
        <x:f>SUM(K497:M497)</x:f>
        <x:v>84</x:v>
      </x:c>
      <x:c r="O497" s="368" t="n">
        <x:f>N497/25</x:f>
        <x:v>3.36</x:v>
      </x:c>
      <x:c r="P497" s="366" t="str">
        <x:v>Expediente forense: Auditoría continua y análisis de datos.</x:v>
      </x:c>
      <x:c r="Q497" s="366" t="str">
        <x:v>S08; S34; S35; S36</x:v>
      </x:c>
      <x:c r="R497" s="366" t="str">
        <x:v>No iniciado</x:v>
      </x:c>
      <x:c r="S497" s="369" t="n">
        <x:v>0</x:v>
      </x:c>
      <x:c r="T497" s="370"/>
      <x:c r="U497" s="370"/>
      <x:c r="V497" s="366" t="str">
        <x:v>Evoluciona con sistemas multiusuario, criptografía, delitos digitales, regulación y gestión del riesgo.</x:v>
      </x:c>
      <x:c r="W497" s="366" t="str">
        <x:v>Alta: práctica vigente</x:v>
      </x:c>
      <x:c r="X497" s="366" t="str">
        <x:v>Presente 2026 y corto (2027–2029)</x:v>
      </x:c>
      <x:c r="Y497" s="366" t="str">
        <x:v>Actual</x:v>
      </x:c>
      <x:c r="Z497" s="366" t="str">
        <x:v>12 meses</x:v>
      </x:c>
      <x:c r="AA497" s="366" t="str">
        <x:v>Migración poscuántica, seguridad de IA, explotación activa, identidad, privacidad y resiliencia de proveedores.</x:v>
      </x:c>
    </x:row>
    <x:row r="498" ht="58" customHeight="1">
      <x:c r="A498" s="351" t="str">
        <x:v>QUA-001</x:v>
      </x:c>
      <x:c r="B498" s="351" t="n">
        <x:v>7</x:v>
      </x:c>
      <x:c r="C498" s="351" t="str">
        <x:v>Profundización</x:v>
      </x:c>
      <x:c r="D498" s="351" t="str">
        <x:v>Información y computación cuántica</x:v>
      </x:c>
      <x:c r="E498" s="351" t="str">
        <x:v>Computación cuántica</x:v>
      </x:c>
      <x:c r="F498" s="351" t="str">
        <x:v>Mecánica cuántica para computación</x:v>
      </x:c>
      <x:c r="G498" s="351" t="str">
        <x:v>Mecánica cuántica para computación. Formalismo matemático, circuitos, algoritmos, hardware, ruido, seguridad y aplicaciones.</x:v>
      </x:c>
      <x:c r="H498" s="351" t="str">
        <x:v>MAT-007</x:v>
      </x:c>
      <x:c r="I498" s="351" t="str">
        <x:v>Frontera/adyacente</x:v>
      </x:c>
      <x:c r="J498" s="351" t="n">
        <x:v>3</x:v>
      </x:c>
      <x:c r="K498" s="351" t="n">
        <x:v>28</x:v>
      </x:c>
      <x:c r="L498" s="351" t="n">
        <x:v>36</x:v>
      </x:c>
      <x:c r="M498" s="351" t="n">
        <x:v>20</x:v>
      </x:c>
      <x:c r="N498" s="352" t="n">
        <x:f>SUM(K498:M498)</x:f>
        <x:v>84</x:v>
      </x:c>
      <x:c r="O498" s="353" t="n">
        <x:f>N498/25</x:f>
        <x:v>3.36</x:v>
      </x:c>
      <x:c r="P498" s="351" t="str">
        <x:v>Notebook y circuito cuántico: Mecánica cuántica para computación.</x:v>
      </x:c>
      <x:c r="Q498" s="351" t="str">
        <x:v>S10; S14; S20; S41; S42</x:v>
      </x:c>
      <x:c r="R498" s="351" t="str">
        <x:v>No iniciado</x:v>
      </x:c>
      <x:c r="S498" s="354" t="n">
        <x:v>0</x:v>
      </x:c>
      <x:c r="T498" s="355"/>
      <x:c r="U498" s="355"/>
      <x:c r="V498" s="351" t="str">
        <x:v>Parte de mecánica cuántica, teoría de información y algoritmos cuánticos para nuevos modelos de cómputo.</x:v>
      </x:c>
      <x:c r="W498" s="351" t="str">
        <x:v>Variable: validar evidencia y madurez</x:v>
      </x:c>
      <x:c r="X498" s="351" t="str">
        <x:v>Mediano (2030–2035) y largo (2036–2045)</x:v>
      </x:c>
      <x:c r="Y498" s="351" t="str">
        <x:v>Experimental</x:v>
      </x:c>
      <x:c r="Z498" s="351" t="str">
        <x:v>6 meses</x:v>
      </x:c>
      <x:c r="AA498" s="351" t="str">
        <x:v>Corrección de errores, integración con HPC, redes cuánticas y utilidad práctica en nichos aún inciertos.</x:v>
      </x:c>
    </x:row>
    <x:row r="499" ht="58" customHeight="1">
      <x:c r="A499" s="366" t="str">
        <x:v>QUA-002</x:v>
      </x:c>
      <x:c r="B499" s="366" t="n">
        <x:v>7</x:v>
      </x:c>
      <x:c r="C499" s="366" t="str">
        <x:v>Profundización</x:v>
      </x:c>
      <x:c r="D499" s="366" t="str">
        <x:v>Información y computación cuántica</x:v>
      </x:c>
      <x:c r="E499" s="366" t="str">
        <x:v>Computación cuántica</x:v>
      </x:c>
      <x:c r="F499" s="366" t="str">
        <x:v>Información cuántica</x:v>
      </x:c>
      <x:c r="G499" s="366" t="str">
        <x:v>Información cuántica. Formalismo matemático, circuitos, algoritmos, hardware, ruido, seguridad y aplicaciones.</x:v>
      </x:c>
      <x:c r="H499" s="366" t="str">
        <x:v>QUA-001</x:v>
      </x:c>
      <x:c r="I499" s="366" t="str">
        <x:v>Frontera/adyacente</x:v>
      </x:c>
      <x:c r="J499" s="366" t="n">
        <x:v>3</x:v>
      </x:c>
      <x:c r="K499" s="366" t="n">
        <x:v>28</x:v>
      </x:c>
      <x:c r="L499" s="366" t="n">
        <x:v>36</x:v>
      </x:c>
      <x:c r="M499" s="366" t="n">
        <x:v>20</x:v>
      </x:c>
      <x:c r="N499" s="367" t="n">
        <x:f>SUM(K499:M499)</x:f>
        <x:v>84</x:v>
      </x:c>
      <x:c r="O499" s="368" t="n">
        <x:f>N499/25</x:f>
        <x:v>3.36</x:v>
      </x:c>
      <x:c r="P499" s="366" t="str">
        <x:v>Notebook y circuito cuántico: Información cuántica.</x:v>
      </x:c>
      <x:c r="Q499" s="366" t="str">
        <x:v>S10; S14; S20; S41; S42</x:v>
      </x:c>
      <x:c r="R499" s="366" t="str">
        <x:v>No iniciado</x:v>
      </x:c>
      <x:c r="S499" s="369" t="n">
        <x:v>0</x:v>
      </x:c>
      <x:c r="T499" s="370"/>
      <x:c r="U499" s="370"/>
      <x:c r="V499" s="366" t="str">
        <x:v>Parte de mecánica cuántica, teoría de información y algoritmos cuánticos para nuevos modelos de cómputo.</x:v>
      </x:c>
      <x:c r="W499" s="366" t="str">
        <x:v>Variable: validar evidencia y madurez</x:v>
      </x:c>
      <x:c r="X499" s="366" t="str">
        <x:v>Mediano (2030–2035) y largo (2036–2045)</x:v>
      </x:c>
      <x:c r="Y499" s="366" t="str">
        <x:v>Experimental</x:v>
      </x:c>
      <x:c r="Z499" s="366" t="str">
        <x:v>6 meses</x:v>
      </x:c>
      <x:c r="AA499" s="366" t="str">
        <x:v>Corrección de errores, integración con HPC, redes cuánticas y utilidad práctica en nichos aún inciertos.</x:v>
      </x:c>
    </x:row>
    <x:row r="500" ht="58" customHeight="1">
      <x:c r="A500" s="351" t="str">
        <x:v>QUA-003</x:v>
      </x:c>
      <x:c r="B500" s="351" t="n">
        <x:v>7</x:v>
      </x:c>
      <x:c r="C500" s="351" t="str">
        <x:v>Profundización</x:v>
      </x:c>
      <x:c r="D500" s="351" t="str">
        <x:v>Información y computación cuántica</x:v>
      </x:c>
      <x:c r="E500" s="351" t="str">
        <x:v>Computación cuántica</x:v>
      </x:c>
      <x:c r="F500" s="351" t="str">
        <x:v>Circuitos y programación cuántica</x:v>
      </x:c>
      <x:c r="G500" s="351" t="str">
        <x:v>Circuitos y programación cuántica. Formalismo matemático, circuitos, algoritmos, hardware, ruido, seguridad y aplicaciones.</x:v>
      </x:c>
      <x:c r="H500" s="351" t="str">
        <x:v>QUA-002</x:v>
      </x:c>
      <x:c r="I500" s="351" t="str">
        <x:v>Frontera/adyacente</x:v>
      </x:c>
      <x:c r="J500" s="351" t="n">
        <x:v>3</x:v>
      </x:c>
      <x:c r="K500" s="351" t="n">
        <x:v>28</x:v>
      </x:c>
      <x:c r="L500" s="351" t="n">
        <x:v>36</x:v>
      </x:c>
      <x:c r="M500" s="351" t="n">
        <x:v>20</x:v>
      </x:c>
      <x:c r="N500" s="352" t="n">
        <x:f>SUM(K500:M500)</x:f>
        <x:v>84</x:v>
      </x:c>
      <x:c r="O500" s="353" t="n">
        <x:f>N500/25</x:f>
        <x:v>3.36</x:v>
      </x:c>
      <x:c r="P500" s="351" t="str">
        <x:v>Notebook y circuito cuántico: Circuitos y programación cuántica.</x:v>
      </x:c>
      <x:c r="Q500" s="351" t="str">
        <x:v>S10; S14; S20; S41; S42</x:v>
      </x:c>
      <x:c r="R500" s="351" t="str">
        <x:v>No iniciado</x:v>
      </x:c>
      <x:c r="S500" s="354" t="n">
        <x:v>0</x:v>
      </x:c>
      <x:c r="T500" s="355"/>
      <x:c r="U500" s="355"/>
      <x:c r="V500" s="351" t="str">
        <x:v>Parte de mecánica cuántica, teoría de información y algoritmos cuánticos para nuevos modelos de cómputo.</x:v>
      </x:c>
      <x:c r="W500" s="351" t="str">
        <x:v>Variable: validar evidencia y madurez</x:v>
      </x:c>
      <x:c r="X500" s="351" t="str">
        <x:v>Mediano (2030–2035) y largo (2036–2045)</x:v>
      </x:c>
      <x:c r="Y500" s="351" t="str">
        <x:v>Experimental</x:v>
      </x:c>
      <x:c r="Z500" s="351" t="str">
        <x:v>6 meses</x:v>
      </x:c>
      <x:c r="AA500" s="351" t="str">
        <x:v>Corrección de errores, integración con HPC, redes cuánticas y utilidad práctica en nichos aún inciertos.</x:v>
      </x:c>
    </x:row>
    <x:row r="501" ht="58" customHeight="1">
      <x:c r="A501" s="366" t="str">
        <x:v>QUA-004</x:v>
      </x:c>
      <x:c r="B501" s="366" t="n">
        <x:v>7</x:v>
      </x:c>
      <x:c r="C501" s="366" t="str">
        <x:v>Profundización</x:v>
      </x:c>
      <x:c r="D501" s="366" t="str">
        <x:v>Información y computación cuántica</x:v>
      </x:c>
      <x:c r="E501" s="366" t="str">
        <x:v>Computación cuántica</x:v>
      </x:c>
      <x:c r="F501" s="366" t="str">
        <x:v>Algoritmos cuánticos I</x:v>
      </x:c>
      <x:c r="G501" s="366" t="str">
        <x:v>Algoritmos cuánticos I. Formalismo matemático, circuitos, algoritmos, hardware, ruido, seguridad y aplicaciones.</x:v>
      </x:c>
      <x:c r="H501" s="366" t="str">
        <x:v>QUA-003</x:v>
      </x:c>
      <x:c r="I501" s="366" t="str">
        <x:v>Frontera/adyacente</x:v>
      </x:c>
      <x:c r="J501" s="366" t="n">
        <x:v>3</x:v>
      </x:c>
      <x:c r="K501" s="366" t="n">
        <x:v>28</x:v>
      </x:c>
      <x:c r="L501" s="366" t="n">
        <x:v>36</x:v>
      </x:c>
      <x:c r="M501" s="366" t="n">
        <x:v>20</x:v>
      </x:c>
      <x:c r="N501" s="367" t="n">
        <x:f>SUM(K501:M501)</x:f>
        <x:v>84</x:v>
      </x:c>
      <x:c r="O501" s="368" t="n">
        <x:f>N501/25</x:f>
        <x:v>3.36</x:v>
      </x:c>
      <x:c r="P501" s="366" t="str">
        <x:v>Notebook y circuito cuántico: Algoritmos cuánticos I.</x:v>
      </x:c>
      <x:c r="Q501" s="366" t="str">
        <x:v>S10; S14; S20; S41; S42</x:v>
      </x:c>
      <x:c r="R501" s="366" t="str">
        <x:v>No iniciado</x:v>
      </x:c>
      <x:c r="S501" s="369" t="n">
        <x:v>0</x:v>
      </x:c>
      <x:c r="T501" s="370"/>
      <x:c r="U501" s="370"/>
      <x:c r="V501" s="366" t="str">
        <x:v>Parte de mecánica cuántica, teoría de información y algoritmos cuánticos para nuevos modelos de cómputo.</x:v>
      </x:c>
      <x:c r="W501" s="366" t="str">
        <x:v>Variable: validar evidencia y madurez</x:v>
      </x:c>
      <x:c r="X501" s="366" t="str">
        <x:v>Mediano (2030–2035) y largo (2036–2045)</x:v>
      </x:c>
      <x:c r="Y501" s="366" t="str">
        <x:v>Experimental</x:v>
      </x:c>
      <x:c r="Z501" s="366" t="str">
        <x:v>6 meses</x:v>
      </x:c>
      <x:c r="AA501" s="366" t="str">
        <x:v>Corrección de errores, integración con HPC, redes cuánticas y utilidad práctica en nichos aún inciertos.</x:v>
      </x:c>
    </x:row>
    <x:row r="502" ht="58" customHeight="1">
      <x:c r="A502" s="351" t="str">
        <x:v>QUA-005</x:v>
      </x:c>
      <x:c r="B502" s="351" t="n">
        <x:v>7</x:v>
      </x:c>
      <x:c r="C502" s="351" t="str">
        <x:v>Profundización</x:v>
      </x:c>
      <x:c r="D502" s="351" t="str">
        <x:v>Información y computación cuántica</x:v>
      </x:c>
      <x:c r="E502" s="351" t="str">
        <x:v>Computación cuántica</x:v>
      </x:c>
      <x:c r="F502" s="351" t="str">
        <x:v>Algoritmos cuánticos II</x:v>
      </x:c>
      <x:c r="G502" s="351" t="str">
        <x:v>Algoritmos cuánticos II. Formalismo matemático, circuitos, algoritmos, hardware, ruido, seguridad y aplicaciones.</x:v>
      </x:c>
      <x:c r="H502" s="351" t="str">
        <x:v>QUA-004</x:v>
      </x:c>
      <x:c r="I502" s="351" t="str">
        <x:v>Frontera/adyacente</x:v>
      </x:c>
      <x:c r="J502" s="351" t="n">
        <x:v>3</x:v>
      </x:c>
      <x:c r="K502" s="351" t="n">
        <x:v>28</x:v>
      </x:c>
      <x:c r="L502" s="351" t="n">
        <x:v>36</x:v>
      </x:c>
      <x:c r="M502" s="351" t="n">
        <x:v>20</x:v>
      </x:c>
      <x:c r="N502" s="352" t="n">
        <x:f>SUM(K502:M502)</x:f>
        <x:v>84</x:v>
      </x:c>
      <x:c r="O502" s="353" t="n">
        <x:f>N502/25</x:f>
        <x:v>3.36</x:v>
      </x:c>
      <x:c r="P502" s="351" t="str">
        <x:v>Notebook y circuito cuántico: Algoritmos cuánticos II.</x:v>
      </x:c>
      <x:c r="Q502" s="351" t="str">
        <x:v>S10; S14; S20; S41; S42</x:v>
      </x:c>
      <x:c r="R502" s="351" t="str">
        <x:v>No iniciado</x:v>
      </x:c>
      <x:c r="S502" s="354" t="n">
        <x:v>0</x:v>
      </x:c>
      <x:c r="T502" s="355"/>
      <x:c r="U502" s="355"/>
      <x:c r="V502" s="351" t="str">
        <x:v>Parte de mecánica cuántica, teoría de información y algoritmos cuánticos para nuevos modelos de cómputo.</x:v>
      </x:c>
      <x:c r="W502" s="351" t="str">
        <x:v>Variable: validar evidencia y madurez</x:v>
      </x:c>
      <x:c r="X502" s="351" t="str">
        <x:v>Mediano (2030–2035) y largo (2036–2045)</x:v>
      </x:c>
      <x:c r="Y502" s="351" t="str">
        <x:v>Experimental</x:v>
      </x:c>
      <x:c r="Z502" s="351" t="str">
        <x:v>6 meses</x:v>
      </x:c>
      <x:c r="AA502" s="351" t="str">
        <x:v>Corrección de errores, integración con HPC, redes cuánticas y utilidad práctica en nichos aún inciertos.</x:v>
      </x:c>
    </x:row>
    <x:row r="503" ht="58" customHeight="1">
      <x:c r="A503" s="366" t="str">
        <x:v>DAI-046</x:v>
      </x:c>
      <x:c r="B503" s="366" t="n">
        <x:v>7</x:v>
      </x:c>
      <x:c r="C503" s="366" t="str">
        <x:v>Profundización</x:v>
      </x:c>
      <x:c r="D503" s="366" t="str">
        <x:v>Inteligencia artificial y aprendizaje automático</x:v>
      </x:c>
      <x:c r="E503" s="366" t="str">
        <x:v>Datos, BI e IA</x:v>
      </x:c>
      <x:c r="F503" s="366" t="str">
        <x:v>IA en el edge</x:v>
      </x:c>
      <x:c r="G503" s="366" t="str">
        <x:v>IA en el edge. Fundamentos, evaluación rigurosa, implementación, despliegue responsable y aplicaciones.</x:v>
      </x:c>
      <x:c r="H503" s="366" t="str">
        <x:v>DAI-045</x:v>
      </x:c>
      <x:c r="I503" s="366" t="str">
        <x:v>Dominio profesional</x:v>
      </x:c>
      <x:c r="J503" s="366" t="n">
        <x:v>2</x:v>
      </x:c>
      <x:c r="K503" s="366" t="n">
        <x:v>28</x:v>
      </x:c>
      <x:c r="L503" s="366" t="n">
        <x:v>36</x:v>
      </x:c>
      <x:c r="M503" s="366" t="n">
        <x:v>20</x:v>
      </x:c>
      <x:c r="N503" s="367" t="n">
        <x:f>SUM(K503:M503)</x:f>
        <x:v>84</x:v>
      </x:c>
      <x:c r="O503" s="368" t="n">
        <x:f>N503/25</x:f>
        <x:v>3.36</x:v>
      </x:c>
      <x:c r="P503" s="366" t="str">
        <x:v>Modelo evaluado y desplegado: IA en el edge.</x:v>
      </x:c>
      <x:c r="Q503" s="366" t="str">
        <x:v>S01; S07; S12; S18; S19; S20; S38</x:v>
      </x:c>
      <x:c r="R503" s="366" t="str">
        <x:v>No iniciado</x:v>
      </x:c>
      <x:c r="S503" s="369" t="n">
        <x:v>0</x:v>
      </x:c>
      <x:c r="T503" s="370"/>
      <x:c r="U503" s="370"/>
      <x:c r="V503" s="366" t="str">
        <x:v>Une estadística, bases de datos, investigación operativa, aprendizaje automático e IA generativa.</x:v>
      </x:c>
      <x:c r="W503" s="366" t="str">
        <x:v>Variable: validar evidencia y madurez</x:v>
      </x:c>
      <x:c r="X503" s="366" t="str">
        <x:v>Corto (2027–2029) y mediano (2030–2035)</x:v>
      </x:c>
      <x:c r="Y503" s="366" t="str">
        <x:v>Emergente</x:v>
      </x:c>
      <x:c r="Z503" s="366" t="str">
        <x:v>6 meses</x:v>
      </x:c>
      <x:c r="AA503" s="366" t="str">
        <x:v>Modelos multimodales, IA agente, causalidad, privacidad, aprendizaje federado, evaluación y gobernanza.</x:v>
      </x:c>
    </x:row>
    <x:row r="504" ht="58" customHeight="1">
      <x:c r="A504" s="351" t="str">
        <x:v>DAI-047</x:v>
      </x:c>
      <x:c r="B504" s="351" t="n">
        <x:v>7</x:v>
      </x:c>
      <x:c r="C504" s="351" t="str">
        <x:v>Profundización</x:v>
      </x:c>
      <x:c r="D504" s="351" t="str">
        <x:v>Inteligencia artificial y aprendizaje automático</x:v>
      </x:c>
      <x:c r="E504" s="351" t="str">
        <x:v>Datos, BI e IA</x:v>
      </x:c>
      <x:c r="F504" s="351" t="str">
        <x:v>Aprendizaje federado</x:v>
      </x:c>
      <x:c r="G504" s="351" t="str">
        <x:v>Aprendizaje federado. Fundamentos, evaluación rigurosa, implementación, despliegue responsable y aplicaciones.</x:v>
      </x:c>
      <x:c r="H504" s="351" t="str">
        <x:v>DAI-046</x:v>
      </x:c>
      <x:c r="I504" s="351" t="str">
        <x:v>Dominio profesional</x:v>
      </x:c>
      <x:c r="J504" s="351" t="n">
        <x:v>2</x:v>
      </x:c>
      <x:c r="K504" s="351" t="n">
        <x:v>28</x:v>
      </x:c>
      <x:c r="L504" s="351" t="n">
        <x:v>36</x:v>
      </x:c>
      <x:c r="M504" s="351" t="n">
        <x:v>20</x:v>
      </x:c>
      <x:c r="N504" s="352" t="n">
        <x:f>SUM(K504:M504)</x:f>
        <x:v>84</x:v>
      </x:c>
      <x:c r="O504" s="353" t="n">
        <x:f>N504/25</x:f>
        <x:v>3.36</x:v>
      </x:c>
      <x:c r="P504" s="351" t="str">
        <x:v>Modelo evaluado y desplegado: Aprendizaje federado.</x:v>
      </x:c>
      <x:c r="Q504" s="351" t="str">
        <x:v>S01; S07; S12; S18; S19; S20; S38</x:v>
      </x:c>
      <x:c r="R504" s="351" t="str">
        <x:v>No iniciado</x:v>
      </x:c>
      <x:c r="S504" s="354" t="n">
        <x:v>0</x:v>
      </x:c>
      <x:c r="T504" s="355"/>
      <x:c r="U504" s="355"/>
      <x:c r="V504" s="351" t="str">
        <x:v>Une estadística, bases de datos, investigación operativa, aprendizaje automático e IA generativa.</x:v>
      </x:c>
      <x:c r="W504" s="351" t="str">
        <x:v>Variable: validar evidencia y madurez</x:v>
      </x:c>
      <x:c r="X504" s="351" t="str">
        <x:v>Corto (2027–2029) y mediano (2030–2035)</x:v>
      </x:c>
      <x:c r="Y504" s="351" t="str">
        <x:v>Emergente</x:v>
      </x:c>
      <x:c r="Z504" s="351" t="str">
        <x:v>6 meses</x:v>
      </x:c>
      <x:c r="AA504" s="351" t="str">
        <x:v>Modelos multimodales, IA agente, causalidad, privacidad, aprendizaje federado, evaluación y gobernanza.</x:v>
      </x:c>
    </x:row>
    <x:row r="505" ht="58" customHeight="1">
      <x:c r="A505" s="366" t="str">
        <x:v>DAI-048</x:v>
      </x:c>
      <x:c r="B505" s="366" t="n">
        <x:v>7</x:v>
      </x:c>
      <x:c r="C505" s="366" t="str">
        <x:v>Profundización</x:v>
      </x:c>
      <x:c r="D505" s="366" t="str">
        <x:v>Inteligencia artificial y aprendizaje automático</x:v>
      </x:c>
      <x:c r="E505" s="366" t="str">
        <x:v>Datos, BI e IA</x:v>
      </x:c>
      <x:c r="F505" s="366" t="str">
        <x:v>Modelos probabilísticos y bayesianos</x:v>
      </x:c>
      <x:c r="G505" s="366" t="str">
        <x:v>Modelos probabilísticos y bayesianos. Fundamentos, evaluación rigurosa, implementación, despliegue responsable y aplicaciones.</x:v>
      </x:c>
      <x:c r="H505" s="366" t="str">
        <x:v>DAI-047</x:v>
      </x:c>
      <x:c r="I505" s="366" t="str">
        <x:v>Dominio profesional</x:v>
      </x:c>
      <x:c r="J505" s="366" t="n">
        <x:v>2</x:v>
      </x:c>
      <x:c r="K505" s="366" t="n">
        <x:v>28</x:v>
      </x:c>
      <x:c r="L505" s="366" t="n">
        <x:v>36</x:v>
      </x:c>
      <x:c r="M505" s="366" t="n">
        <x:v>20</x:v>
      </x:c>
      <x:c r="N505" s="367" t="n">
        <x:f>SUM(K505:M505)</x:f>
        <x:v>84</x:v>
      </x:c>
      <x:c r="O505" s="368" t="n">
        <x:f>N505/25</x:f>
        <x:v>3.36</x:v>
      </x:c>
      <x:c r="P505" s="366" t="str">
        <x:v>Modelo evaluado y desplegado: Modelos probabilísticos y bayesianos.</x:v>
      </x:c>
      <x:c r="Q505" s="366" t="str">
        <x:v>S01; S07; S12; S18; S19; S20; S38</x:v>
      </x:c>
      <x:c r="R505" s="366" t="str">
        <x:v>No iniciado</x:v>
      </x:c>
      <x:c r="S505" s="369" t="n">
        <x:v>0</x:v>
      </x:c>
      <x:c r="T505" s="370"/>
      <x:c r="U505" s="370"/>
      <x:c r="V505" s="366" t="str">
        <x:v>Une estadística, bases de datos, investigación operativa, aprendizaje automático e IA generativa.</x:v>
      </x:c>
      <x:c r="W505" s="366" t="str">
        <x:v>Alta: práctica vigente</x:v>
      </x:c>
      <x:c r="X505" s="366" t="str">
        <x:v>Presente 2026 y corto (2027–2029)</x:v>
      </x:c>
      <x:c r="Y505" s="366" t="str">
        <x:v>Actual</x:v>
      </x:c>
      <x:c r="Z505" s="366" t="str">
        <x:v>12 meses</x:v>
      </x:c>
      <x:c r="AA505" s="366" t="str">
        <x:v>Modelos multimodales, IA agente, causalidad, privacidad, aprendizaje federado, evaluación y gobernanza.</x:v>
      </x:c>
    </x:row>
    <x:row r="506" ht="58" customHeight="1">
      <x:c r="A506" s="351" t="str">
        <x:v>DAI-049</x:v>
      </x:c>
      <x:c r="B506" s="351" t="n">
        <x:v>7</x:v>
      </x:c>
      <x:c r="C506" s="351" t="str">
        <x:v>Profundización</x:v>
      </x:c>
      <x:c r="D506" s="351" t="str">
        <x:v>Inteligencia artificial y aprendizaje automático</x:v>
      </x:c>
      <x:c r="E506" s="351" t="str">
        <x:v>Datos, BI e IA</x:v>
      </x:c>
      <x:c r="F506" s="351" t="str">
        <x:v>Aprendizaje geométrico y graph neural networks</x:v>
      </x:c>
      <x:c r="G506" s="351" t="str">
        <x:v>Aprendizaje geométrico y graph neural networks. Fundamentos, evaluación rigurosa, implementación, despliegue responsable y aplicaciones.</x:v>
      </x:c>
      <x:c r="H506" s="351" t="str">
        <x:v>DAI-048</x:v>
      </x:c>
      <x:c r="I506" s="351" t="str">
        <x:v>Dominio profesional</x:v>
      </x:c>
      <x:c r="J506" s="351" t="n">
        <x:v>2</x:v>
      </x:c>
      <x:c r="K506" s="351" t="n">
        <x:v>28</x:v>
      </x:c>
      <x:c r="L506" s="351" t="n">
        <x:v>36</x:v>
      </x:c>
      <x:c r="M506" s="351" t="n">
        <x:v>20</x:v>
      </x:c>
      <x:c r="N506" s="352" t="n">
        <x:f>SUM(K506:M506)</x:f>
        <x:v>84</x:v>
      </x:c>
      <x:c r="O506" s="353" t="n">
        <x:f>N506/25</x:f>
        <x:v>3.36</x:v>
      </x:c>
      <x:c r="P506" s="351" t="str">
        <x:v>Modelo evaluado y desplegado: Aprendizaje geométrico y graph neural networks.</x:v>
      </x:c>
      <x:c r="Q506" s="351" t="str">
        <x:v>S01; S07; S12; S18; S19; S20; S38</x:v>
      </x:c>
      <x:c r="R506" s="351" t="str">
        <x:v>No iniciado</x:v>
      </x:c>
      <x:c r="S506" s="354" t="n">
        <x:v>0</x:v>
      </x:c>
      <x:c r="T506" s="355"/>
      <x:c r="U506" s="355"/>
      <x:c r="V506" s="351" t="str">
        <x:v>Une estadística, bases de datos, investigación operativa, aprendizaje automático e IA generativa.</x:v>
      </x:c>
      <x:c r="W506" s="351" t="str">
        <x:v>Alta: práctica vigente</x:v>
      </x:c>
      <x:c r="X506" s="351" t="str">
        <x:v>Presente 2026 y corto (2027–2029)</x:v>
      </x:c>
      <x:c r="Y506" s="351" t="str">
        <x:v>Actual</x:v>
      </x:c>
      <x:c r="Z506" s="351" t="str">
        <x:v>12 meses</x:v>
      </x:c>
      <x:c r="AA506" s="351" t="str">
        <x:v>Modelos multimodales, IA agente, causalidad, privacidad, aprendizaje federado, evaluación y gobernanza.</x:v>
      </x:c>
    </x:row>
    <x:row r="507" ht="58" customHeight="1">
      <x:c r="A507" s="366" t="str">
        <x:v>DAI-050</x:v>
      </x:c>
      <x:c r="B507" s="366" t="n">
        <x:v>7</x:v>
      </x:c>
      <x:c r="C507" s="366" t="str">
        <x:v>Profundización</x:v>
      </x:c>
      <x:c r="D507" s="366" t="str">
        <x:v>Inteligencia artificial y aprendizaje automático</x:v>
      </x:c>
      <x:c r="E507" s="366" t="str">
        <x:v>Datos, BI e IA</x:v>
      </x:c>
      <x:c r="F507" s="366" t="str">
        <x:v>Optimización para ML</x:v>
      </x:c>
      <x:c r="G507" s="366" t="str">
        <x:v>Optimización para ML. Fundamentos, evaluación rigurosa, implementación, despliegue responsable y aplicaciones.</x:v>
      </x:c>
      <x:c r="H507" s="366" t="str">
        <x:v>DAI-049</x:v>
      </x:c>
      <x:c r="I507" s="366" t="str">
        <x:v>Dominio profesional</x:v>
      </x:c>
      <x:c r="J507" s="366" t="n">
        <x:v>2</x:v>
      </x:c>
      <x:c r="K507" s="366" t="n">
        <x:v>28</x:v>
      </x:c>
      <x:c r="L507" s="366" t="n">
        <x:v>36</x:v>
      </x:c>
      <x:c r="M507" s="366" t="n">
        <x:v>20</x:v>
      </x:c>
      <x:c r="N507" s="367" t="n">
        <x:f>SUM(K507:M507)</x:f>
        <x:v>84</x:v>
      </x:c>
      <x:c r="O507" s="368" t="n">
        <x:f>N507/25</x:f>
        <x:v>3.36</x:v>
      </x:c>
      <x:c r="P507" s="366" t="str">
        <x:v>Modelo evaluado y desplegado: Optimización para ML.</x:v>
      </x:c>
      <x:c r="Q507" s="366" t="str">
        <x:v>S01; S07; S12; S18; S19; S20; S38</x:v>
      </x:c>
      <x:c r="R507" s="366" t="str">
        <x:v>No iniciado</x:v>
      </x:c>
      <x:c r="S507" s="369" t="n">
        <x:v>0</x:v>
      </x:c>
      <x:c r="T507" s="370"/>
      <x:c r="U507" s="370"/>
      <x:c r="V507" s="366" t="str">
        <x:v>Une estadística, bases de datos, investigación operativa, aprendizaje automático e IA generativa.</x:v>
      </x:c>
      <x:c r="W507" s="366" t="str">
        <x:v>Alta: práctica vigente</x:v>
      </x:c>
      <x:c r="X507" s="366" t="str">
        <x:v>Presente 2026 y corto (2027–2029)</x:v>
      </x:c>
      <x:c r="Y507" s="366" t="str">
        <x:v>Actual</x:v>
      </x:c>
      <x:c r="Z507" s="366" t="str">
        <x:v>12 meses</x:v>
      </x:c>
      <x:c r="AA507" s="366" t="str">
        <x:v>Modelos multimodales, IA agente, causalidad, privacidad, aprendizaje federado, evaluación y gobernanza.</x:v>
      </x:c>
    </x:row>
    <x:row r="508" ht="58" customHeight="1">
      <x:c r="A508" s="351" t="str">
        <x:v>DAI-051</x:v>
      </x:c>
      <x:c r="B508" s="351" t="n">
        <x:v>7</x:v>
      </x:c>
      <x:c r="C508" s="351" t="str">
        <x:v>Profundización</x:v>
      </x:c>
      <x:c r="D508" s="351" t="str">
        <x:v>Inteligencia artificial y aprendizaje automático</x:v>
      </x:c>
      <x:c r="E508" s="351" t="str">
        <x:v>Datos, BI e IA</x:v>
      </x:c>
      <x:c r="F508" s="351" t="str">
        <x:v>Investigación avanzada en IA</x:v>
      </x:c>
      <x:c r="G508" s="351" t="str">
        <x:v>Investigación avanzada en IA. Fundamentos, evaluación rigurosa, implementación, despliegue responsable y aplicaciones.</x:v>
      </x:c>
      <x:c r="H508" s="351" t="str">
        <x:v>DAI-050</x:v>
      </x:c>
      <x:c r="I508" s="351" t="str">
        <x:v>Dominio profesional</x:v>
      </x:c>
      <x:c r="J508" s="351" t="n">
        <x:v>2</x:v>
      </x:c>
      <x:c r="K508" s="351" t="n">
        <x:v>28</x:v>
      </x:c>
      <x:c r="L508" s="351" t="n">
        <x:v>36</x:v>
      </x:c>
      <x:c r="M508" s="351" t="n">
        <x:v>20</x:v>
      </x:c>
      <x:c r="N508" s="352" t="n">
        <x:f>SUM(K508:M508)</x:f>
        <x:v>84</x:v>
      </x:c>
      <x:c r="O508" s="353" t="n">
        <x:f>N508/25</x:f>
        <x:v>3.36</x:v>
      </x:c>
      <x:c r="P508" s="351" t="str">
        <x:v>Modelo evaluado y desplegado: Investigación avanzada en IA.</x:v>
      </x:c>
      <x:c r="Q508" s="351" t="str">
        <x:v>S01; S07; S12; S18; S19; S20; S38</x:v>
      </x:c>
      <x:c r="R508" s="351" t="str">
        <x:v>No iniciado</x:v>
      </x:c>
      <x:c r="S508" s="354" t="n">
        <x:v>0</x:v>
      </x:c>
      <x:c r="T508" s="355"/>
      <x:c r="U508" s="355"/>
      <x:c r="V508" s="351" t="str">
        <x:v>Une estadística, bases de datos, investigación operativa, aprendizaje automático e IA generativa.</x:v>
      </x:c>
      <x:c r="W508" s="351" t="str">
        <x:v>Alta: práctica vigente</x:v>
      </x:c>
      <x:c r="X508" s="351" t="str">
        <x:v>Presente 2026 y corto (2027–2029)</x:v>
      </x:c>
      <x:c r="Y508" s="351" t="str">
        <x:v>Actual</x:v>
      </x:c>
      <x:c r="Z508" s="351" t="str">
        <x:v>12 meses</x:v>
      </x:c>
      <x:c r="AA508" s="351" t="str">
        <x:v>Modelos multimodales, IA agente, causalidad, privacidad, aprendizaje federado, evaluación y gobernanza.</x:v>
      </x:c>
    </x:row>
    <x:row r="509" ht="58" customHeight="1">
      <x:c r="A509" s="366" t="str">
        <x:v>GXR-019</x:v>
      </x:c>
      <x:c r="B509" s="366" t="n">
        <x:v>7</x:v>
      </x:c>
      <x:c r="C509" s="366" t="str">
        <x:v>Profundización</x:v>
      </x:c>
      <x:c r="D509" s="366" t="str">
        <x:v>Computación gráfica, videojuegos y entornos</x:v>
      </x:c>
      <x:c r="E509" s="366" t="str">
        <x:v>Gráficos, juegos y XR</x:v>
      </x:c>
      <x:c r="F509" s="366" t="str">
        <x:v>Fundamentos de realidad virtual y aumentada</x:v>
      </x:c>
      <x:c r="G509" s="366" t="str">
        <x:v>Fundamentos de realidad virtual y aumentada. Matemática visual, interacción en tiempo real, optimización, experiencia y producción.</x:v>
      </x:c>
      <x:c r="H509" s="366" t="str">
        <x:v>GXR-018</x:v>
      </x:c>
      <x:c r="I509" s="366" t="str">
        <x:v>Dominio profesional</x:v>
      </x:c>
      <x:c r="J509" s="366" t="n">
        <x:v>2</x:v>
      </x:c>
      <x:c r="K509" s="366" t="n">
        <x:v>18</x:v>
      </x:c>
      <x:c r="L509" s="366" t="n">
        <x:v>52</x:v>
      </x:c>
      <x:c r="M509" s="366" t="n">
        <x:v>26</x:v>
      </x:c>
      <x:c r="N509" s="367" t="n">
        <x:f>SUM(K509:M509)</x:f>
        <x:v>96</x:v>
      </x:c>
      <x:c r="O509" s="368" t="n">
        <x:f>N509/25</x:f>
        <x:v>3.84</x:v>
      </x:c>
      <x:c r="P509" s="366" t="str">
        <x:v>Demo interactiva: Fundamentos de realidad virtual y aumentada.</x:v>
      </x:c>
      <x:c r="Q509" s="366" t="str">
        <x:v>S01; S12; S18; S20; S22; S23</x:v>
      </x:c>
      <x:c r="R509" s="366" t="str">
        <x:v>No iniciado</x:v>
      </x:c>
      <x:c r="S509" s="369" t="n">
        <x:v>0</x:v>
      </x:c>
      <x:c r="T509" s="370"/>
      <x:c r="U509" s="370"/>
      <x:c r="V509" s="366" t="str">
        <x:v>Combina geometría, óptica, simulación, interacción, animación y cómputo en tiempo real.</x:v>
      </x:c>
      <x:c r="W509" s="366" t="str">
        <x:v>Alta: práctica vigente</x:v>
      </x:c>
      <x:c r="X509" s="366" t="str">
        <x:v>Presente 2026 y corto (2027–2029)</x:v>
      </x:c>
      <x:c r="Y509" s="366" t="str">
        <x:v>Actual</x:v>
      </x:c>
      <x:c r="Z509" s="366" t="str">
        <x:v>12 meses</x:v>
      </x:c>
      <x:c r="AA509" s="366" t="str">
        <x:v>Render neural, computación espacial, captura volumétrica, háptica y mundos persistentes interoperables.</x:v>
      </x:c>
    </x:row>
    <x:row r="510" ht="58" customHeight="1">
      <x:c r="A510" s="351" t="str">
        <x:v>GXR-020</x:v>
      </x:c>
      <x:c r="B510" s="351" t="n">
        <x:v>7</x:v>
      </x:c>
      <x:c r="C510" s="351" t="str">
        <x:v>Profundización</x:v>
      </x:c>
      <x:c r="D510" s="351" t="str">
        <x:v>Computación gráfica, videojuegos y entornos</x:v>
      </x:c>
      <x:c r="E510" s="351" t="str">
        <x:v>Gráficos, juegos y XR</x:v>
      </x:c>
      <x:c r="F510" s="351" t="str">
        <x:v>Desarrollo de realidad virtual</x:v>
      </x:c>
      <x:c r="G510" s="351" t="str">
        <x:v>Desarrollo de realidad virtual. Matemática visual, interacción en tiempo real, optimización, experiencia y producción.</x:v>
      </x:c>
      <x:c r="H510" s="351" t="str">
        <x:v>GXR-019</x:v>
      </x:c>
      <x:c r="I510" s="351" t="str">
        <x:v>Dominio profesional</x:v>
      </x:c>
      <x:c r="J510" s="351" t="n">
        <x:v>2</x:v>
      </x:c>
      <x:c r="K510" s="351" t="n">
        <x:v>18</x:v>
      </x:c>
      <x:c r="L510" s="351" t="n">
        <x:v>52</x:v>
      </x:c>
      <x:c r="M510" s="351" t="n">
        <x:v>26</x:v>
      </x:c>
      <x:c r="N510" s="352" t="n">
        <x:f>SUM(K510:M510)</x:f>
        <x:v>96</x:v>
      </x:c>
      <x:c r="O510" s="353" t="n">
        <x:f>N510/25</x:f>
        <x:v>3.84</x:v>
      </x:c>
      <x:c r="P510" s="351" t="str">
        <x:v>Demo interactiva: Desarrollo de realidad virtual.</x:v>
      </x:c>
      <x:c r="Q510" s="351" t="str">
        <x:v>S01; S12; S18; S20; S22; S23</x:v>
      </x:c>
      <x:c r="R510" s="351" t="str">
        <x:v>No iniciado</x:v>
      </x:c>
      <x:c r="S510" s="354" t="n">
        <x:v>0</x:v>
      </x:c>
      <x:c r="T510" s="355"/>
      <x:c r="U510" s="355"/>
      <x:c r="V510" s="351" t="str">
        <x:v>Combina geometría, óptica, simulación, interacción, animación y cómputo en tiempo real.</x:v>
      </x:c>
      <x:c r="W510" s="351" t="str">
        <x:v>Alta: práctica vigente</x:v>
      </x:c>
      <x:c r="X510" s="351" t="str">
        <x:v>Presente 2026 y corto (2027–2029)</x:v>
      </x:c>
      <x:c r="Y510" s="351" t="str">
        <x:v>Actual</x:v>
      </x:c>
      <x:c r="Z510" s="351" t="str">
        <x:v>12 meses</x:v>
      </x:c>
      <x:c r="AA510" s="351" t="str">
        <x:v>Render neural, computación espacial, captura volumétrica, háptica y mundos persistentes interoperables.</x:v>
      </x:c>
    </x:row>
    <x:row r="511" ht="58" customHeight="1">
      <x:c r="A511" s="366" t="str">
        <x:v>GXR-021</x:v>
      </x:c>
      <x:c r="B511" s="366" t="n">
        <x:v>7</x:v>
      </x:c>
      <x:c r="C511" s="366" t="str">
        <x:v>Profundización</x:v>
      </x:c>
      <x:c r="D511" s="366" t="str">
        <x:v>Computación gráfica, videojuegos y entornos</x:v>
      </x:c>
      <x:c r="E511" s="366" t="str">
        <x:v>Gráficos, juegos y XR</x:v>
      </x:c>
      <x:c r="F511" s="366" t="str">
        <x:v>Desarrollo de realidad aumentada</x:v>
      </x:c>
      <x:c r="G511" s="366" t="str">
        <x:v>Desarrollo de realidad aumentada. Matemática visual, interacción en tiempo real, optimización, experiencia y producción.</x:v>
      </x:c>
      <x:c r="H511" s="366" t="str">
        <x:v>GXR-020</x:v>
      </x:c>
      <x:c r="I511" s="366" t="str">
        <x:v>Dominio profesional</x:v>
      </x:c>
      <x:c r="J511" s="366" t="n">
        <x:v>2</x:v>
      </x:c>
      <x:c r="K511" s="366" t="n">
        <x:v>18</x:v>
      </x:c>
      <x:c r="L511" s="366" t="n">
        <x:v>52</x:v>
      </x:c>
      <x:c r="M511" s="366" t="n">
        <x:v>26</x:v>
      </x:c>
      <x:c r="N511" s="367" t="n">
        <x:f>SUM(K511:M511)</x:f>
        <x:v>96</x:v>
      </x:c>
      <x:c r="O511" s="368" t="n">
        <x:f>N511/25</x:f>
        <x:v>3.84</x:v>
      </x:c>
      <x:c r="P511" s="366" t="str">
        <x:v>Demo interactiva: Desarrollo de realidad aumentada.</x:v>
      </x:c>
      <x:c r="Q511" s="366" t="str">
        <x:v>S01; S12; S18; S20; S22; S23</x:v>
      </x:c>
      <x:c r="R511" s="366" t="str">
        <x:v>No iniciado</x:v>
      </x:c>
      <x:c r="S511" s="369" t="n">
        <x:v>0</x:v>
      </x:c>
      <x:c r="T511" s="370"/>
      <x:c r="U511" s="370"/>
      <x:c r="V511" s="366" t="str">
        <x:v>Combina geometría, óptica, simulación, interacción, animación y cómputo en tiempo real.</x:v>
      </x:c>
      <x:c r="W511" s="366" t="str">
        <x:v>Alta: práctica vigente</x:v>
      </x:c>
      <x:c r="X511" s="366" t="str">
        <x:v>Presente 2026 y corto (2027–2029)</x:v>
      </x:c>
      <x:c r="Y511" s="366" t="str">
        <x:v>Actual</x:v>
      </x:c>
      <x:c r="Z511" s="366" t="str">
        <x:v>12 meses</x:v>
      </x:c>
      <x:c r="AA511" s="366" t="str">
        <x:v>Render neural, computación espacial, captura volumétrica, háptica y mundos persistentes interoperables.</x:v>
      </x:c>
    </x:row>
    <x:row r="512" ht="58" customHeight="1">
      <x:c r="A512" s="351" t="str">
        <x:v>GXR-022</x:v>
      </x:c>
      <x:c r="B512" s="351" t="n">
        <x:v>7</x:v>
      </x:c>
      <x:c r="C512" s="351" t="str">
        <x:v>Profundización</x:v>
      </x:c>
      <x:c r="D512" s="351" t="str">
        <x:v>Computación gráfica, videojuegos y entornos</x:v>
      </x:c>
      <x:c r="E512" s="351" t="str">
        <x:v>Gráficos, juegos y XR</x:v>
      </x:c>
      <x:c r="F512" s="351" t="str">
        <x:v>Computación espacial y realidad mixta</x:v>
      </x:c>
      <x:c r="G512" s="351" t="str">
        <x:v>Computación espacial y realidad mixta. Matemática visual, interacción en tiempo real, optimización, experiencia y producción.</x:v>
      </x:c>
      <x:c r="H512" s="351" t="str">
        <x:v>GXR-021</x:v>
      </x:c>
      <x:c r="I512" s="351" t="str">
        <x:v>Dominio profesional</x:v>
      </x:c>
      <x:c r="J512" s="351" t="n">
        <x:v>2</x:v>
      </x:c>
      <x:c r="K512" s="351" t="n">
        <x:v>18</x:v>
      </x:c>
      <x:c r="L512" s="351" t="n">
        <x:v>52</x:v>
      </x:c>
      <x:c r="M512" s="351" t="n">
        <x:v>26</x:v>
      </x:c>
      <x:c r="N512" s="352" t="n">
        <x:f>SUM(K512:M512)</x:f>
        <x:v>96</x:v>
      </x:c>
      <x:c r="O512" s="353" t="n">
        <x:f>N512/25</x:f>
        <x:v>3.84</x:v>
      </x:c>
      <x:c r="P512" s="351" t="str">
        <x:v>Demo interactiva: Computación espacial y realidad mixta.</x:v>
      </x:c>
      <x:c r="Q512" s="351" t="str">
        <x:v>S01; S12; S18; S20; S22; S23</x:v>
      </x:c>
      <x:c r="R512" s="351" t="str">
        <x:v>No iniciado</x:v>
      </x:c>
      <x:c r="S512" s="354" t="n">
        <x:v>0</x:v>
      </x:c>
      <x:c r="T512" s="355"/>
      <x:c r="U512" s="355"/>
      <x:c r="V512" s="351" t="str">
        <x:v>Combina geometría, óptica, simulación, interacción, animación y cómputo en tiempo real.</x:v>
      </x:c>
      <x:c r="W512" s="351" t="str">
        <x:v>Variable: validar evidencia y madurez</x:v>
      </x:c>
      <x:c r="X512" s="351" t="str">
        <x:v>Mediano (2030–2035) y largo (2036–2045)</x:v>
      </x:c>
      <x:c r="Y512" s="351" t="str">
        <x:v>Experimental</x:v>
      </x:c>
      <x:c r="Z512" s="351" t="str">
        <x:v>6 meses</x:v>
      </x:c>
      <x:c r="AA512" s="351" t="str">
        <x:v>Render neural, computación espacial, captura volumétrica, háptica y mundos persistentes interoperables.</x:v>
      </x:c>
    </x:row>
    <x:row r="513" ht="58" customHeight="1">
      <x:c r="A513" s="366" t="str">
        <x:v>GXR-023</x:v>
      </x:c>
      <x:c r="B513" s="366" t="n">
        <x:v>7</x:v>
      </x:c>
      <x:c r="C513" s="366" t="str">
        <x:v>Profundización</x:v>
      </x:c>
      <x:c r="D513" s="366" t="str">
        <x:v>Computación gráfica, videojuegos y entornos</x:v>
      </x:c>
      <x:c r="E513" s="366" t="str">
        <x:v>Gráficos, juegos y XR</x:v>
      </x:c>
      <x:c r="F513" s="366" t="str">
        <x:v>Diseño de interacción XR</x:v>
      </x:c>
      <x:c r="G513" s="366" t="str">
        <x:v>Diseño de interacción XR. Matemática visual, interacción en tiempo real, optimización, experiencia y producción.</x:v>
      </x:c>
      <x:c r="H513" s="366" t="str">
        <x:v>GXR-022</x:v>
      </x:c>
      <x:c r="I513" s="366" t="str">
        <x:v>Dominio profesional</x:v>
      </x:c>
      <x:c r="J513" s="366" t="n">
        <x:v>2</x:v>
      </x:c>
      <x:c r="K513" s="366" t="n">
        <x:v>18</x:v>
      </x:c>
      <x:c r="L513" s="366" t="n">
        <x:v>52</x:v>
      </x:c>
      <x:c r="M513" s="366" t="n">
        <x:v>26</x:v>
      </x:c>
      <x:c r="N513" s="367" t="n">
        <x:f>SUM(K513:M513)</x:f>
        <x:v>96</x:v>
      </x:c>
      <x:c r="O513" s="368" t="n">
        <x:f>N513/25</x:f>
        <x:v>3.84</x:v>
      </x:c>
      <x:c r="P513" s="366" t="str">
        <x:v>Demo interactiva: Diseño de interacción XR.</x:v>
      </x:c>
      <x:c r="Q513" s="366" t="str">
        <x:v>S01; S12; S18; S20; S22; S23</x:v>
      </x:c>
      <x:c r="R513" s="366" t="str">
        <x:v>No iniciado</x:v>
      </x:c>
      <x:c r="S513" s="369" t="n">
        <x:v>0</x:v>
      </x:c>
      <x:c r="T513" s="370"/>
      <x:c r="U513" s="370"/>
      <x:c r="V513" s="366" t="str">
        <x:v>Combina geometría, óptica, simulación, interacción, animación y cómputo en tiempo real.</x:v>
      </x:c>
      <x:c r="W513" s="366" t="str">
        <x:v>Alta: práctica vigente</x:v>
      </x:c>
      <x:c r="X513" s="366" t="str">
        <x:v>Presente 2026 y corto (2027–2029)</x:v>
      </x:c>
      <x:c r="Y513" s="366" t="str">
        <x:v>Actual</x:v>
      </x:c>
      <x:c r="Z513" s="366" t="str">
        <x:v>12 meses</x:v>
      </x:c>
      <x:c r="AA513" s="366" t="str">
        <x:v>Render neural, computación espacial, captura volumétrica, háptica y mundos persistentes interoperables.</x:v>
      </x:c>
    </x:row>
    <x:row r="514" ht="58" customHeight="1">
      <x:c r="A514" s="351" t="str">
        <x:v>GXR-024</x:v>
      </x:c>
      <x:c r="B514" s="351" t="n">
        <x:v>7</x:v>
      </x:c>
      <x:c r="C514" s="351" t="str">
        <x:v>Profundización</x:v>
      </x:c>
      <x:c r="D514" s="351" t="str">
        <x:v>Computación gráfica, videojuegos y entornos</x:v>
      </x:c>
      <x:c r="E514" s="351" t="str">
        <x:v>Gráficos, juegos y XR</x:v>
      </x:c>
      <x:c r="F514" s="351" t="str">
        <x:v>Haptics e interfaces inmersivas</x:v>
      </x:c>
      <x:c r="G514" s="351" t="str">
        <x:v>Haptics e interfaces inmersivas. Matemática visual, interacción en tiempo real, optimización, experiencia y producción.</x:v>
      </x:c>
      <x:c r="H514" s="351" t="str">
        <x:v>GXR-023</x:v>
      </x:c>
      <x:c r="I514" s="351" t="str">
        <x:v>Dominio profesional</x:v>
      </x:c>
      <x:c r="J514" s="351" t="n">
        <x:v>2</x:v>
      </x:c>
      <x:c r="K514" s="351" t="n">
        <x:v>18</x:v>
      </x:c>
      <x:c r="L514" s="351" t="n">
        <x:v>52</x:v>
      </x:c>
      <x:c r="M514" s="351" t="n">
        <x:v>26</x:v>
      </x:c>
      <x:c r="N514" s="352" t="n">
        <x:f>SUM(K514:M514)</x:f>
        <x:v>96</x:v>
      </x:c>
      <x:c r="O514" s="353" t="n">
        <x:f>N514/25</x:f>
        <x:v>3.84</x:v>
      </x:c>
      <x:c r="P514" s="351" t="str">
        <x:v>Demo interactiva: Haptics e interfaces inmersivas.</x:v>
      </x:c>
      <x:c r="Q514" s="351" t="str">
        <x:v>S01; S12; S18; S20; S22; S23</x:v>
      </x:c>
      <x:c r="R514" s="351" t="str">
        <x:v>No iniciado</x:v>
      </x:c>
      <x:c r="S514" s="354" t="n">
        <x:v>0</x:v>
      </x:c>
      <x:c r="T514" s="355"/>
      <x:c r="U514" s="355"/>
      <x:c r="V514" s="351" t="str">
        <x:v>Combina geometría, óptica, simulación, interacción, animación y cómputo en tiempo real.</x:v>
      </x:c>
      <x:c r="W514" s="351" t="str">
        <x:v>Alta: práctica vigente</x:v>
      </x:c>
      <x:c r="X514" s="351" t="str">
        <x:v>Presente 2026 y corto (2027–2029)</x:v>
      </x:c>
      <x:c r="Y514" s="351" t="str">
        <x:v>Actual</x:v>
      </x:c>
      <x:c r="Z514" s="351" t="str">
        <x:v>12 meses</x:v>
      </x:c>
      <x:c r="AA514" s="351" t="str">
        <x:v>Render neural, computación espacial, captura volumétrica, háptica y mundos persistentes interoperables.</x:v>
      </x:c>
    </x:row>
    <x:row r="515" ht="58" customHeight="1">
      <x:c r="A515" s="366" t="str">
        <x:v>CAP-019</x:v>
      </x:c>
      <x:c r="B515" s="366" t="n">
        <x:v>7</x:v>
      </x:c>
      <x:c r="C515" s="366" t="str">
        <x:v>Profundización</x:v>
      </x:c>
      <x:c r="D515" s="366" t="str">
        <x:v>Proyectos integradores</x:v>
      </x:c>
      <x:c r="E515" s="366" t="str">
        <x:v>Investigación, profesión y capstones</x:v>
      </x:c>
      <x:c r="F515" s="366" t="str">
        <x:v>Capstone VII: IA aplicada</x:v>
      </x:c>
      <x:c r="G515" s="366" t="str">
        <x:v>Capstone VII: IA aplicada. Problema real, requisitos, diseño, implementación, validación, documentación, ética y defensa pública.</x:v>
      </x:c>
      <x:c r="H515" s="366" t="str">
        <x:v>CAP-018</x:v>
      </x:c>
      <x:c r="I515" s="366" t="str">
        <x:v>Núcleo esencial</x:v>
      </x:c>
      <x:c r="J515" s="366" t="n">
        <x:v>1</x:v>
      </x:c>
      <x:c r="K515" s="366" t="n">
        <x:v>20</x:v>
      </x:c>
      <x:c r="L515" s="366" t="n">
        <x:v>24</x:v>
      </x:c>
      <x:c r="M515" s="366" t="n">
        <x:v>56</x:v>
      </x:c>
      <x:c r="N515" s="367" t="n">
        <x:f>SUM(K515:M515)</x:f>
        <x:v>100</x:v>
      </x:c>
      <x:c r="O515" s="368" t="n">
        <x:f>N515/25</x:f>
        <x:v>4</x:v>
      </x:c>
      <x:c r="P515" s="366" t="str">
        <x:v>Capstone integral: Capstone VII: IA aplicada.</x:v>
      </x:c>
      <x:c r="Q515" s="366" t="str">
        <x:v>S03; S04; S09; S11; S12; S18</x:v>
      </x:c>
      <x:c r="R515" s="366" t="str">
        <x:v>No iniciado</x:v>
      </x:c>
      <x:c r="S515" s="369" t="n">
        <x:v>0</x:v>
      </x:c>
      <x:c r="T515" s="370"/>
      <x:c r="U515" s="370"/>
      <x:c r="V515" s="366" t="str">
        <x:v>Hereda método científico, ingeniería, revisión por pares, ética profesional e innovación.</x:v>
      </x:c>
      <x:c r="W515" s="366" t="str">
        <x:v>Muy alta: fundamento durable</x:v>
      </x:c>
      <x:c r="X515" s="366" t="str">
        <x:v>Presente 2026 y corto (2027–2029)</x:v>
      </x:c>
      <x:c r="Y515" s="366" t="str">
        <x:v>Actual</x:v>
      </x:c>
      <x:c r="Z515" s="366" t="str">
        <x:v>12 meses</x:v>
      </x:c>
      <x:c r="AA515" s="366" t="str">
        <x:v>Ciencia asistida por IA, inteligencia de patentes/estándares y actualización curricular basada en señales.</x:v>
      </x:c>
    </x:row>
    <x:row r="516" ht="58" customHeight="1">
      <x:c r="A516" s="351" t="str">
        <x:v>CAP-020</x:v>
      </x:c>
      <x:c r="B516" s="351" t="n">
        <x:v>7</x:v>
      </x:c>
      <x:c r="C516" s="351" t="str">
        <x:v>Profundización</x:v>
      </x:c>
      <x:c r="D516" s="351" t="str">
        <x:v>Proyectos integradores</x:v>
      </x:c>
      <x:c r="E516" s="351" t="str">
        <x:v>Investigación, profesión y capstones</x:v>
      </x:c>
      <x:c r="F516" s="351" t="str">
        <x:v>Capstone VIII: multimedia, juegos o XR</x:v>
      </x:c>
      <x:c r="G516" s="351" t="str">
        <x:v>Capstone VIII: multimedia, juegos o XR. Problema real, requisitos, diseño, implementación, validación, documentación, ética y defensa pública.</x:v>
      </x:c>
      <x:c r="H516" s="351" t="str">
        <x:v>CAP-019</x:v>
      </x:c>
      <x:c r="I516" s="351" t="str">
        <x:v>Núcleo esencial</x:v>
      </x:c>
      <x:c r="J516" s="351" t="n">
        <x:v>1</x:v>
      </x:c>
      <x:c r="K516" s="351" t="n">
        <x:v>20</x:v>
      </x:c>
      <x:c r="L516" s="351" t="n">
        <x:v>24</x:v>
      </x:c>
      <x:c r="M516" s="351" t="n">
        <x:v>56</x:v>
      </x:c>
      <x:c r="N516" s="352" t="n">
        <x:f>SUM(K516:M516)</x:f>
        <x:v>100</x:v>
      </x:c>
      <x:c r="O516" s="353" t="n">
        <x:f>N516/25</x:f>
        <x:v>4</x:v>
      </x:c>
      <x:c r="P516" s="351" t="str">
        <x:v>Capstone integral: Capstone VIII: multimedia, juegos o XR.</x:v>
      </x:c>
      <x:c r="Q516" s="351" t="str">
        <x:v>S03; S04; S09; S11; S12; S18</x:v>
      </x:c>
      <x:c r="R516" s="351" t="str">
        <x:v>No iniciado</x:v>
      </x:c>
      <x:c r="S516" s="354" t="n">
        <x:v>0</x:v>
      </x:c>
      <x:c r="T516" s="355"/>
      <x:c r="U516" s="355"/>
      <x:c r="V516" s="351" t="str">
        <x:v>Hereda método científico, ingeniería, revisión por pares, ética profesional e innovación.</x:v>
      </x:c>
      <x:c r="W516" s="351" t="str">
        <x:v>Muy alta: fundamento durable</x:v>
      </x:c>
      <x:c r="X516" s="351" t="str">
        <x:v>Presente 2026 y corto (2027–2029)</x:v>
      </x:c>
      <x:c r="Y516" s="351" t="str">
        <x:v>Actual</x:v>
      </x:c>
      <x:c r="Z516" s="351" t="str">
        <x:v>12 meses</x:v>
      </x:c>
      <x:c r="AA516" s="351" t="str">
        <x:v>Ciencia asistida por IA, inteligencia de patentes/estándares y actualización curricular basada en señales.</x:v>
      </x:c>
    </x:row>
    <x:row r="517" ht="58" customHeight="1">
      <x:c r="A517" s="366" t="str">
        <x:v>CAP-029</x:v>
      </x:c>
      <x:c r="B517" s="366" t="n">
        <x:v>7</x:v>
      </x:c>
      <x:c r="C517" s="366" t="str">
        <x:v>Profundización</x:v>
      </x:c>
      <x:c r="D517" s="366" t="str">
        <x:v>Historia, prospectiva y vigilancia tecnológica</x:v>
      </x:c>
      <x:c r="E517" s="366" t="str">
        <x:v>Investigación, profesión y capstones</x:v>
      </x:c>
      <x:c r="F517" s="366" t="str">
        <x:v>Revisión sistemática, bibliometría y cienciometría</x:v>
      </x:c>
      <x:c r="G517" s="366" t="str">
        <x:v>Revisión sistemática, bibliometría y cienciometría. Reconstrucción histórica, análisis de evidencia, escenarios alternativos, señales tempranas, madurez tecnológica y revisión periódica de decisiones.</x:v>
      </x:c>
      <x:c r="H517" s="366" t="str">
        <x:v>CAP-028</x:v>
      </x:c>
      <x:c r="I517" s="366" t="str">
        <x:v>Núcleo esencial</x:v>
      </x:c>
      <x:c r="J517" s="366" t="n">
        <x:v>1</x:v>
      </x:c>
      <x:c r="K517" s="366" t="n">
        <x:v>20</x:v>
      </x:c>
      <x:c r="L517" s="366" t="n">
        <x:v>24</x:v>
      </x:c>
      <x:c r="M517" s="366" t="n">
        <x:v>56</x:v>
      </x:c>
      <x:c r="N517" s="367" t="n">
        <x:f>SUM(K517:M517)</x:f>
        <x:v>100</x:v>
      </x:c>
      <x:c r="O517" s="368" t="n">
        <x:f>N517/25</x:f>
        <x:v>4</x:v>
      </x:c>
      <x:c r="P517" s="366" t="str">
        <x:v>Dossier temporal y radar auditado: Revisión sistemática, bibliometría y cienciometría.</x:v>
      </x:c>
      <x:c r="Q517" s="366" t="str">
        <x:v>S50; S51; S52; S53; S54; S61; S62; S63; S64; S67; S68</x:v>
      </x:c>
      <x:c r="R517" s="366" t="str">
        <x:v>No iniciado</x:v>
      </x:c>
      <x:c r="S517" s="369" t="n">
        <x:v>0</x:v>
      </x:c>
      <x:c r="T517" s="370"/>
      <x:c r="U517" s="370"/>
      <x:c r="V517" s="366" t="str">
        <x:v>Hereda método científico, ingeniería, revisión por pares, ética profesional e innovación.</x:v>
      </x:c>
      <x:c r="W517" s="366" t="str">
        <x:v>Muy alta: fundamento durable</x:v>
      </x:c>
      <x:c r="X517" s="366" t="str">
        <x:v>Presente 2026 y corto (2027–2029)</x:v>
      </x:c>
      <x:c r="Y517" s="366" t="str">
        <x:v>Actual</x:v>
      </x:c>
      <x:c r="Z517" s="366" t="str">
        <x:v>12 meses</x:v>
      </x:c>
      <x:c r="AA517" s="366" t="str">
        <x:v>Ciencia asistida por IA, inteligencia de patentes/estándares y actualización curricular basada en señales.</x:v>
      </x:c>
    </x:row>
    <x:row r="518" ht="58" customHeight="1">
      <x:c r="A518" s="351" t="str">
        <x:v>CAP-030</x:v>
      </x:c>
      <x:c r="B518" s="351" t="n">
        <x:v>7</x:v>
      </x:c>
      <x:c r="C518" s="351" t="str">
        <x:v>Profundización</x:v>
      </x:c>
      <x:c r="D518" s="351" t="str">
        <x:v>Historia, prospectiva y vigilancia tecnológica</x:v>
      </x:c>
      <x:c r="E518" s="351" t="str">
        <x:v>Investigación, profesión y capstones</x:v>
      </x:c>
      <x:c r="F518" s="351" t="str">
        <x:v>Inteligencia de patentes, estándares y regulación</x:v>
      </x:c>
      <x:c r="G518" s="351" t="str">
        <x:v>Inteligencia de patentes, estándares y regulación. Reconstrucción histórica, análisis de evidencia, escenarios alternativos, señales tempranas, madurez tecnológica y revisión periódica de decisiones.</x:v>
      </x:c>
      <x:c r="H518" s="351" t="str">
        <x:v>CAP-029</x:v>
      </x:c>
      <x:c r="I518" s="351" t="str">
        <x:v>Núcleo esencial</x:v>
      </x:c>
      <x:c r="J518" s="351" t="n">
        <x:v>1</x:v>
      </x:c>
      <x:c r="K518" s="351" t="n">
        <x:v>20</x:v>
      </x:c>
      <x:c r="L518" s="351" t="n">
        <x:v>24</x:v>
      </x:c>
      <x:c r="M518" s="351" t="n">
        <x:v>56</x:v>
      </x:c>
      <x:c r="N518" s="352" t="n">
        <x:f>SUM(K518:M518)</x:f>
        <x:v>100</x:v>
      </x:c>
      <x:c r="O518" s="353" t="n">
        <x:f>N518/25</x:f>
        <x:v>4</x:v>
      </x:c>
      <x:c r="P518" s="351" t="str">
        <x:v>Dossier temporal y radar auditado: Inteligencia de patentes, estándares y regulación.</x:v>
      </x:c>
      <x:c r="Q518" s="351" t="str">
        <x:v>S50; S51; S52; S53; S54; S61; S62; S63; S64; S67; S68</x:v>
      </x:c>
      <x:c r="R518" s="351" t="str">
        <x:v>No iniciado</x:v>
      </x:c>
      <x:c r="S518" s="354" t="n">
        <x:v>0</x:v>
      </x:c>
      <x:c r="T518" s="355"/>
      <x:c r="U518" s="355"/>
      <x:c r="V518" s="351" t="str">
        <x:v>Hereda método científico, ingeniería, revisión por pares, ética profesional e innovación.</x:v>
      </x:c>
      <x:c r="W518" s="351" t="str">
        <x:v>Muy alta: fundamento durable</x:v>
      </x:c>
      <x:c r="X518" s="351" t="str">
        <x:v>Presente 2026 y corto (2027–2029)</x:v>
      </x:c>
      <x:c r="Y518" s="351" t="str">
        <x:v>Actual</x:v>
      </x:c>
      <x:c r="Z518" s="351" t="str">
        <x:v>12 meses</x:v>
      </x:c>
      <x:c r="AA518" s="351" t="str">
        <x:v>Ciencia asistida por IA, inteligencia de patentes/estándares y actualización curricular basada en señales.</x:v>
      </x:c>
    </x:row>
    <x:row r="519" ht="58" customHeight="1">
      <x:c r="A519" s="366" t="str">
        <x:v>BIO-013</x:v>
      </x:c>
      <x:c r="B519" s="366" t="n">
        <x:v>8</x:v>
      </x:c>
      <x:c r="C519" s="366" t="str">
        <x:v>Interdisciplinariedad</x:v>
      </x:c>
      <x:c r="D519" s="366" t="str">
        <x:v>Bioinformática y biología computacional</x:v>
      </x:c>
      <x:c r="E519" s="366" t="str">
        <x:v>Bioinformática y salud digital</x:v>
      </x:c>
      <x:c r="F519" s="366" t="str">
        <x:v>Bases de datos biológicas</x:v>
      </x:c>
      <x:c r="G519" s="366" t="str">
        <x:v>Bases de datos biológicas. Biología molecular, datos ómicos, algoritmos, reproducibilidad y ética.</x:v>
      </x:c>
      <x:c r="H519" s="366" t="str">
        <x:v>BIO-012</x:v>
      </x:c>
      <x:c r="I519" s="366" t="str">
        <x:v>Frontera/adyacente</x:v>
      </x:c>
      <x:c r="J519" s="366" t="n">
        <x:v>3</x:v>
      </x:c>
      <x:c r="K519" s="366" t="n">
        <x:v>28</x:v>
      </x:c>
      <x:c r="L519" s="366" t="n">
        <x:v>36</x:v>
      </x:c>
      <x:c r="M519" s="366" t="n">
        <x:v>20</x:v>
      </x:c>
      <x:c r="N519" s="367" t="n">
        <x:f>SUM(K519:M519)</x:f>
        <x:v>84</x:v>
      </x:c>
      <x:c r="O519" s="368" t="n">
        <x:f>N519/25</x:f>
        <x:v>3.36</x:v>
      </x:c>
      <x:c r="P519" s="366" t="str">
        <x:v>Pipeline bioinformático: Bases de datos biológicas.</x:v>
      </x:c>
      <x:c r="Q519" s="366" t="str">
        <x:v>S12; S20; S39</x:v>
      </x:c>
      <x:c r="R519" s="366" t="str">
        <x:v>No iniciado</x:v>
      </x:c>
      <x:c r="S519" s="369" t="n">
        <x:v>0</x:v>
      </x:c>
      <x:c r="T519" s="370"/>
      <x:c r="U519" s="370"/>
      <x:c r="V519" s="366" t="str">
        <x:v>Une biología molecular, medicina, estadística, computación y gestión clínica de información.</x:v>
      </x:c>
      <x:c r="W519" s="366" t="str">
        <x:v>Variable: validar evidencia y madurez</x:v>
      </x:c>
      <x:c r="X519" s="366" t="str">
        <x:v>Corto (2027–2029) y mediano (2030–2035)</x:v>
      </x:c>
      <x:c r="Y519" s="366" t="str">
        <x:v>Emergente</x:v>
      </x:c>
      <x:c r="Z519" s="366" t="str">
        <x:v>6 meses</x:v>
      </x:c>
      <x:c r="AA519" s="366" t="str">
        <x:v>Multi-ómica, modelos fundacionales biomédicos, biomarcadores digitales, federación e interfaces neurales.</x:v>
      </x:c>
    </x:row>
    <x:row r="520" ht="58" customHeight="1">
      <x:c r="A520" s="351" t="str">
        <x:v>BIO-014</x:v>
      </x:c>
      <x:c r="B520" s="351" t="n">
        <x:v>8</x:v>
      </x:c>
      <x:c r="C520" s="351" t="str">
        <x:v>Interdisciplinariedad</x:v>
      </x:c>
      <x:c r="D520" s="351" t="str">
        <x:v>Bioinformática y biología computacional</x:v>
      </x:c>
      <x:c r="E520" s="351" t="str">
        <x:v>Bioinformática y salud digital</x:v>
      </x:c>
      <x:c r="F520" s="351" t="str">
        <x:v>Reproducibilidad y flujos científicos</x:v>
      </x:c>
      <x:c r="G520" s="351" t="str">
        <x:v>Reproducibilidad y flujos científicos. Biología molecular, datos ómicos, algoritmos, reproducibilidad y ética.</x:v>
      </x:c>
      <x:c r="H520" s="351" t="str">
        <x:v>BIO-013</x:v>
      </x:c>
      <x:c r="I520" s="351" t="str">
        <x:v>Frontera/adyacente</x:v>
      </x:c>
      <x:c r="J520" s="351" t="n">
        <x:v>3</x:v>
      </x:c>
      <x:c r="K520" s="351" t="n">
        <x:v>28</x:v>
      </x:c>
      <x:c r="L520" s="351" t="n">
        <x:v>36</x:v>
      </x:c>
      <x:c r="M520" s="351" t="n">
        <x:v>20</x:v>
      </x:c>
      <x:c r="N520" s="352" t="n">
        <x:f>SUM(K520:M520)</x:f>
        <x:v>84</x:v>
      </x:c>
      <x:c r="O520" s="353" t="n">
        <x:f>N520/25</x:f>
        <x:v>3.36</x:v>
      </x:c>
      <x:c r="P520" s="351" t="str">
        <x:v>Pipeline bioinformático: Reproducibilidad y flujos científicos.</x:v>
      </x:c>
      <x:c r="Q520" s="351" t="str">
        <x:v>S12; S20; S39</x:v>
      </x:c>
      <x:c r="R520" s="351" t="str">
        <x:v>No iniciado</x:v>
      </x:c>
      <x:c r="S520" s="354" t="n">
        <x:v>0</x:v>
      </x:c>
      <x:c r="T520" s="355"/>
      <x:c r="U520" s="355"/>
      <x:c r="V520" s="351" t="str">
        <x:v>Une biología molecular, medicina, estadística, computación y gestión clínica de información.</x:v>
      </x:c>
      <x:c r="W520" s="351" t="str">
        <x:v>Variable: validar evidencia y madurez</x:v>
      </x:c>
      <x:c r="X520" s="351" t="str">
        <x:v>Corto (2027–2029) y mediano (2030–2035)</x:v>
      </x:c>
      <x:c r="Y520" s="351" t="str">
        <x:v>Emergente</x:v>
      </x:c>
      <x:c r="Z520" s="351" t="str">
        <x:v>6 meses</x:v>
      </x:c>
      <x:c r="AA520" s="351" t="str">
        <x:v>Multi-ómica, modelos fundacionales biomédicos, biomarcadores digitales, federación e interfaces neurales.</x:v>
      </x:c>
    </x:row>
    <x:row r="521" ht="58" customHeight="1">
      <x:c r="A521" s="366" t="str">
        <x:v>BIO-027</x:v>
      </x:c>
      <x:c r="B521" s="366" t="n">
        <x:v>8</x:v>
      </x:c>
      <x:c r="C521" s="366" t="str">
        <x:v>Interdisciplinariedad</x:v>
      </x:c>
      <x:c r="D521" s="366" t="str">
        <x:v>Informática médica y salud digital</x:v>
      </x:c>
      <x:c r="E521" s="366" t="str">
        <x:v>Bioinformática y salud digital</x:v>
      </x:c>
      <x:c r="F521" s="366" t="str">
        <x:v>Gestión y transformación digital sanitaria</x:v>
      </x:c>
      <x:c r="G521" s="366" t="str">
        <x:v>Gestión y transformación digital sanitaria. Información clínica, interoperabilidad, decisión, seguridad, regulación y transformación sanitaria.</x:v>
      </x:c>
      <x:c r="H521" s="366" t="str">
        <x:v>BIO-026</x:v>
      </x:c>
      <x:c r="I521" s="366" t="str">
        <x:v>Frontera/adyacente</x:v>
      </x:c>
      <x:c r="J521" s="366" t="n">
        <x:v>3</x:v>
      </x:c>
      <x:c r="K521" s="366" t="n">
        <x:v>28</x:v>
      </x:c>
      <x:c r="L521" s="366" t="n">
        <x:v>36</x:v>
      </x:c>
      <x:c r="M521" s="366" t="n">
        <x:v>20</x:v>
      </x:c>
      <x:c r="N521" s="367" t="n">
        <x:f>SUM(K521:M521)</x:f>
        <x:v>84</x:v>
      </x:c>
      <x:c r="O521" s="368" t="n">
        <x:f>N521/25</x:f>
        <x:v>3.36</x:v>
      </x:c>
      <x:c r="P521" s="366" t="str">
        <x:v>Caso de salud digital: Gestión y transformación digital sanitaria.</x:v>
      </x:c>
      <x:c r="Q521" s="366" t="str">
        <x:v>S40</x:v>
      </x:c>
      <x:c r="R521" s="366" t="str">
        <x:v>No iniciado</x:v>
      </x:c>
      <x:c r="S521" s="369" t="n">
        <x:v>0</x:v>
      </x:c>
      <x:c r="T521" s="370"/>
      <x:c r="U521" s="370"/>
      <x:c r="V521" s="366" t="str">
        <x:v>Une biología molecular, medicina, estadística, computación y gestión clínica de información.</x:v>
      </x:c>
      <x:c r="W521" s="366" t="str">
        <x:v>Variable: validar evidencia y madurez</x:v>
      </x:c>
      <x:c r="X521" s="366" t="str">
        <x:v>Corto (2027–2029) y mediano (2030–2035)</x:v>
      </x:c>
      <x:c r="Y521" s="366" t="str">
        <x:v>Emergente</x:v>
      </x:c>
      <x:c r="Z521" s="366" t="str">
        <x:v>6 meses</x:v>
      </x:c>
      <x:c r="AA521" s="366" t="str">
        <x:v>Multi-ómica, modelos fundacionales biomédicos, biomarcadores digitales, federación e interfaces neurales.</x:v>
      </x:c>
    </x:row>
    <x:row r="522" ht="58" customHeight="1">
      <x:c r="A522" s="351" t="str">
        <x:v>QUA-006</x:v>
      </x:c>
      <x:c r="B522" s="351" t="n">
        <x:v>8</x:v>
      </x:c>
      <x:c r="C522" s="351" t="str">
        <x:v>Interdisciplinariedad</x:v>
      </x:c>
      <x:c r="D522" s="351" t="str">
        <x:v>Información y computación cuántica</x:v>
      </x:c>
      <x:c r="E522" s="351" t="str">
        <x:v>Computación cuántica</x:v>
      </x:c>
      <x:c r="F522" s="351" t="str">
        <x:v>Complejidad cuántica</x:v>
      </x:c>
      <x:c r="G522" s="351" t="str">
        <x:v>Complejidad cuántica. Formalismo matemático, circuitos, algoritmos, hardware, ruido, seguridad y aplicaciones.</x:v>
      </x:c>
      <x:c r="H522" s="351" t="str">
        <x:v>QUA-005</x:v>
      </x:c>
      <x:c r="I522" s="351" t="str">
        <x:v>Frontera/adyacente</x:v>
      </x:c>
      <x:c r="J522" s="351" t="n">
        <x:v>3</x:v>
      </x:c>
      <x:c r="K522" s="351" t="n">
        <x:v>28</x:v>
      </x:c>
      <x:c r="L522" s="351" t="n">
        <x:v>36</x:v>
      </x:c>
      <x:c r="M522" s="351" t="n">
        <x:v>20</x:v>
      </x:c>
      <x:c r="N522" s="352" t="n">
        <x:f>SUM(K522:M522)</x:f>
        <x:v>84</x:v>
      </x:c>
      <x:c r="O522" s="353" t="n">
        <x:f>N522/25</x:f>
        <x:v>3.36</x:v>
      </x:c>
      <x:c r="P522" s="351" t="str">
        <x:v>Notebook y circuito cuántico: Complejidad cuántica.</x:v>
      </x:c>
      <x:c r="Q522" s="351" t="str">
        <x:v>S10; S14; S20; S41; S42</x:v>
      </x:c>
      <x:c r="R522" s="351" t="str">
        <x:v>No iniciado</x:v>
      </x:c>
      <x:c r="S522" s="354" t="n">
        <x:v>0</x:v>
      </x:c>
      <x:c r="T522" s="355"/>
      <x:c r="U522" s="355"/>
      <x:c r="V522" s="351" t="str">
        <x:v>Parte de mecánica cuántica, teoría de información y algoritmos cuánticos para nuevos modelos de cómputo.</x:v>
      </x:c>
      <x:c r="W522" s="351" t="str">
        <x:v>Variable: validar evidencia y madurez</x:v>
      </x:c>
      <x:c r="X522" s="351" t="str">
        <x:v>Mediano (2030–2035) y largo (2036–2045)</x:v>
      </x:c>
      <x:c r="Y522" s="351" t="str">
        <x:v>Experimental</x:v>
      </x:c>
      <x:c r="Z522" s="351" t="str">
        <x:v>6 meses</x:v>
      </x:c>
      <x:c r="AA522" s="351" t="str">
        <x:v>Corrección de errores, integración con HPC, redes cuánticas y utilidad práctica en nichos aún inciertos.</x:v>
      </x:c>
    </x:row>
    <x:row r="523" ht="58" customHeight="1">
      <x:c r="A523" s="366" t="str">
        <x:v>QUA-007</x:v>
      </x:c>
      <x:c r="B523" s="366" t="n">
        <x:v>8</x:v>
      </x:c>
      <x:c r="C523" s="366" t="str">
        <x:v>Interdisciplinariedad</x:v>
      </x:c>
      <x:c r="D523" s="366" t="str">
        <x:v>Información y computación cuántica</x:v>
      </x:c>
      <x:c r="E523" s="366" t="str">
        <x:v>Computación cuántica</x:v>
      </x:c>
      <x:c r="F523" s="366" t="str">
        <x:v>Comunicación y criptografía cuántica</x:v>
      </x:c>
      <x:c r="G523" s="366" t="str">
        <x:v>Comunicación y criptografía cuántica. Formalismo matemático, circuitos, algoritmos, hardware, ruido, seguridad y aplicaciones.</x:v>
      </x:c>
      <x:c r="H523" s="366" t="str">
        <x:v>QUA-006</x:v>
      </x:c>
      <x:c r="I523" s="366" t="str">
        <x:v>Frontera/adyacente</x:v>
      </x:c>
      <x:c r="J523" s="366" t="n">
        <x:v>3</x:v>
      </x:c>
      <x:c r="K523" s="366" t="n">
        <x:v>28</x:v>
      </x:c>
      <x:c r="L523" s="366" t="n">
        <x:v>36</x:v>
      </x:c>
      <x:c r="M523" s="366" t="n">
        <x:v>20</x:v>
      </x:c>
      <x:c r="N523" s="367" t="n">
        <x:f>SUM(K523:M523)</x:f>
        <x:v>84</x:v>
      </x:c>
      <x:c r="O523" s="368" t="n">
        <x:f>N523/25</x:f>
        <x:v>3.36</x:v>
      </x:c>
      <x:c r="P523" s="366" t="str">
        <x:v>Notebook y circuito cuántico: Comunicación y criptografía cuántica.</x:v>
      </x:c>
      <x:c r="Q523" s="366" t="str">
        <x:v>S10; S14; S20; S41; S42</x:v>
      </x:c>
      <x:c r="R523" s="366" t="str">
        <x:v>No iniciado</x:v>
      </x:c>
      <x:c r="S523" s="369" t="n">
        <x:v>0</x:v>
      </x:c>
      <x:c r="T523" s="370"/>
      <x:c r="U523" s="370"/>
      <x:c r="V523" s="366" t="str">
        <x:v>Parte de mecánica cuántica, teoría de información y algoritmos cuánticos para nuevos modelos de cómputo.</x:v>
      </x:c>
      <x:c r="W523" s="366" t="str">
        <x:v>Variable: validar evidencia y madurez</x:v>
      </x:c>
      <x:c r="X523" s="366" t="str">
        <x:v>Mediano (2030–2035) y largo (2036–2045)</x:v>
      </x:c>
      <x:c r="Y523" s="366" t="str">
        <x:v>Experimental</x:v>
      </x:c>
      <x:c r="Z523" s="366" t="str">
        <x:v>6 meses</x:v>
      </x:c>
      <x:c r="AA523" s="366" t="str">
        <x:v>Corrección de errores, integración con HPC, redes cuánticas y utilidad práctica en nichos aún inciertos.</x:v>
      </x:c>
    </x:row>
    <x:row r="524" ht="58" customHeight="1">
      <x:c r="A524" s="351" t="str">
        <x:v>QUA-008</x:v>
      </x:c>
      <x:c r="B524" s="351" t="n">
        <x:v>8</x:v>
      </x:c>
      <x:c r="C524" s="351" t="str">
        <x:v>Interdisciplinariedad</x:v>
      </x:c>
      <x:c r="D524" s="351" t="str">
        <x:v>Información y computación cuántica</x:v>
      </x:c>
      <x:c r="E524" s="351" t="str">
        <x:v>Computación cuántica</x:v>
      </x:c>
      <x:c r="F524" s="351" t="str">
        <x:v>Corrección de errores cuánticos</x:v>
      </x:c>
      <x:c r="G524" s="351" t="str">
        <x:v>Corrección de errores cuánticos. Formalismo matemático, circuitos, algoritmos, hardware, ruido, seguridad y aplicaciones.</x:v>
      </x:c>
      <x:c r="H524" s="351" t="str">
        <x:v>QUA-007</x:v>
      </x:c>
      <x:c r="I524" s="351" t="str">
        <x:v>Frontera/adyacente</x:v>
      </x:c>
      <x:c r="J524" s="351" t="n">
        <x:v>3</x:v>
      </x:c>
      <x:c r="K524" s="351" t="n">
        <x:v>28</x:v>
      </x:c>
      <x:c r="L524" s="351" t="n">
        <x:v>36</x:v>
      </x:c>
      <x:c r="M524" s="351" t="n">
        <x:v>20</x:v>
      </x:c>
      <x:c r="N524" s="352" t="n">
        <x:f>SUM(K524:M524)</x:f>
        <x:v>84</x:v>
      </x:c>
      <x:c r="O524" s="353" t="n">
        <x:f>N524/25</x:f>
        <x:v>3.36</x:v>
      </x:c>
      <x:c r="P524" s="351" t="str">
        <x:v>Notebook y circuito cuántico: Corrección de errores cuánticos.</x:v>
      </x:c>
      <x:c r="Q524" s="351" t="str">
        <x:v>S10; S14; S20; S41; S42</x:v>
      </x:c>
      <x:c r="R524" s="351" t="str">
        <x:v>No iniciado</x:v>
      </x:c>
      <x:c r="S524" s="354" t="n">
        <x:v>0</x:v>
      </x:c>
      <x:c r="T524" s="355"/>
      <x:c r="U524" s="355"/>
      <x:c r="V524" s="351" t="str">
        <x:v>Parte de mecánica cuántica, teoría de información y algoritmos cuánticos para nuevos modelos de cómputo.</x:v>
      </x:c>
      <x:c r="W524" s="351" t="str">
        <x:v>Variable: validar evidencia y madurez</x:v>
      </x:c>
      <x:c r="X524" s="351" t="str">
        <x:v>Mediano (2030–2035) y largo (2036–2045)</x:v>
      </x:c>
      <x:c r="Y524" s="351" t="str">
        <x:v>Experimental</x:v>
      </x:c>
      <x:c r="Z524" s="351" t="str">
        <x:v>6 meses</x:v>
      </x:c>
      <x:c r="AA524" s="351" t="str">
        <x:v>Corrección de errores, integración con HPC, redes cuánticas y utilidad práctica en nichos aún inciertos.</x:v>
      </x:c>
    </x:row>
    <x:row r="525" ht="58" customHeight="1">
      <x:c r="A525" s="366" t="str">
        <x:v>QUA-009</x:v>
      </x:c>
      <x:c r="B525" s="366" t="n">
        <x:v>8</x:v>
      </x:c>
      <x:c r="C525" s="366" t="str">
        <x:v>Interdisciplinariedad</x:v>
      </x:c>
      <x:c r="D525" s="366" t="str">
        <x:v>Información y computación cuántica</x:v>
      </x:c>
      <x:c r="E525" s="366" t="str">
        <x:v>Computación cuántica</x:v>
      </x:c>
      <x:c r="F525" s="366" t="str">
        <x:v>Hardware y control cuántico</x:v>
      </x:c>
      <x:c r="G525" s="366" t="str">
        <x:v>Hardware y control cuántico. Formalismo matemático, circuitos, algoritmos, hardware, ruido, seguridad y aplicaciones.</x:v>
      </x:c>
      <x:c r="H525" s="366" t="str">
        <x:v>QUA-008</x:v>
      </x:c>
      <x:c r="I525" s="366" t="str">
        <x:v>Frontera/adyacente</x:v>
      </x:c>
      <x:c r="J525" s="366" t="n">
        <x:v>3</x:v>
      </x:c>
      <x:c r="K525" s="366" t="n">
        <x:v>28</x:v>
      </x:c>
      <x:c r="L525" s="366" t="n">
        <x:v>36</x:v>
      </x:c>
      <x:c r="M525" s="366" t="n">
        <x:v>20</x:v>
      </x:c>
      <x:c r="N525" s="367" t="n">
        <x:f>SUM(K525:M525)</x:f>
        <x:v>84</x:v>
      </x:c>
      <x:c r="O525" s="368" t="n">
        <x:f>N525/25</x:f>
        <x:v>3.36</x:v>
      </x:c>
      <x:c r="P525" s="366" t="str">
        <x:v>Notebook y circuito cuántico: Hardware y control cuántico.</x:v>
      </x:c>
      <x:c r="Q525" s="366" t="str">
        <x:v>S10; S14; S20; S41; S42</x:v>
      </x:c>
      <x:c r="R525" s="366" t="str">
        <x:v>No iniciado</x:v>
      </x:c>
      <x:c r="S525" s="369" t="n">
        <x:v>0</x:v>
      </x:c>
      <x:c r="T525" s="370"/>
      <x:c r="U525" s="370"/>
      <x:c r="V525" s="366" t="str">
        <x:v>Parte de mecánica cuántica, teoría de información y algoritmos cuánticos para nuevos modelos de cómputo.</x:v>
      </x:c>
      <x:c r="W525" s="366" t="str">
        <x:v>Variable: validar evidencia y madurez</x:v>
      </x:c>
      <x:c r="X525" s="366" t="str">
        <x:v>Mediano (2030–2035) y largo (2036–2045)</x:v>
      </x:c>
      <x:c r="Y525" s="366" t="str">
        <x:v>Experimental</x:v>
      </x:c>
      <x:c r="Z525" s="366" t="str">
        <x:v>6 meses</x:v>
      </x:c>
      <x:c r="AA525" s="366" t="str">
        <x:v>Corrección de errores, integración con HPC, redes cuánticas y utilidad práctica en nichos aún inciertos.</x:v>
      </x:c>
    </x:row>
    <x:row r="526" ht="58" customHeight="1">
      <x:c r="A526" s="351" t="str">
        <x:v>QUA-010</x:v>
      </x:c>
      <x:c r="B526" s="351" t="n">
        <x:v>8</x:v>
      </x:c>
      <x:c r="C526" s="351" t="str">
        <x:v>Interdisciplinariedad</x:v>
      </x:c>
      <x:c r="D526" s="351" t="str">
        <x:v>Información y computación cuántica</x:v>
      </x:c>
      <x:c r="E526" s="351" t="str">
        <x:v>Computación cuántica</x:v>
      </x:c>
      <x:c r="F526" s="351" t="str">
        <x:v>Computación cuántica tolerante a fallos</x:v>
      </x:c>
      <x:c r="G526" s="351" t="str">
        <x:v>Computación cuántica tolerante a fallos. Formalismo matemático, circuitos, algoritmos, hardware, ruido, seguridad y aplicaciones.</x:v>
      </x:c>
      <x:c r="H526" s="351" t="str">
        <x:v>QUA-009</x:v>
      </x:c>
      <x:c r="I526" s="351" t="str">
        <x:v>Frontera/adyacente</x:v>
      </x:c>
      <x:c r="J526" s="351" t="n">
        <x:v>3</x:v>
      </x:c>
      <x:c r="K526" s="351" t="n">
        <x:v>28</x:v>
      </x:c>
      <x:c r="L526" s="351" t="n">
        <x:v>36</x:v>
      </x:c>
      <x:c r="M526" s="351" t="n">
        <x:v>20</x:v>
      </x:c>
      <x:c r="N526" s="352" t="n">
        <x:f>SUM(K526:M526)</x:f>
        <x:v>84</x:v>
      </x:c>
      <x:c r="O526" s="353" t="n">
        <x:f>N526/25</x:f>
        <x:v>3.36</x:v>
      </x:c>
      <x:c r="P526" s="351" t="str">
        <x:v>Notebook y circuito cuántico: Computación cuántica tolerante a fallos.</x:v>
      </x:c>
      <x:c r="Q526" s="351" t="str">
        <x:v>S10; S14; S20; S41; S42</x:v>
      </x:c>
      <x:c r="R526" s="351" t="str">
        <x:v>No iniciado</x:v>
      </x:c>
      <x:c r="S526" s="354" t="n">
        <x:v>0</x:v>
      </x:c>
      <x:c r="T526" s="355"/>
      <x:c r="U526" s="355"/>
      <x:c r="V526" s="351" t="str">
        <x:v>Parte de mecánica cuántica, teoría de información y algoritmos cuánticos para nuevos modelos de cómputo.</x:v>
      </x:c>
      <x:c r="W526" s="351" t="str">
        <x:v>Variable: validar evidencia y madurez</x:v>
      </x:c>
      <x:c r="X526" s="351" t="str">
        <x:v>Mediano (2030–2035) y largo (2036–2045)</x:v>
      </x:c>
      <x:c r="Y526" s="351" t="str">
        <x:v>Experimental</x:v>
      </x:c>
      <x:c r="Z526" s="351" t="str">
        <x:v>6 meses</x:v>
      </x:c>
      <x:c r="AA526" s="351" t="str">
        <x:v>Corrección de errores, integración con HPC, redes cuánticas y utilidad práctica en nichos aún inciertos.</x:v>
      </x:c>
    </x:row>
    <x:row r="527" ht="58" customHeight="1">
      <x:c r="A527" s="366" t="str">
        <x:v>GXR-025</x:v>
      </x:c>
      <x:c r="B527" s="366" t="n">
        <x:v>8</x:v>
      </x:c>
      <x:c r="C527" s="366" t="str">
        <x:v>Interdisciplinariedad</x:v>
      </x:c>
      <x:c r="D527" s="366" t="str">
        <x:v>Computación gráfica, videojuegos y entornos</x:v>
      </x:c>
      <x:c r="E527" s="366" t="str">
        <x:v>Gráficos, juegos y XR</x:v>
      </x:c>
      <x:c r="F527" s="366" t="str">
        <x:v>Virtual production y escenarios LED</x:v>
      </x:c>
      <x:c r="G527" s="366" t="str">
        <x:v>Virtual production y escenarios LED. Matemática visual, interacción en tiempo real, optimización, experiencia y producción.</x:v>
      </x:c>
      <x:c r="H527" s="366" t="str">
        <x:v>GXR-024</x:v>
      </x:c>
      <x:c r="I527" s="366" t="str">
        <x:v>Dominio profesional</x:v>
      </x:c>
      <x:c r="J527" s="366" t="n">
        <x:v>2</x:v>
      </x:c>
      <x:c r="K527" s="366" t="n">
        <x:v>18</x:v>
      </x:c>
      <x:c r="L527" s="366" t="n">
        <x:v>52</x:v>
      </x:c>
      <x:c r="M527" s="366" t="n">
        <x:v>26</x:v>
      </x:c>
      <x:c r="N527" s="367" t="n">
        <x:f>SUM(K527:M527)</x:f>
        <x:v>96</x:v>
      </x:c>
      <x:c r="O527" s="368" t="n">
        <x:f>N527/25</x:f>
        <x:v>3.84</x:v>
      </x:c>
      <x:c r="P527" s="366" t="str">
        <x:v>Demo interactiva: Virtual production y escenarios LED.</x:v>
      </x:c>
      <x:c r="Q527" s="366" t="str">
        <x:v>S01; S12; S18; S20; S22; S23</x:v>
      </x:c>
      <x:c r="R527" s="366" t="str">
        <x:v>No iniciado</x:v>
      </x:c>
      <x:c r="S527" s="369" t="n">
        <x:v>0</x:v>
      </x:c>
      <x:c r="T527" s="370"/>
      <x:c r="U527" s="370"/>
      <x:c r="V527" s="366" t="str">
        <x:v>Combina geometría, óptica, simulación, interacción, animación y cómputo en tiempo real.</x:v>
      </x:c>
      <x:c r="W527" s="366" t="str">
        <x:v>Variable: validar evidencia y madurez</x:v>
      </x:c>
      <x:c r="X527" s="366" t="str">
        <x:v>Corto (2027–2029) y mediano (2030–2035)</x:v>
      </x:c>
      <x:c r="Y527" s="366" t="str">
        <x:v>Emergente</x:v>
      </x:c>
      <x:c r="Z527" s="366" t="str">
        <x:v>6 meses</x:v>
      </x:c>
      <x:c r="AA527" s="366" t="str">
        <x:v>Render neural, computación espacial, captura volumétrica, háptica y mundos persistentes interoperables.</x:v>
      </x:c>
    </x:row>
    <x:row r="528" ht="58" customHeight="1">
      <x:c r="A528" s="351" t="str">
        <x:v>CAP-021</x:v>
      </x:c>
      <x:c r="B528" s="351" t="n">
        <x:v>8</x:v>
      </x:c>
      <x:c r="C528" s="351" t="str">
        <x:v>Interdisciplinariedad</x:v>
      </x:c>
      <x:c r="D528" s="351" t="str">
        <x:v>Proyectos integradores</x:v>
      </x:c>
      <x:c r="E528" s="351" t="str">
        <x:v>Investigación, profesión y capstones</x:v>
      </x:c>
      <x:c r="F528" s="351" t="str">
        <x:v>Capstone IX: salud, bioinformática o cuántica</x:v>
      </x:c>
      <x:c r="G528" s="351" t="str">
        <x:v>Capstone IX: salud, bioinformática o cuántica. Problema real, requisitos, diseño, implementación, validación, documentación, ética y defensa pública.</x:v>
      </x:c>
      <x:c r="H528" s="351" t="str">
        <x:v>CAP-020</x:v>
      </x:c>
      <x:c r="I528" s="351" t="str">
        <x:v>Núcleo esencial</x:v>
      </x:c>
      <x:c r="J528" s="351" t="n">
        <x:v>1</x:v>
      </x:c>
      <x:c r="K528" s="351" t="n">
        <x:v>20</x:v>
      </x:c>
      <x:c r="L528" s="351" t="n">
        <x:v>24</x:v>
      </x:c>
      <x:c r="M528" s="351" t="n">
        <x:v>56</x:v>
      </x:c>
      <x:c r="N528" s="352" t="n">
        <x:f>SUM(K528:M528)</x:f>
        <x:v>100</x:v>
      </x:c>
      <x:c r="O528" s="353" t="n">
        <x:f>N528/25</x:f>
        <x:v>4</x:v>
      </x:c>
      <x:c r="P528" s="351" t="str">
        <x:v>Capstone integral: Capstone IX: salud, bioinformática o cuántica.</x:v>
      </x:c>
      <x:c r="Q528" s="351" t="str">
        <x:v>S03; S04; S09; S11; S12; S18</x:v>
      </x:c>
      <x:c r="R528" s="351" t="str">
        <x:v>No iniciado</x:v>
      </x:c>
      <x:c r="S528" s="354" t="n">
        <x:v>0</x:v>
      </x:c>
      <x:c r="T528" s="355"/>
      <x:c r="U528" s="355"/>
      <x:c r="V528" s="351" t="str">
        <x:v>Hereda método científico, ingeniería, revisión por pares, ética profesional e innovación.</x:v>
      </x:c>
      <x:c r="W528" s="351" t="str">
        <x:v>Muy alta: fundamento durable</x:v>
      </x:c>
      <x:c r="X528" s="351" t="str">
        <x:v>Mediano (2030–2035) y largo (2036–2045)</x:v>
      </x:c>
      <x:c r="Y528" s="351" t="str">
        <x:v>Experimental</x:v>
      </x:c>
      <x:c r="Z528" s="351" t="str">
        <x:v>6 meses</x:v>
      </x:c>
      <x:c r="AA528" s="351" t="str">
        <x:v>Ciencia asistida por IA, inteligencia de patentes/estándares y actualización curricular basada en señales.</x:v>
      </x:c>
    </x:row>
    <x:row r="529" ht="58" customHeight="1">
      <x:c r="A529" s="366" t="str">
        <x:v>CAP-022</x:v>
      </x:c>
      <x:c r="B529" s="366" t="n">
        <x:v>8</x:v>
      </x:c>
      <x:c r="C529" s="366" t="str">
        <x:v>Interdisciplinariedad</x:v>
      </x:c>
      <x:c r="D529" s="366" t="str">
        <x:v>Proyectos integradores</x:v>
      </x:c>
      <x:c r="E529" s="366" t="str">
        <x:v>Investigación, profesión y capstones</x:v>
      </x:c>
      <x:c r="F529" s="366" t="str">
        <x:v>Capstone final multidisciplinario</x:v>
      </x:c>
      <x:c r="G529" s="366" t="str">
        <x:v>Capstone final multidisciplinario. Problema real, requisitos, diseño, implementación, validación, documentación, ética y defensa pública.</x:v>
      </x:c>
      <x:c r="H529" s="366" t="str">
        <x:v>CAP-021</x:v>
      </x:c>
      <x:c r="I529" s="366" t="str">
        <x:v>Núcleo esencial</x:v>
      </x:c>
      <x:c r="J529" s="366" t="n">
        <x:v>1</x:v>
      </x:c>
      <x:c r="K529" s="366" t="n">
        <x:v>20</x:v>
      </x:c>
      <x:c r="L529" s="366" t="n">
        <x:v>24</x:v>
      </x:c>
      <x:c r="M529" s="366" t="n">
        <x:v>56</x:v>
      </x:c>
      <x:c r="N529" s="367" t="n">
        <x:f>SUM(K529:M529)</x:f>
        <x:v>100</x:v>
      </x:c>
      <x:c r="O529" s="368" t="n">
        <x:f>N529/25</x:f>
        <x:v>4</x:v>
      </x:c>
      <x:c r="P529" s="366" t="str">
        <x:v>Capstone integral: Capstone final multidisciplinario.</x:v>
      </x:c>
      <x:c r="Q529" s="366" t="str">
        <x:v>S03; S04; S09; S11; S12; S18</x:v>
      </x:c>
      <x:c r="R529" s="366" t="str">
        <x:v>No iniciado</x:v>
      </x:c>
      <x:c r="S529" s="369" t="n">
        <x:v>0</x:v>
      </x:c>
      <x:c r="T529" s="370"/>
      <x:c r="U529" s="370"/>
      <x:c r="V529" s="366" t="str">
        <x:v>Hereda método científico, ingeniería, revisión por pares, ética profesional e innovación.</x:v>
      </x:c>
      <x:c r="W529" s="366" t="str">
        <x:v>Muy alta: fundamento durable</x:v>
      </x:c>
      <x:c r="X529" s="366" t="str">
        <x:v>Corto (2027–2029) y mediano (2030–2035)</x:v>
      </x:c>
      <x:c r="Y529" s="366" t="str">
        <x:v>Emergente</x:v>
      </x:c>
      <x:c r="Z529" s="366" t="str">
        <x:v>6 meses</x:v>
      </x:c>
      <x:c r="AA529" s="366" t="str">
        <x:v>Ciencia asistida por IA, inteligencia de patentes/estándares y actualización curricular basada en señales.</x:v>
      </x:c>
    </x:row>
    <x:row r="530" ht="58" customHeight="1">
      <x:c r="A530" s="351" t="str">
        <x:v>CAP-031</x:v>
      </x:c>
      <x:c r="B530" s="351" t="n">
        <x:v>8</x:v>
      </x:c>
      <x:c r="C530" s="351" t="str">
        <x:v>Interdisciplinariedad</x:v>
      </x:c>
      <x:c r="D530" s="351" t="str">
        <x:v>Historia, prospectiva y vigilancia tecnológica</x:v>
      </x:c>
      <x:c r="E530" s="351" t="str">
        <x:v>Investigación, profesión y capstones</x:v>
      </x:c>
      <x:c r="F530" s="351" t="str">
        <x:v>Pronóstico calibrado, incertidumbre y actualización bayesiana</x:v>
      </x:c>
      <x:c r="G530" s="351" t="str">
        <x:v>Pronóstico calibrado, incertidumbre y actualización bayesiana. Reconstrucción histórica, análisis de evidencia, escenarios alternativos, señales tempranas, madurez tecnológica y revisión periódica de decisiones.</x:v>
      </x:c>
      <x:c r="H530" s="351" t="str">
        <x:v>CAP-030</x:v>
      </x:c>
      <x:c r="I530" s="351" t="str">
        <x:v>Núcleo esencial</x:v>
      </x:c>
      <x:c r="J530" s="351" t="n">
        <x:v>1</x:v>
      </x:c>
      <x:c r="K530" s="351" t="n">
        <x:v>20</x:v>
      </x:c>
      <x:c r="L530" s="351" t="n">
        <x:v>24</x:v>
      </x:c>
      <x:c r="M530" s="351" t="n">
        <x:v>56</x:v>
      </x:c>
      <x:c r="N530" s="352" t="n">
        <x:f>SUM(K530:M530)</x:f>
        <x:v>100</x:v>
      </x:c>
      <x:c r="O530" s="353" t="n">
        <x:f>N530/25</x:f>
        <x:v>4</x:v>
      </x:c>
      <x:c r="P530" s="351" t="str">
        <x:v>Dossier temporal y radar auditado: Pronóstico calibrado, incertidumbre y actualización bayesiana.</x:v>
      </x:c>
      <x:c r="Q530" s="351" t="str">
        <x:v>S50; S51; S52; S53; S54; S61; S62; S63; S64; S67; S68</x:v>
      </x:c>
      <x:c r="R530" s="351" t="str">
        <x:v>No iniciado</x:v>
      </x:c>
      <x:c r="S530" s="354" t="n">
        <x:v>0</x:v>
      </x:c>
      <x:c r="T530" s="355"/>
      <x:c r="U530" s="355"/>
      <x:c r="V530" s="351" t="str">
        <x:v>Hereda método científico, ingeniería, revisión por pares, ética profesional e innovación.</x:v>
      </x:c>
      <x:c r="W530" s="351" t="str">
        <x:v>Muy alta: fundamento durable</x:v>
      </x:c>
      <x:c r="X530" s="351" t="str">
        <x:v>Corto (2027–2029) y mediano (2030–2035)</x:v>
      </x:c>
      <x:c r="Y530" s="351" t="str">
        <x:v>Emergente</x:v>
      </x:c>
      <x:c r="Z530" s="351" t="str">
        <x:v>6 meses</x:v>
      </x:c>
      <x:c r="AA530" s="351" t="str">
        <x:v>Ciencia asistida por IA, inteligencia de patentes/estándares y actualización curricular basada en señales.</x:v>
      </x:c>
    </x:row>
    <x:row r="531" ht="58" customHeight="1">
      <x:c r="A531" s="366" t="str">
        <x:v>CAP-032</x:v>
      </x:c>
      <x:c r="B531" s="366" t="n">
        <x:v>8</x:v>
      </x:c>
      <x:c r="C531" s="366" t="str">
        <x:v>Interdisciplinariedad</x:v>
      </x:c>
      <x:c r="D531" s="366" t="str">
        <x:v>Historia, prospectiva y vigilancia tecnológica</x:v>
      </x:c>
      <x:c r="E531" s="366" t="str">
        <x:v>Investigación, profesión y capstones</x:v>
      </x:c>
      <x:c r="F531" s="366" t="str">
        <x:v>Gobernanza de la malla y sistema personal de aprendizaje permanente</x:v>
      </x:c>
      <x:c r="G531" s="366" t="str">
        <x:v>Gobernanza de la malla y sistema personal de aprendizaje permanente. Reconstrucción histórica, análisis de evidencia, escenarios alternativos, señales tempranas, madurez tecnológica y revisión periódica de decisiones.</x:v>
      </x:c>
      <x:c r="H531" s="366" t="str">
        <x:v>CAP-031</x:v>
      </x:c>
      <x:c r="I531" s="366" t="str">
        <x:v>Núcleo esencial</x:v>
      </x:c>
      <x:c r="J531" s="366" t="n">
        <x:v>1</x:v>
      </x:c>
      <x:c r="K531" s="366" t="n">
        <x:v>20</x:v>
      </x:c>
      <x:c r="L531" s="366" t="n">
        <x:v>24</x:v>
      </x:c>
      <x:c r="M531" s="366" t="n">
        <x:v>56</x:v>
      </x:c>
      <x:c r="N531" s="367" t="n">
        <x:f>SUM(K531:M531)</x:f>
        <x:v>100</x:v>
      </x:c>
      <x:c r="O531" s="368" t="n">
        <x:f>N531/25</x:f>
        <x:v>4</x:v>
      </x:c>
      <x:c r="P531" s="366" t="str">
        <x:v>Dossier temporal y radar auditado: Gobernanza de la malla y sistema personal de aprendizaje permanente.</x:v>
      </x:c>
      <x:c r="Q531" s="366" t="str">
        <x:v>S50; S51; S52; S53; S54; S61; S62; S63; S64; S67; S68</x:v>
      </x:c>
      <x:c r="R531" s="366" t="str">
        <x:v>No iniciado</x:v>
      </x:c>
      <x:c r="S531" s="369" t="n">
        <x:v>0</x:v>
      </x:c>
      <x:c r="T531" s="370"/>
      <x:c r="U531" s="370"/>
      <x:c r="V531" s="366" t="str">
        <x:v>Hereda método científico, ingeniería, revisión por pares, ética profesional e innovación.</x:v>
      </x:c>
      <x:c r="W531" s="366" t="str">
        <x:v>Muy alta: fundamento durable</x:v>
      </x:c>
      <x:c r="X531" s="366" t="str">
        <x:v>Corto (2027–2029) y mediano (2030–2035)</x:v>
      </x:c>
      <x:c r="Y531" s="366" t="str">
        <x:v>Emergente</x:v>
      </x:c>
      <x:c r="Z531" s="366" t="str">
        <x:v>6 meses</x:v>
      </x:c>
      <x:c r="AA531" s="366" t="str">
        <x:v>Ciencia asistida por IA, inteligencia de patentes/estándares y actualización curricular basada en señales.</x:v>
      </x:c>
    </x:row>
    <x:row r="532" ht="58" customHeight="1">
      <x:c r="A532" s="351" t="str">
        <x:v>QUA-011</x:v>
      </x:c>
      <x:c r="B532" s="351" t="n">
        <x:v>9</x:v>
      </x:c>
      <x:c r="C532" s="351" t="str">
        <x:v>Investigación aplicada</x:v>
      </x:c>
      <x:c r="D532" s="351" t="str">
        <x:v>Información y computación cuántica</x:v>
      </x:c>
      <x:c r="E532" s="351" t="str">
        <x:v>Computación cuántica</x:v>
      </x:c>
      <x:c r="F532" s="351" t="str">
        <x:v>Optimización y simulación cuántica</x:v>
      </x:c>
      <x:c r="G532" s="351" t="str">
        <x:v>Optimización y simulación cuántica. Formalismo matemático, circuitos, algoritmos, hardware, ruido, seguridad y aplicaciones.</x:v>
      </x:c>
      <x:c r="H532" s="351" t="str">
        <x:v>QUA-010</x:v>
      </x:c>
      <x:c r="I532" s="351" t="str">
        <x:v>Frontera/adyacente</x:v>
      </x:c>
      <x:c r="J532" s="351" t="n">
        <x:v>3</x:v>
      </x:c>
      <x:c r="K532" s="351" t="n">
        <x:v>28</x:v>
      </x:c>
      <x:c r="L532" s="351" t="n">
        <x:v>36</x:v>
      </x:c>
      <x:c r="M532" s="351" t="n">
        <x:v>20</x:v>
      </x:c>
      <x:c r="N532" s="352" t="n">
        <x:f>SUM(K532:M532)</x:f>
        <x:v>84</x:v>
      </x:c>
      <x:c r="O532" s="353" t="n">
        <x:f>N532/25</x:f>
        <x:v>3.36</x:v>
      </x:c>
      <x:c r="P532" s="351" t="str">
        <x:v>Notebook y circuito cuántico: Optimización y simulación cuántica.</x:v>
      </x:c>
      <x:c r="Q532" s="351" t="str">
        <x:v>S10; S14; S20; S41; S42</x:v>
      </x:c>
      <x:c r="R532" s="351" t="str">
        <x:v>No iniciado</x:v>
      </x:c>
      <x:c r="S532" s="354" t="n">
        <x:v>0</x:v>
      </x:c>
      <x:c r="T532" s="355"/>
      <x:c r="U532" s="355"/>
      <x:c r="V532" s="351" t="str">
        <x:v>Parte de mecánica cuántica, teoría de información y algoritmos cuánticos para nuevos modelos de cómputo.</x:v>
      </x:c>
      <x:c r="W532" s="351" t="str">
        <x:v>Variable: validar evidencia y madurez</x:v>
      </x:c>
      <x:c r="X532" s="351" t="str">
        <x:v>Mediano (2030–2035) y largo (2036–2045)</x:v>
      </x:c>
      <x:c r="Y532" s="351" t="str">
        <x:v>Experimental</x:v>
      </x:c>
      <x:c r="Z532" s="351" t="str">
        <x:v>6 meses</x:v>
      </x:c>
      <x:c r="AA532" s="351" t="str">
        <x:v>Corrección de errores, integración con HPC, redes cuánticas y utilidad práctica en nichos aún inciertos.</x:v>
      </x:c>
    </x:row>
    <x:row r="533" ht="58" customHeight="1">
      <x:c r="A533" s="366" t="str">
        <x:v>QUA-012</x:v>
      </x:c>
      <x:c r="B533" s="366" t="n">
        <x:v>9</x:v>
      </x:c>
      <x:c r="C533" s="366" t="str">
        <x:v>Investigación aplicada</x:v>
      </x:c>
      <x:c r="D533" s="366" t="str">
        <x:v>Información y computación cuántica</x:v>
      </x:c>
      <x:c r="E533" s="366" t="str">
        <x:v>Computación cuántica</x:v>
      </x:c>
      <x:c r="F533" s="366" t="str">
        <x:v>Machine Learning cuántico</x:v>
      </x:c>
      <x:c r="G533" s="366" t="str">
        <x:v>Machine Learning cuántico. Formalismo matemático, circuitos, algoritmos, hardware, ruido, seguridad y aplicaciones.</x:v>
      </x:c>
      <x:c r="H533" s="366" t="str">
        <x:v>QUA-011</x:v>
      </x:c>
      <x:c r="I533" s="366" t="str">
        <x:v>Frontera/adyacente</x:v>
      </x:c>
      <x:c r="J533" s="366" t="n">
        <x:v>3</x:v>
      </x:c>
      <x:c r="K533" s="366" t="n">
        <x:v>28</x:v>
      </x:c>
      <x:c r="L533" s="366" t="n">
        <x:v>36</x:v>
      </x:c>
      <x:c r="M533" s="366" t="n">
        <x:v>20</x:v>
      </x:c>
      <x:c r="N533" s="367" t="n">
        <x:f>SUM(K533:M533)</x:f>
        <x:v>84</x:v>
      </x:c>
      <x:c r="O533" s="368" t="n">
        <x:f>N533/25</x:f>
        <x:v>3.36</x:v>
      </x:c>
      <x:c r="P533" s="366" t="str">
        <x:v>Notebook y circuito cuántico: Machine Learning cuántico.</x:v>
      </x:c>
      <x:c r="Q533" s="366" t="str">
        <x:v>S10; S14; S20; S41; S42</x:v>
      </x:c>
      <x:c r="R533" s="366" t="str">
        <x:v>No iniciado</x:v>
      </x:c>
      <x:c r="S533" s="369" t="n">
        <x:v>0</x:v>
      </x:c>
      <x:c r="T533" s="370"/>
      <x:c r="U533" s="370"/>
      <x:c r="V533" s="366" t="str">
        <x:v>Parte de mecánica cuántica, teoría de información y algoritmos cuánticos para nuevos modelos de cómputo.</x:v>
      </x:c>
      <x:c r="W533" s="366" t="str">
        <x:v>Variable: validar evidencia y madurez</x:v>
      </x:c>
      <x:c r="X533" s="366" t="str">
        <x:v>Mediano (2030–2035) y largo (2036–2045)</x:v>
      </x:c>
      <x:c r="Y533" s="366" t="str">
        <x:v>Experimental</x:v>
      </x:c>
      <x:c r="Z533" s="366" t="str">
        <x:v>6 meses</x:v>
      </x:c>
      <x:c r="AA533" s="366" t="str">
        <x:v>Corrección de errores, integración con HPC, redes cuánticas y utilidad práctica en nichos aún inciertos.</x:v>
      </x:c>
    </x:row>
    <x:row r="534" ht="58" customHeight="1">
      <x:c r="A534" s="351" t="str">
        <x:v>QUA-013</x:v>
      </x:c>
      <x:c r="B534" s="351" t="n">
        <x:v>9</x:v>
      </x:c>
      <x:c r="C534" s="351" t="str">
        <x:v>Investigación aplicada</x:v>
      </x:c>
      <x:c r="D534" s="351" t="str">
        <x:v>Información y computación cuántica</x:v>
      </x:c>
      <x:c r="E534" s="351" t="str">
        <x:v>Computación cuántica</x:v>
      </x:c>
      <x:c r="F534" s="351" t="str">
        <x:v>Criptografía poscuántica</x:v>
      </x:c>
      <x:c r="G534" s="351" t="str">
        <x:v>Criptografía poscuántica. Formalismo matemático, circuitos, algoritmos, hardware, ruido, seguridad y aplicaciones.</x:v>
      </x:c>
      <x:c r="H534" s="351" t="str">
        <x:v>QUA-012</x:v>
      </x:c>
      <x:c r="I534" s="351" t="str">
        <x:v>Frontera/adyacente</x:v>
      </x:c>
      <x:c r="J534" s="351" t="n">
        <x:v>3</x:v>
      </x:c>
      <x:c r="K534" s="351" t="n">
        <x:v>28</x:v>
      </x:c>
      <x:c r="L534" s="351" t="n">
        <x:v>36</x:v>
      </x:c>
      <x:c r="M534" s="351" t="n">
        <x:v>20</x:v>
      </x:c>
      <x:c r="N534" s="352" t="n">
        <x:f>SUM(K534:M534)</x:f>
        <x:v>84</x:v>
      </x:c>
      <x:c r="O534" s="353" t="n">
        <x:f>N534/25</x:f>
        <x:v>3.36</x:v>
      </x:c>
      <x:c r="P534" s="351" t="str">
        <x:v>Notebook y circuito cuántico: Criptografía poscuántica.</x:v>
      </x:c>
      <x:c r="Q534" s="351" t="str">
        <x:v>S10; S14; S20; S41; S42</x:v>
      </x:c>
      <x:c r="R534" s="351" t="str">
        <x:v>No iniciado</x:v>
      </x:c>
      <x:c r="S534" s="354" t="n">
        <x:v>0</x:v>
      </x:c>
      <x:c r="T534" s="355"/>
      <x:c r="U534" s="355"/>
      <x:c r="V534" s="351" t="str">
        <x:v>Parte de mecánica cuántica, teoría de información y algoritmos cuánticos para nuevos modelos de cómputo.</x:v>
      </x:c>
      <x:c r="W534" s="351" t="str">
        <x:v>Variable: validar evidencia y madurez</x:v>
      </x:c>
      <x:c r="X534" s="351" t="str">
        <x:v>Mediano (2030–2035) y largo (2036–2045)</x:v>
      </x:c>
      <x:c r="Y534" s="351" t="str">
        <x:v>Experimental</x:v>
      </x:c>
      <x:c r="Z534" s="351" t="str">
        <x:v>6 meses</x:v>
      </x:c>
      <x:c r="AA534" s="351" t="str">
        <x:v>Corrección de errores, integración con HPC, redes cuánticas y utilidad práctica en nichos aún inciertos.</x:v>
      </x:c>
    </x:row>
    <x:row r="535" ht="58" customHeight="1">
      <x:c r="A535" s="366" t="str">
        <x:v>QUA-014</x:v>
      </x:c>
      <x:c r="B535" s="366" t="n">
        <x:v>9</x:v>
      </x:c>
      <x:c r="C535" s="366" t="str">
        <x:v>Investigación aplicada</x:v>
      </x:c>
      <x:c r="D535" s="366" t="str">
        <x:v>Información y computación cuántica</x:v>
      </x:c>
      <x:c r="E535" s="366" t="str">
        <x:v>Computación cuántica</x:v>
      </x:c>
      <x:c r="F535" s="366" t="str">
        <x:v>Ingeniería de software cuántico</x:v>
      </x:c>
      <x:c r="G535" s="366" t="str">
        <x:v>Ingeniería de software cuántico. Formalismo matemático, circuitos, algoritmos, hardware, ruido, seguridad y aplicaciones.</x:v>
      </x:c>
      <x:c r="H535" s="366" t="str">
        <x:v>QUA-013</x:v>
      </x:c>
      <x:c r="I535" s="366" t="str">
        <x:v>Frontera/adyacente</x:v>
      </x:c>
      <x:c r="J535" s="366" t="n">
        <x:v>3</x:v>
      </x:c>
      <x:c r="K535" s="366" t="n">
        <x:v>28</x:v>
      </x:c>
      <x:c r="L535" s="366" t="n">
        <x:v>36</x:v>
      </x:c>
      <x:c r="M535" s="366" t="n">
        <x:v>20</x:v>
      </x:c>
      <x:c r="N535" s="367" t="n">
        <x:f>SUM(K535:M535)</x:f>
        <x:v>84</x:v>
      </x:c>
      <x:c r="O535" s="368" t="n">
        <x:f>N535/25</x:f>
        <x:v>3.36</x:v>
      </x:c>
      <x:c r="P535" s="366" t="str">
        <x:v>Notebook y circuito cuántico: Ingeniería de software cuántico.</x:v>
      </x:c>
      <x:c r="Q535" s="366" t="str">
        <x:v>S10; S14; S20; S41; S42</x:v>
      </x:c>
      <x:c r="R535" s="366" t="str">
        <x:v>No iniciado</x:v>
      </x:c>
      <x:c r="S535" s="369" t="n">
        <x:v>0</x:v>
      </x:c>
      <x:c r="T535" s="370"/>
      <x:c r="U535" s="370"/>
      <x:c r="V535" s="366" t="str">
        <x:v>Parte de mecánica cuántica, teoría de información y algoritmos cuánticos para nuevos modelos de cómputo.</x:v>
      </x:c>
      <x:c r="W535" s="366" t="str">
        <x:v>Variable: validar evidencia y madurez</x:v>
      </x:c>
      <x:c r="X535" s="366" t="str">
        <x:v>Mediano (2030–2035) y largo (2036–2045)</x:v>
      </x:c>
      <x:c r="Y535" s="366" t="str">
        <x:v>Experimental</x:v>
      </x:c>
      <x:c r="Z535" s="366" t="str">
        <x:v>6 meses</x:v>
      </x:c>
      <x:c r="AA535" s="366" t="str">
        <x:v>Corrección de errores, integración con HPC, redes cuánticas y utilidad práctica en nichos aún inciertos.</x:v>
      </x:c>
    </x:row>
    <x:row r="536" ht="58" customHeight="1">
      <x:c r="A536" s="351" t="str">
        <x:v>CAP-023</x:v>
      </x:c>
      <x:c r="B536" s="351" t="n">
        <x:v>9</x:v>
      </x:c>
      <x:c r="C536" s="351" t="str">
        <x:v>Investigación aplicada</x:v>
      </x:c>
      <x:c r="D536" s="351" t="str">
        <x:v>Proyectos integradores</x:v>
      </x:c>
      <x:c r="E536" s="351" t="str">
        <x:v>Investigación, profesión y capstones</x:v>
      </x:c>
      <x:c r="F536" s="351" t="str">
        <x:v>Tesis o publicación técnica</x:v>
      </x:c>
      <x:c r="G536" s="351" t="str">
        <x:v>Tesis o publicación técnica. Problema real, requisitos, diseño, implementación, validación, documentación, ética y defensa pública.</x:v>
      </x:c>
      <x:c r="H536" s="351" t="str">
        <x:v>CAP-022</x:v>
      </x:c>
      <x:c r="I536" s="351" t="str">
        <x:v>Núcleo esencial</x:v>
      </x:c>
      <x:c r="J536" s="351" t="n">
        <x:v>1</x:v>
      </x:c>
      <x:c r="K536" s="351" t="n">
        <x:v>20</x:v>
      </x:c>
      <x:c r="L536" s="351" t="n">
        <x:v>24</x:v>
      </x:c>
      <x:c r="M536" s="351" t="n">
        <x:v>56</x:v>
      </x:c>
      <x:c r="N536" s="352" t="n">
        <x:f>SUM(K536:M536)</x:f>
        <x:v>100</x:v>
      </x:c>
      <x:c r="O536" s="353" t="n">
        <x:f>N536/25</x:f>
        <x:v>4</x:v>
      </x:c>
      <x:c r="P536" s="351" t="str">
        <x:v>Capstone integral: Tesis o publicación técnica.</x:v>
      </x:c>
      <x:c r="Q536" s="351" t="str">
        <x:v>S03; S04; S09; S11; S12; S18</x:v>
      </x:c>
      <x:c r="R536" s="351" t="str">
        <x:v>No iniciado</x:v>
      </x:c>
      <x:c r="S536" s="354" t="n">
        <x:v>0</x:v>
      </x:c>
      <x:c r="T536" s="355"/>
      <x:c r="U536" s="355"/>
      <x:c r="V536" s="351" t="str">
        <x:v>Hereda método científico, ingeniería, revisión por pares, ética profesional e innovación.</x:v>
      </x:c>
      <x:c r="W536" s="351" t="str">
        <x:v>Muy alta: fundamento durable</x:v>
      </x:c>
      <x:c r="X536" s="351" t="str">
        <x:v>Corto (2027–2029) y mediano (2030–2035)</x:v>
      </x:c>
      <x:c r="Y536" s="351" t="str">
        <x:v>Emergente</x:v>
      </x:c>
      <x:c r="Z536" s="351" t="str">
        <x:v>6 meses</x:v>
      </x:c>
      <x:c r="AA536" s="351" t="str">
        <x:v>Ciencia asistida por IA, inteligencia de patentes/estándares y actualización curricular basada en señales.</x:v>
      </x:c>
    </x:row>
    <x:row r="537" ht="58" customHeight="1">
      <x:c r="A537" s="371" t="str">
        <x:v>CAP-024</x:v>
      </x:c>
      <x:c r="B537" s="371" t="n">
        <x:v>9</x:v>
      </x:c>
      <x:c r="C537" s="371" t="str">
        <x:v>Investigación aplicada</x:v>
      </x:c>
      <x:c r="D537" s="371" t="str">
        <x:v>Proyectos integradores</x:v>
      </x:c>
      <x:c r="E537" s="371" t="str">
        <x:v>Investigación, profesión y capstones</x:v>
      </x:c>
      <x:c r="F537" s="371" t="str">
        <x:v>Portafolio maestro y defensa internacional</x:v>
      </x:c>
      <x:c r="G537" s="371" t="str">
        <x:v>Portafolio maestro y defensa internacional. Problema real, requisitos, diseño, implementación, validación, documentación, ética y defensa pública.</x:v>
      </x:c>
      <x:c r="H537" s="371" t="str">
        <x:v>CAP-023</x:v>
      </x:c>
      <x:c r="I537" s="371" t="str">
        <x:v>Núcleo esencial</x:v>
      </x:c>
      <x:c r="J537" s="371" t="n">
        <x:v>1</x:v>
      </x:c>
      <x:c r="K537" s="371" t="n">
        <x:v>20</x:v>
      </x:c>
      <x:c r="L537" s="371" t="n">
        <x:v>24</x:v>
      </x:c>
      <x:c r="M537" s="371" t="n">
        <x:v>56</x:v>
      </x:c>
      <x:c r="N537" s="372" t="n">
        <x:f>SUM(K537:M537)</x:f>
        <x:v>100</x:v>
      </x:c>
      <x:c r="O537" s="373" t="n">
        <x:f>N537/25</x:f>
        <x:v>4</x:v>
      </x:c>
      <x:c r="P537" s="371" t="str">
        <x:v>Capstone integral: Portafolio maestro y defensa internacional.</x:v>
      </x:c>
      <x:c r="Q537" s="371" t="str">
        <x:v>S03; S04; S09; S11; S12; S18</x:v>
      </x:c>
      <x:c r="R537" s="371" t="str">
        <x:v>No iniciado</x:v>
      </x:c>
      <x:c r="S537" s="374" t="n">
        <x:v>0</x:v>
      </x:c>
      <x:c r="T537" s="375"/>
      <x:c r="U537" s="375"/>
      <x:c r="V537" s="371" t="str">
        <x:v>Hereda método científico, ingeniería, revisión por pares, ética profesional e innovación.</x:v>
      </x:c>
      <x:c r="W537" s="371" t="str">
        <x:v>Muy alta: fundamento durable</x:v>
      </x:c>
      <x:c r="X537" s="371" t="str">
        <x:v>Corto (2027–2029) y mediano (2030–2035)</x:v>
      </x:c>
      <x:c r="Y537" s="371" t="str">
        <x:v>Emergente</x:v>
      </x:c>
      <x:c r="Z537" s="371" t="str">
        <x:v>6 meses</x:v>
      </x:c>
      <x:c r="AA537" s="371" t="str">
        <x:v>Ciencia asistida por IA, inteligencia de patentes/estándares y actualización curricular basada en señales.</x:v>
      </x:c>
    </x:row>
  </x:sheetData>
  <x:mergeCells>
    <x:mergeCell ref="A1:AA1"/>
    <x:mergeCell ref="A2:AA2"/>
  </x:mergeCells>
  <x:conditionalFormatting sqref="R5:R537">
    <x:cfRule type="containsText" dxfId="0" priority="1" operator="containsText" text="Completado"/>
    <x:cfRule type="containsText" dxfId="1" priority="2" operator="containsText" text="En progreso"/>
  </x:conditionalFormatting>
  <x:conditionalFormatting sqref="J5:J537">
    <x:cfRule type="colorScale" priority="3">
      <x:colorScale>
        <x:cfvo type="min"/>
        <x:cfvo type="percentile" val="50"/>
        <x:cfvo type="max"/>
        <x:color rgb="FFDCFCE7"/>
        <x:color rgb="FFFEF3C7"/>
        <x:color rgb="FFFEE2E2"/>
      </x:colorScale>
    </x:cfRule>
  </x:conditionalFormatting>
  <x:conditionalFormatting sqref="Y5:Y537">
    <x:cfRule type="containsText" dxfId="2" priority="4" operator="containsText" text="Emergente"/>
    <x:cfRule type="containsText" dxfId="3" priority="5" operator="containsText" text="Experimental"/>
    <x:cfRule type="containsText" dxfId="4" priority="6" operator="containsText" text="Especulativa"/>
  </x:conditionalFormatting>
  <x:dataValidations count="2">
    <x:dataValidation type="list" sqref="R5:R537">
      <x:formula1>"No iniciado,En progreso,Pausado,Completado"</x:formula1>
    </x:dataValidation>
    <x:dataValidation type="decimal" operator="between" sqref="S5:S537">
      <x:formula1>0</x:formula1>
      <x:formula2>1</x:formula2>
    </x:dataValidation>
  </x:dataValidations>
  <x:pageMargins left="0.7" right="0.7" top="0.75" bottom="0.75" header="0.3" footer="0.3"/>
  <x:tableParts count="1">
    <x:tablePart xmlns:r="http://schemas.openxmlformats.org/officeDocument/2006/relationships" r:id="R2dbfe0e764bd4a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11" hidden="0" customWidth="1"/>
    <x:col min="3" max="3" width="12" hidden="0" customWidth="1"/>
    <x:col min="4" max="4" width="11" hidden="0" customWidth="1"/>
    <x:col min="5" max="5" width="15" hidden="0" customWidth="1"/>
    <x:col min="6" max="6" width="15" hidden="0" customWidth="1"/>
    <x:col min="7" max="7" width="15" hidden="0" customWidth="1"/>
    <x:col min="8" max="8" width="48" hidden="0" customWidth="1"/>
  </x:cols>
  <x:sheetData>
    <x:row r="1" ht="34" customHeight="1">
      <x:c r="A1" s="4" t="str">
        <x:v>RUTAS Y CARGA DE ESTUDIO</x:v>
      </x:c>
      <x:c r="B1" s="4" t="str">
        <x:v>RUTAS Y CARGA DE ESTUDIO</x:v>
      </x:c>
      <x:c r="C1" s="4" t="str">
        <x:v>RUTAS Y CARGA DE ESTUDIO</x:v>
      </x:c>
      <x:c r="D1" s="4" t="str">
        <x:v>RUTAS Y CARGA DE ESTUDIO</x:v>
      </x:c>
      <x:c r="E1" s="4" t="str">
        <x:v>RUTAS Y CARGA DE ESTUDIO</x:v>
      </x:c>
      <x:c r="F1" s="4" t="str">
        <x:v>RUTAS Y CARGA DE ESTUDIO</x:v>
      </x:c>
      <x:c r="G1" s="4" t="str">
        <x:v>RUTAS Y CARGA DE ESTUDIO</x:v>
      </x:c>
      <x:c r="H1" s="4" t="str">
        <x:v>RUTAS Y CARGA DE ESTUDIO</x:v>
      </x:c>
    </x:row>
    <x:row r="2" ht="30" customHeight="1">
      <x:c r="A2" s="8" t="str">
        <x:v>Los totales se alimentan de la hoja Cursos. Úsala para elegir una combinación realista.</x:v>
      </x:c>
      <x:c r="B2" s="8" t="str">
        <x:v>Los totales se alimentan de la hoja Cursos. Úsala para elegir una combinación realista.</x:v>
      </x:c>
      <x:c r="C2" s="8" t="str">
        <x:v>Los totales se alimentan de la hoja Cursos. Úsala para elegir una combinación realista.</x:v>
      </x:c>
      <x:c r="D2" s="8" t="str">
        <x:v>Los totales se alimentan de la hoja Cursos. Úsala para elegir una combinación realista.</x:v>
      </x:c>
      <x:c r="E2" s="8" t="str">
        <x:v>Los totales se alimentan de la hoja Cursos. Úsala para elegir una combinación realista.</x:v>
      </x:c>
      <x:c r="F2" s="8" t="str">
        <x:v>Los totales se alimentan de la hoja Cursos. Úsala para elegir una combinación realista.</x:v>
      </x:c>
      <x:c r="G2" s="8" t="str">
        <x:v>Los totales se alimentan de la hoja Cursos. Úsala para elegir una combinación realista.</x:v>
      </x:c>
      <x:c r="H2" s="8" t="str">
        <x:v>Los totales se alimentan de la hoja Cursos. Úsala para elegir una combinación realista.</x:v>
      </x:c>
    </x:row>
    <x:row r="4">
      <x:c r="A4" s="377" t="str">
        <x:v>Ruta</x:v>
      </x:c>
      <x:c r="B4" s="377" t="str">
        <x:v>Materias</x:v>
      </x:c>
      <x:c r="C4" s="377" t="str">
        <x:v>Horas</x:v>
      </x:c>
      <x:c r="D4" s="377" t="str">
        <x:v>ECTS eq.</x:v>
      </x:c>
      <x:c r="E4" s="377" t="str">
        <x:v>Años 20 h/sem</x:v>
      </x:c>
      <x:c r="F4" s="377" t="str">
        <x:v>Años 30 h/sem</x:v>
      </x:c>
      <x:c r="G4" s="377" t="str">
        <x:v>Años 40 h/sem</x:v>
      </x:c>
      <x:c r="H4" s="377" t="str">
        <x:v>Recomendación</x:v>
      </x:c>
    </x:row>
    <x:row r="5" ht="38" customHeight="1">
      <x:c r="A5" s="408" t="str">
        <x:v>Preparación y ofimática</x:v>
      </x:c>
      <x:c r="B5" s="409" t="n">
        <x:f>COUNTIF('Cursos'!$E$5:$E$1000,A5)</x:f>
        <x:v>18</x:v>
      </x:c>
      <x:c r="C5" s="409" t="n">
        <x:f>SUMIF('Cursos'!$E$5:$E$1000,A5,'Cursos'!$N$5:$N$1000)</x:f>
        <x:v>1800</x:v>
      </x:c>
      <x:c r="D5" s="410" t="n">
        <x:f>SUMIF('Cursos'!$E$5:$E$1000,A5,'Cursos'!$O$5:$O$1000)</x:f>
        <x:v>72</x:v>
      </x:c>
      <x:c r="E5" s="410" t="n">
        <x:f>C5/(20*48)</x:f>
        <x:v>1.875</x:v>
      </x:c>
      <x:c r="F5" s="410" t="n">
        <x:f>C5/(30*48)</x:f>
        <x:v>1.25</x:v>
      </x:c>
      <x:c r="G5" s="410" t="n">
        <x:f>C5/(40*48)</x:f>
        <x:v>0.9375</x:v>
      </x:c>
      <x:c r="H5" s="408" t="str">
        <x:v>Obligatoria para productividad y documentación.</x:v>
      </x:c>
    </x:row>
    <x:row r="6" ht="38" customHeight="1">
      <x:c r="A6" s="402" t="str">
        <x:v>Matemática y ciencias</x:v>
      </x:c>
      <x:c r="B6" s="403" t="n">
        <x:f>COUNTIF('Cursos'!$E$5:$E$1000,A6)</x:f>
        <x:v>28</x:v>
      </x:c>
      <x:c r="C6" s="403" t="n">
        <x:f>SUMIF('Cursos'!$E$5:$E$1000,A6,'Cursos'!$N$5:$N$1000)</x:f>
        <x:v>2800</x:v>
      </x:c>
      <x:c r="D6" s="404" t="n">
        <x:f>SUMIF('Cursos'!$E$5:$E$1000,A6,'Cursos'!$O$5:$O$1000)</x:f>
        <x:v>112</x:v>
      </x:c>
      <x:c r="E6" s="404" t="n">
        <x:f>C6/(20*48)</x:f>
        <x:v>2.9166666666666665</x:v>
      </x:c>
      <x:c r="F6" s="404" t="n">
        <x:f>C6/(30*48)</x:f>
        <x:v>1.9444444444444444</x:v>
      </x:c>
      <x:c r="G6" s="404" t="n">
        <x:f>C6/(40*48)</x:f>
        <x:v>1.4583333333333333</x:v>
      </x:c>
      <x:c r="H6" s="402" t="str">
        <x:v>Obligatoria para ingeniería, IA, robótica y cuántica.</x:v>
      </x:c>
    </x:row>
    <x:row r="7" ht="38" customHeight="1">
      <x:c r="A7" s="411" t="str">
        <x:v>Programación y teoría CS</x:v>
      </x:c>
      <x:c r="B7" s="412" t="n">
        <x:f>COUNTIF('Cursos'!$E$5:$E$1000,A7)</x:f>
        <x:v>33</x:v>
      </x:c>
      <x:c r="C7" s="412" t="n">
        <x:f>SUMIF('Cursos'!$E$5:$E$1000,A7,'Cursos'!$N$5:$N$1000)</x:f>
        <x:v>3300</x:v>
      </x:c>
      <x:c r="D7" s="413" t="n">
        <x:f>SUMIF('Cursos'!$E$5:$E$1000,A7,'Cursos'!$O$5:$O$1000)</x:f>
        <x:v>132</x:v>
      </x:c>
      <x:c r="E7" s="413" t="n">
        <x:f>C7/(20*48)</x:f>
        <x:v>3.4375</x:v>
      </x:c>
      <x:c r="F7" s="413" t="n">
        <x:f>C7/(30*48)</x:f>
        <x:v>2.2916666666666665</x:v>
      </x:c>
      <x:c r="G7" s="413" t="n">
        <x:f>C7/(40*48)</x:f>
        <x:v>1.71875</x:v>
      </x:c>
      <x:c r="H7" s="411" t="str">
        <x:v>Obligatoria: columna vertebral computacional.</x:v>
      </x:c>
    </x:row>
    <x:row r="8" ht="38" customHeight="1">
      <x:c r="A8" s="402" t="str">
        <x:v>Sistemas y arquitectura</x:v>
      </x:c>
      <x:c r="B8" s="403" t="n">
        <x:f>COUNTIF('Cursos'!$E$5:$E$1000,A8)</x:f>
        <x:v>19</x:v>
      </x:c>
      <x:c r="C8" s="403" t="n">
        <x:f>SUMIF('Cursos'!$E$5:$E$1000,A8,'Cursos'!$N$5:$N$1000)</x:f>
        <x:v>1900</x:v>
      </x:c>
      <x:c r="D8" s="404" t="n">
        <x:f>SUMIF('Cursos'!$E$5:$E$1000,A8,'Cursos'!$O$5:$O$1000)</x:f>
        <x:v>76</x:v>
      </x:c>
      <x:c r="E8" s="404" t="n">
        <x:f>C8/(20*48)</x:f>
        <x:v>1.9791666666666667</x:v>
      </x:c>
      <x:c r="F8" s="404" t="n">
        <x:f>C8/(30*48)</x:f>
        <x:v>1.3194444444444444</x:v>
      </x:c>
      <x:c r="G8" s="404" t="n">
        <x:f>C8/(40*48)</x:f>
        <x:v>0.9895833333333334</x:v>
      </x:c>
      <x:c r="H8" s="402" t="str">
        <x:v>Obligatoria para comprender el computador completo.</x:v>
      </x:c>
    </x:row>
    <x:row r="9" ht="38" customHeight="1">
      <x:c r="A9" s="411" t="str">
        <x:v>Ingeniería de software</x:v>
      </x:c>
      <x:c r="B9" s="412" t="n">
        <x:f>COUNTIF('Cursos'!$E$5:$E$1000,A9)</x:f>
        <x:v>40</x:v>
      </x:c>
      <x:c r="C9" s="412" t="n">
        <x:f>SUMIF('Cursos'!$E$5:$E$1000,A9,'Cursos'!$N$5:$N$1000)</x:f>
        <x:v>3840</x:v>
      </x:c>
      <x:c r="D9" s="413" t="n">
        <x:f>SUMIF('Cursos'!$E$5:$E$1000,A9,'Cursos'!$O$5:$O$1000)</x:f>
        <x:v>153.6000000000001</x:v>
      </x:c>
      <x:c r="E9" s="413" t="n">
        <x:f>C9/(20*48)</x:f>
        <x:v>4</x:v>
      </x:c>
      <x:c r="F9" s="413" t="n">
        <x:f>C9/(30*48)</x:f>
        <x:v>2.6666666666666665</x:v>
      </x:c>
      <x:c r="G9" s="413" t="n">
        <x:f>C9/(40*48)</x:f>
        <x:v>2</x:v>
      </x:c>
      <x:c r="H9" s="411" t="str">
        <x:v>Obligatoria para construir productos mantenibles.</x:v>
      </x:c>
    </x:row>
    <x:row r="10" ht="38" customHeight="1">
      <x:c r="A10" s="402" t="str">
        <x:v>Datos, BI e IA</x:v>
      </x:c>
      <x:c r="B10" s="403" t="n">
        <x:f>COUNTIF('Cursos'!$E$5:$E$1000,A10)</x:f>
        <x:v>51</x:v>
      </x:c>
      <x:c r="C10" s="403" t="n">
        <x:f>SUMIF('Cursos'!$E$5:$E$1000,A10,'Cursos'!$N$5:$N$1000)</x:f>
        <x:v>4636</x:v>
      </x:c>
      <x:c r="D10" s="404" t="n">
        <x:f>SUMIF('Cursos'!$E$5:$E$1000,A10,'Cursos'!$O$5:$O$1000)</x:f>
        <x:v>185.44000000000028</x:v>
      </x:c>
      <x:c r="E10" s="404" t="n">
        <x:f>C10/(20*48)</x:f>
        <x:v>4.829166666666667</x:v>
      </x:c>
      <x:c r="F10" s="404" t="n">
        <x:f>C10/(30*48)</x:f>
        <x:v>3.2194444444444446</x:v>
      </x:c>
      <x:c r="G10" s="404" t="n">
        <x:f>C10/(40*48)</x:f>
        <x:v>2.4145833333333333</x:v>
      </x:c>
      <x:c r="H10" s="402" t="str">
        <x:v>Prioritaria para analítica, IA y decisiones.</x:v>
      </x:c>
    </x:row>
    <x:row r="11" ht="38" customHeight="1">
      <x:c r="A11" s="411" t="str">
        <x:v>Redes, telecom y cloud</x:v>
      </x:c>
      <x:c r="B11" s="412" t="n">
        <x:f>COUNTIF('Cursos'!$E$5:$E$1000,A11)</x:f>
        <x:v>43</x:v>
      </x:c>
      <x:c r="C11" s="412" t="n">
        <x:f>SUMIF('Cursos'!$E$5:$E$1000,A11,'Cursos'!$N$5:$N$1000)</x:f>
        <x:v>4108</x:v>
      </x:c>
      <x:c r="D11" s="413" t="n">
        <x:f>SUMIF('Cursos'!$E$5:$E$1000,A11,'Cursos'!$O$5:$O$1000)</x:f>
        <x:v>164.32000000000014</x:v>
      </x:c>
      <x:c r="E11" s="413" t="n">
        <x:f>C11/(20*48)</x:f>
        <x:v>4.279166666666667</x:v>
      </x:c>
      <x:c r="F11" s="413" t="n">
        <x:f>C11/(30*48)</x:f>
        <x:v>2.852777777777778</x:v>
      </x:c>
      <x:c r="G11" s="413" t="n">
        <x:f>C11/(40*48)</x:f>
        <x:v>2.1395833333333334</x:v>
      </x:c>
      <x:c r="H11" s="411" t="str">
        <x:v>Prioritaria para infraestructura y servicios.</x:v>
      </x:c>
    </x:row>
    <x:row r="12" ht="38" customHeight="1">
      <x:c r="A12" s="402" t="str">
        <x:v>Ciberseguridad, forense y auditoría</x:v>
      </x:c>
      <x:c r="B12" s="403" t="n">
        <x:f>COUNTIF('Cursos'!$E$5:$E$1000,A12)</x:f>
        <x:v>60</x:v>
      </x:c>
      <x:c r="C12" s="403" t="n">
        <x:f>SUMIF('Cursos'!$E$5:$E$1000,A12,'Cursos'!$N$5:$N$1000)</x:f>
        <x:v>5160</x:v>
      </x:c>
      <x:c r="D12" s="404" t="n">
        <x:f>SUMIF('Cursos'!$E$5:$E$1000,A12,'Cursos'!$O$5:$O$1000)</x:f>
        <x:v>206.40000000000026</x:v>
      </x:c>
      <x:c r="E12" s="404" t="n">
        <x:f>C12/(20*48)</x:f>
        <x:v>5.375</x:v>
      </x:c>
      <x:c r="F12" s="404" t="n">
        <x:f>C12/(30*48)</x:f>
        <x:v>3.5833333333333335</x:v>
      </x:c>
      <x:c r="G12" s="404" t="n">
        <x:f>C12/(40*48)</x:f>
        <x:v>2.6875</x:v>
      </x:c>
      <x:c r="H12" s="402" t="str">
        <x:v>Cursar con ética, derecho y laboratorios autorizados.</x:v>
      </x:c>
    </x:row>
    <x:row r="13" ht="38" customHeight="1">
      <x:c r="A13" s="411" t="str">
        <x:v>Electrónica, embebidos e IoT</x:v>
      </x:c>
      <x:c r="B13" s="412" t="n">
        <x:f>COUNTIF('Cursos'!$E$5:$E$1000,A13)</x:f>
        <x:v>30</x:v>
      </x:c>
      <x:c r="C13" s="412" t="n">
        <x:f>SUMIF('Cursos'!$E$5:$E$1000,A13,'Cursos'!$N$5:$N$1000)</x:f>
        <x:v>2880</x:v>
      </x:c>
      <x:c r="D13" s="413" t="n">
        <x:f>SUMIF('Cursos'!$E$5:$E$1000,A13,'Cursos'!$O$5:$O$1000)</x:f>
        <x:v>115.20000000000007</x:v>
      </x:c>
      <x:c r="E13" s="413" t="n">
        <x:f>C13/(20*48)</x:f>
        <x:v>3</x:v>
      </x:c>
      <x:c r="F13" s="413" t="n">
        <x:f>C13/(30*48)</x:f>
        <x:v>2</x:v>
      </x:c>
      <x:c r="G13" s="413" t="n">
        <x:f>C13/(40*48)</x:f>
        <x:v>1.5</x:v>
      </x:c>
      <x:c r="H13" s="411" t="str">
        <x:v>Prioritaria si trabajarás con hardware.</x:v>
      </x:c>
    </x:row>
    <x:row r="14" ht="38" customHeight="1">
      <x:c r="A14" s="402" t="str">
        <x:v>Robótica y mecatrónica</x:v>
      </x:c>
      <x:c r="B14" s="403" t="n">
        <x:f>COUNTIF('Cursos'!$E$5:$E$1000,A14)</x:f>
        <x:v>30</x:v>
      </x:c>
      <x:c r="C14" s="403" t="n">
        <x:f>SUMIF('Cursos'!$E$5:$E$1000,A14,'Cursos'!$N$5:$N$1000)</x:f>
        <x:v>2760</x:v>
      </x:c>
      <x:c r="D14" s="404" t="n">
        <x:f>SUMIF('Cursos'!$E$5:$E$1000,A14,'Cursos'!$O$5:$O$1000)</x:f>
        <x:v>110.40000000000009</x:v>
      </x:c>
      <x:c r="E14" s="404" t="n">
        <x:f>C14/(20*48)</x:f>
        <x:v>2.875</x:v>
      </x:c>
      <x:c r="F14" s="404" t="n">
        <x:f>C14/(30*48)</x:f>
        <x:v>1.9166666666666667</x:v>
      </x:c>
      <x:c r="G14" s="404" t="n">
        <x:f>C14/(40*48)</x:f>
        <x:v>1.4375</x:v>
      </x:c>
      <x:c r="H14" s="402" t="str">
        <x:v>Después de matemática, electrónica, control y programación.</x:v>
      </x:c>
    </x:row>
    <x:row r="15" ht="38" customHeight="1">
      <x:c r="A15" s="411" t="str">
        <x:v>Soporte y reparación</x:v>
      </x:c>
      <x:c r="B15" s="412" t="n">
        <x:f>COUNTIF('Cursos'!$E$5:$E$1000,A15)</x:f>
        <x:v>20</x:v>
      </x:c>
      <x:c r="C15" s="412" t="n">
        <x:f>SUMIF('Cursos'!$E$5:$E$1000,A15,'Cursos'!$N$5:$N$1000)</x:f>
        <x:v>1840</x:v>
      </x:c>
      <x:c r="D15" s="413" t="n">
        <x:f>SUMIF('Cursos'!$E$5:$E$1000,A15,'Cursos'!$O$5:$O$1000)</x:f>
        <x:v>73.60000000000002</x:v>
      </x:c>
      <x:c r="E15" s="413" t="n">
        <x:f>C15/(20*48)</x:f>
        <x:v>1.9166666666666667</x:v>
      </x:c>
      <x:c r="F15" s="413" t="n">
        <x:f>C15/(30*48)</x:f>
        <x:v>1.2777777777777777</x:v>
      </x:c>
      <x:c r="G15" s="413" t="n">
        <x:f>C15/(40*48)</x:f>
        <x:v>0.9583333333333334</x:v>
      </x:c>
      <x:c r="H15" s="411" t="str">
        <x:v>Muy práctica; exige banco de trabajo y seguridad.</x:v>
      </x:c>
    </x:row>
    <x:row r="16" ht="38" customHeight="1">
      <x:c r="A16" s="402" t="str">
        <x:v>Gráficos, juegos y XR</x:v>
      </x:c>
      <x:c r="B16" s="403" t="n">
        <x:f>COUNTIF('Cursos'!$E$5:$E$1000,A16)</x:f>
        <x:v>25</x:v>
      </x:c>
      <x:c r="C16" s="403" t="n">
        <x:f>SUMIF('Cursos'!$E$5:$E$1000,A16,'Cursos'!$N$5:$N$1000)</x:f>
        <x:v>2400</x:v>
      </x:c>
      <x:c r="D16" s="404" t="n">
        <x:f>SUMIF('Cursos'!$E$5:$E$1000,A16,'Cursos'!$O$5:$O$1000)</x:f>
        <x:v>96.00000000000006</x:v>
      </x:c>
      <x:c r="E16" s="404" t="n">
        <x:f>C16/(20*48)</x:f>
        <x:v>2.5</x:v>
      </x:c>
      <x:c r="F16" s="404" t="n">
        <x:f>C16/(30*48)</x:f>
        <x:v>1.6666666666666667</x:v>
      </x:c>
      <x:c r="G16" s="404" t="n">
        <x:f>C16/(40*48)</x:f>
        <x:v>1.25</x:v>
      </x:c>
      <x:c r="H16" s="402" t="str">
        <x:v>Elegir si quieres sistemas visuales e inmersivos.</x:v>
      </x:c>
    </x:row>
    <x:row r="17" ht="38" customHeight="1">
      <x:c r="A17" s="411" t="str">
        <x:v>Diseño, foto, cine y multimedia</x:v>
      </x:c>
      <x:c r="B17" s="412" t="n">
        <x:f>COUNTIF('Cursos'!$E$5:$E$1000,A17)</x:f>
        <x:v>39</x:v>
      </x:c>
      <x:c r="C17" s="412" t="n">
        <x:f>SUMIF('Cursos'!$E$5:$E$1000,A17,'Cursos'!$N$5:$N$1000)</x:f>
        <x:v>3744</x:v>
      </x:c>
      <x:c r="D17" s="413" t="n">
        <x:f>SUMIF('Cursos'!$E$5:$E$1000,A17,'Cursos'!$O$5:$O$1000)</x:f>
        <x:v>149.7600000000001</x:v>
      </x:c>
      <x:c r="E17" s="413" t="n">
        <x:f>C17/(20*48)</x:f>
        <x:v>3.9</x:v>
      </x:c>
      <x:c r="F17" s="413" t="n">
        <x:f>C17/(30*48)</x:f>
        <x:v>2.6</x:v>
      </x:c>
      <x:c r="G17" s="413" t="n">
        <x:f>C17/(40*48)</x:f>
        <x:v>1.95</x:v>
      </x:c>
      <x:c r="H17" s="411" t="str">
        <x:v>Complemento creativo y de comunicación.</x:v>
      </x:c>
    </x:row>
    <x:row r="18" ht="38" customHeight="1">
      <x:c r="A18" s="402" t="str">
        <x:v>Sistemas de información y gestión TI</x:v>
      </x:c>
      <x:c r="B18" s="403" t="n">
        <x:f>COUNTIF('Cursos'!$E$5:$E$1000,A18)</x:f>
        <x:v>24</x:v>
      </x:c>
      <x:c r="C18" s="403" t="n">
        <x:f>SUMIF('Cursos'!$E$5:$E$1000,A18,'Cursos'!$N$5:$N$1000)</x:f>
        <x:v>2016</x:v>
      </x:c>
      <x:c r="D18" s="404" t="n">
        <x:f>SUMIF('Cursos'!$E$5:$E$1000,A18,'Cursos'!$O$5:$O$1000)</x:f>
        <x:v>80.64</x:v>
      </x:c>
      <x:c r="E18" s="404" t="n">
        <x:f>C18/(20*48)</x:f>
        <x:v>2.1</x:v>
      </x:c>
      <x:c r="F18" s="404" t="n">
        <x:f>C18/(30*48)</x:f>
        <x:v>1.4</x:v>
      </x:c>
      <x:c r="G18" s="404" t="n">
        <x:f>C18/(40*48)</x:f>
        <x:v>1.05</x:v>
      </x:c>
      <x:c r="H18" s="402" t="str">
        <x:v>Clave para empresa, liderazgo y ITSM.</x:v>
      </x:c>
    </x:row>
    <x:row r="19" ht="38" customHeight="1">
      <x:c r="A19" s="411" t="str">
        <x:v>Bioinformática y salud digital</x:v>
      </x:c>
      <x:c r="B19" s="412" t="n">
        <x:f>COUNTIF('Cursos'!$E$5:$E$1000,A19)</x:f>
        <x:v>27</x:v>
      </x:c>
      <x:c r="C19" s="412" t="n">
        <x:f>SUMIF('Cursos'!$E$5:$E$1000,A19,'Cursos'!$N$5:$N$1000)</x:f>
        <x:v>2268</x:v>
      </x:c>
      <x:c r="D19" s="413" t="n">
        <x:f>SUMIF('Cursos'!$E$5:$E$1000,A19,'Cursos'!$O$5:$O$1000)</x:f>
        <x:v>90.72</x:v>
      </x:c>
      <x:c r="E19" s="413" t="n">
        <x:f>C19/(20*48)</x:f>
        <x:v>2.3625</x:v>
      </x:c>
      <x:c r="F19" s="413" t="n">
        <x:f>C19/(30*48)</x:f>
        <x:v>1.575</x:v>
      </x:c>
      <x:c r="G19" s="413" t="n">
        <x:f>C19/(40*48)</x:f>
        <x:v>1.18125</x:v>
      </x:c>
      <x:c r="H19" s="411" t="str">
        <x:v>Especialización interdisciplinaria avanzada.</x:v>
      </x:c>
    </x:row>
    <x:row r="20" ht="38" customHeight="1">
      <x:c r="A20" s="402" t="str">
        <x:v>Computación cuántica</x:v>
      </x:c>
      <x:c r="B20" s="403" t="n">
        <x:f>COUNTIF('Cursos'!$E$5:$E$1000,A20)</x:f>
        <x:v>14</x:v>
      </x:c>
      <x:c r="C20" s="403" t="n">
        <x:f>SUMIF('Cursos'!$E$5:$E$1000,A20,'Cursos'!$N$5:$N$1000)</x:f>
        <x:v>1176</x:v>
      </x:c>
      <x:c r="D20" s="404" t="n">
        <x:f>SUMIF('Cursos'!$E$5:$E$1000,A20,'Cursos'!$O$5:$O$1000)</x:f>
        <x:v>47.04</x:v>
      </x:c>
      <x:c r="E20" s="404" t="n">
        <x:f>C20/(20*48)</x:f>
        <x:v>1.225</x:v>
      </x:c>
      <x:c r="F20" s="404" t="n">
        <x:f>C20/(30*48)</x:f>
        <x:v>0.8166666666666667</x:v>
      </x:c>
      <x:c r="G20" s="404" t="n">
        <x:f>C20/(40*48)</x:f>
        <x:v>0.6125</x:v>
      </x:c>
      <x:c r="H20" s="402" t="str">
        <x:v>Frontera; requiere álgebra lineal, probabilidad y física.</x:v>
      </x:c>
    </x:row>
    <x:row r="21" ht="38" customHeight="1">
      <x:c r="A21" s="414" t="str">
        <x:v>Investigación, profesión y capstones</x:v>
      </x:c>
      <x:c r="B21" s="415" t="n">
        <x:f>COUNTIF('Cursos'!$E$5:$E$1000,A21)</x:f>
        <x:v>32</x:v>
      </x:c>
      <x:c r="C21" s="415" t="n">
        <x:f>SUMIF('Cursos'!$E$5:$E$1000,A21,'Cursos'!$N$5:$N$1000)</x:f>
        <x:v>3200</x:v>
      </x:c>
      <x:c r="D21" s="416" t="n">
        <x:f>SUMIF('Cursos'!$E$5:$E$1000,A21,'Cursos'!$O$5:$O$1000)</x:f>
        <x:v>128</x:v>
      </x:c>
      <x:c r="E21" s="416" t="n">
        <x:f>C21/(20*48)</x:f>
        <x:v>3.3333333333333335</x:v>
      </x:c>
      <x:c r="F21" s="416" t="n">
        <x:f>C21/(30*48)</x:f>
        <x:v>2.2222222222222223</x:v>
      </x:c>
      <x:c r="G21" s="416" t="n">
        <x:f>C21/(40*48)</x:f>
        <x:v>1.6666666666666667</x:v>
      </x:c>
      <x:c r="H21" s="414" t="str">
        <x:v>Obligatoria para convertir estudio en dominio real.</x:v>
      </x:c>
    </x:row>
  </x:sheetData>
  <x:mergeCells>
    <x:mergeCell ref="A1:H1"/>
    <x:mergeCell ref="A2:H2"/>
  </x:mergeCells>
  <x:pageMargins left="0.7" right="0.7" top="0.75" bottom="0.75" header="0.3" footer="0.3"/>
  <x:drawing xmlns:r="http://schemas.openxmlformats.org/officeDocument/2006/relationships" r:id="R72a57ee05505424f"/>
  <x:tableParts count="1">
    <x:tablePart xmlns:r="http://schemas.openxmlformats.org/officeDocument/2006/relationships" r:id="Rf7d7a294060448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35" hidden="0" customWidth="1"/>
    <x:col min="4" max="4" width="34" hidden="0" customWidth="1"/>
    <x:col min="5" max="5" width="34" hidden="0" customWidth="1"/>
    <x:col min="6" max="6" width="14" hidden="0" customWidth="1"/>
    <x:col min="7" max="7" width="34" hidden="0" customWidth="1"/>
    <x:col min="8" max="8" width="34" hidden="0" customWidth="1"/>
  </x:cols>
  <x:sheetData>
    <x:row r="1" ht="34" customHeight="1">
      <x:c r="A1" s="4" t="str">
        <x:v>SECUENCIA RECOMENDADA</x:v>
      </x:c>
      <x:c r="B1" s="4" t="str">
        <x:v>SECUENCIA RECOMENDADA</x:v>
      </x:c>
      <x:c r="C1" s="4" t="str">
        <x:v>SECUENCIA RECOMENDADA</x:v>
      </x:c>
      <x:c r="D1" s="4" t="str">
        <x:v>SECUENCIA RECOMENDADA</x:v>
      </x:c>
      <x:c r="E1" s="4" t="str">
        <x:v>SECUENCIA RECOMENDADA</x:v>
      </x:c>
      <x:c r="F1" s="4" t="str">
        <x:v>SECUENCIA RECOMENDADA</x:v>
      </x:c>
      <x:c r="G1" s="4" t="str">
        <x:v>SECUENCIA RECOMENDADA</x:v>
      </x:c>
      <x:c r="H1" s="4" t="str">
        <x:v>SECUENCIA RECOMENDADA</x:v>
      </x:c>
    </x:row>
    <x:row r="2" ht="30" customHeight="1">
      <x:c r="A2" s="8" t="str">
        <x:v>No es un calendario rígido: avanza por dominio demostrado y proyectos terminados.</x:v>
      </x:c>
      <x:c r="B2" s="8" t="str">
        <x:v>No es un calendario rígido: avanza por dominio demostrado y proyectos terminados.</x:v>
      </x:c>
      <x:c r="C2" s="8" t="str">
        <x:v>No es un calendario rígido: avanza por dominio demostrado y proyectos terminados.</x:v>
      </x:c>
      <x:c r="D2" s="8" t="str">
        <x:v>No es un calendario rígido: avanza por dominio demostrado y proyectos terminados.</x:v>
      </x:c>
      <x:c r="E2" s="8" t="str">
        <x:v>No es un calendario rígido: avanza por dominio demostrado y proyectos terminados.</x:v>
      </x:c>
      <x:c r="F2" s="8" t="str">
        <x:v>No es un calendario rígido: avanza por dominio demostrado y proyectos terminados.</x:v>
      </x:c>
      <x:c r="G2" s="8" t="str">
        <x:v>No es un calendario rígido: avanza por dominio demostrado y proyectos terminados.</x:v>
      </x:c>
      <x:c r="H2" s="8" t="str">
        <x:v>No es un calendario rígido: avanza por dominio demostrado y proyectos terminados.</x:v>
      </x:c>
    </x:row>
    <x:row r="4">
      <x:c r="A4" s="377" t="str">
        <x:v>Nivel</x:v>
      </x:c>
      <x:c r="B4" s="377" t="str">
        <x:v>Fase</x:v>
      </x:c>
      <x:c r="C4" s="377" t="str">
        <x:v>Objetivo</x:v>
      </x:c>
      <x:c r="D4" s="377" t="str">
        <x:v>Rutas dominantes</x:v>
      </x:c>
      <x:c r="E4" s="377" t="str">
        <x:v>Salida mínima</x:v>
      </x:c>
      <x:c r="F4" s="377" t="str">
        <x:v>Horas/semana</x:v>
      </x:c>
      <x:c r="G4" s="377" t="str">
        <x:v>Regla de avance</x:v>
      </x:c>
      <x:c r="H4" s="377" t="str">
        <x:v>Riesgo a evitar</x:v>
      </x:c>
    </x:row>
    <x:row r="5" ht="55" customHeight="1">
      <x:c r="A5" s="417" t="n">
        <x:v>0</x:v>
      </x:c>
      <x:c r="B5" s="417" t="str">
        <x:v>Preparación</x:v>
      </x:c>
      <x:c r="C5" s="417" t="str">
        <x:v>Nivelar hábitos, inglés, ofimática y herramientas</x:v>
      </x:c>
      <x:c r="D5" s="417" t="str">
        <x:v>Preparación y ofimática</x:v>
      </x:c>
      <x:c r="E5" s="417" t="str">
        <x:v>Portafolio básico y entorno configurado</x:v>
      </x:c>
      <x:c r="F5" s="417" t="n">
        <x:v>20</x:v>
      </x:c>
      <x:c r="G5" s="417" t="str">
        <x:v>80% de ejercicios y documentación propia</x:v>
      </x:c>
      <x:c r="H5" s="417" t="str">
        <x:v>Coleccionar cursos sin practicar</x:v>
      </x:c>
    </x:row>
    <x:row r="6" ht="55" customHeight="1">
      <x:c r="A6" s="402" t="n">
        <x:v>1</x:v>
      </x:c>
      <x:c r="B6" s="402" t="str">
        <x:v>Fundamentos STEM</x:v>
      </x:c>
      <x:c r="C6" s="402" t="str">
        <x:v>Construir base matemática, científica y de programación</x:v>
      </x:c>
      <x:c r="D6" s="402" t="str">
        <x:v>Matemática; programación; soporte; diseño</x:v>
      </x:c>
      <x:c r="E6" s="402" t="str">
        <x:v>Programas pequeños y laboratorios</x:v>
      </x:c>
      <x:c r="F6" s="402" t="n">
        <x:v>25</x:v>
      </x:c>
      <x:c r="G6" s="402" t="str">
        <x:v>Resolver problemas sin copiar soluciones</x:v>
      </x:c>
      <x:c r="H6" s="402" t="str">
        <x:v>Saltar álgebra, lógica o inglés</x:v>
      </x:c>
    </x:row>
    <x:row r="7" ht="55" customHeight="1">
      <x:c r="A7" s="418" t="n">
        <x:v>2</x:v>
      </x:c>
      <x:c r="B7" s="418" t="str">
        <x:v>Núcleo computacional</x:v>
      </x:c>
      <x:c r="C7" s="418" t="str">
        <x:v>Dominar algoritmos, datos, hardware y redes</x:v>
      </x:c>
      <x:c r="D7" s="418" t="str">
        <x:v>CS; sistemas; datos; electrónica; redes</x:v>
      </x:c>
      <x:c r="E7" s="418" t="str">
        <x:v>Sistema pequeño completo</x:v>
      </x:c>
      <x:c r="F7" s="418" t="n">
        <x:v>30</x:v>
      </x:c>
      <x:c r="G7" s="418" t="str">
        <x:v>Explicar cada capa y medir resultados</x:v>
      </x:c>
      <x:c r="H7" s="418" t="str">
        <x:v>Aprender solo frameworks</x:v>
      </x:c>
    </x:row>
    <x:row r="8" ht="55" customHeight="1">
      <x:c r="A8" s="402" t="n">
        <x:v>3</x:v>
      </x:c>
      <x:c r="B8" s="402" t="str">
        <x:v>Sistemas e ingeniería</x:v>
      </x:c>
      <x:c r="C8" s="402" t="str">
        <x:v>Aplicar ingeniería, sistemas, cloud inicial y seguridad</x:v>
      </x:c>
      <x:c r="D8" s="402" t="str">
        <x:v>Software; sysadmin; redes; IoT; IS</x:v>
      </x:c>
      <x:c r="E8" s="402" t="str">
        <x:v>Aplicación desplegada y red documentada</x:v>
      </x:c>
      <x:c r="F8" s="402" t="n">
        <x:v>30</x:v>
      </x:c>
      <x:c r="G8" s="402" t="str">
        <x:v>Pruebas, versionado y monitoreo</x:v>
      </x:c>
      <x:c r="H8" s="402" t="str">
        <x:v>Proyectos sin calidad ni seguridad</x:v>
      </x:c>
    </x:row>
    <x:row r="9" ht="55" customHeight="1">
      <x:c r="A9" s="418" t="n">
        <x:v>4</x:v>
      </x:c>
      <x:c r="B9" s="418" t="str">
        <x:v>Integración profesional</x:v>
      </x:c>
      <x:c r="C9" s="418" t="str">
        <x:v>Integrar software, datos, infraestructura y negocio</x:v>
      </x:c>
      <x:c r="D9" s="418" t="str">
        <x:v>Software; BI; cloud; IA; robótica</x:v>
      </x:c>
      <x:c r="E9" s="418" t="str">
        <x:v>Capstones I–III</x:v>
      </x:c>
      <x:c r="F9" s="418" t="n">
        <x:v>30</x:v>
      </x:c>
      <x:c r="G9" s="418" t="str">
        <x:v>Usuarios reales o requisitos verificables</x:v>
      </x:c>
      <x:c r="H9" s="418" t="str">
        <x:v>Especializarse demasiado pronto</x:v>
      </x:c>
    </x:row>
    <x:row r="10" ht="55" customHeight="1">
      <x:c r="A10" s="402" t="n">
        <x:v>5</x:v>
      </x:c>
      <x:c r="B10" s="402" t="str">
        <x:v>Especialización I</x:v>
      </x:c>
      <x:c r="C10" s="402" t="str">
        <x:v>Elegir dos dominios profesionales principales</x:v>
      </x:c>
      <x:c r="D10" s="402" t="str">
        <x:v>Dos rutas de prioridad 2</x:v>
      </x:c>
      <x:c r="E10" s="402" t="str">
        <x:v>Certificación práctica o portafolio equivalente</x:v>
      </x:c>
      <x:c r="F10" s="402" t="n">
        <x:v>30</x:v>
      </x:c>
      <x:c r="G10" s="402" t="str">
        <x:v>Laboratorios cronometrados y documentación</x:v>
      </x:c>
      <x:c r="H10" s="402" t="str">
        <x:v>Intentar cursar todas las rutas a la vez</x:v>
      </x:c>
    </x:row>
    <x:row r="11" ht="55" customHeight="1">
      <x:c r="A11" s="418" t="n">
        <x:v>6</x:v>
      </x:c>
      <x:c r="B11" s="418" t="str">
        <x:v>Especialización II</x:v>
      </x:c>
      <x:c r="C11" s="418" t="str">
        <x:v>Profundizar y ganar experiencia profesional</x:v>
      </x:c>
      <x:c r="D11" s="418" t="str">
        <x:v>Rutas principales + investigación</x:v>
      </x:c>
      <x:c r="E11" s="418" t="str">
        <x:v>Práctica profesional y proyecto público</x:v>
      </x:c>
      <x:c r="F11" s="418" t="n">
        <x:v>30</x:v>
      </x:c>
      <x:c r="G11" s="418" t="str">
        <x:v>Revisión externa del trabajo</x:v>
      </x:c>
      <x:c r="H11" s="418" t="str">
        <x:v>Quedarse en tutoriales</x:v>
      </x:c>
    </x:row>
    <x:row r="12" ht="55" customHeight="1">
      <x:c r="A12" s="402" t="n">
        <x:v>7</x:v>
      </x:c>
      <x:c r="B12" s="402" t="str">
        <x:v>Profundización</x:v>
      </x:c>
      <x:c r="C12" s="402" t="str">
        <x:v>Añadir una tercera especialidad complementaria</x:v>
      </x:c>
      <x:c r="D12" s="402" t="str">
        <x:v>Seguridad/datos/cloud/hardware/creativa</x:v>
      </x:c>
      <x:c r="E12" s="402" t="str">
        <x:v>Sistema multidisciplinario</x:v>
      </x:c>
      <x:c r="F12" s="402" t="n">
        <x:v>25</x:v>
      </x:c>
      <x:c r="G12" s="402" t="str">
        <x:v>Arquitectura, métricas y defensa oral</x:v>
      </x:c>
      <x:c r="H12" s="402" t="str">
        <x:v>Confundir amplitud con dominio</x:v>
      </x:c>
    </x:row>
    <x:row r="13" ht="55" customHeight="1">
      <x:c r="A13" s="418" t="n">
        <x:v>8</x:v>
      </x:c>
      <x:c r="B13" s="418" t="str">
        <x:v>Interdisciplinariedad</x:v>
      </x:c>
      <x:c r="C13" s="418" t="str">
        <x:v>Explorar frontera técnica</x:v>
      </x:c>
      <x:c r="D13" s="418" t="str">
        <x:v>IA avanzada; XR; robótica; forense</x:v>
      </x:c>
      <x:c r="E13" s="418" t="str">
        <x:v>Capstone especializado</x:v>
      </x:c>
      <x:c r="F13" s="418" t="n">
        <x:v>25</x:v>
      </x:c>
      <x:c r="G13" s="418" t="str">
        <x:v>Comparar contra estado del arte</x:v>
      </x:c>
      <x:c r="H13" s="418" t="str">
        <x:v>Usar herramientas sin fundamentos</x:v>
      </x:c>
    </x:row>
    <x:row r="14" ht="55" customHeight="1">
      <x:c r="A14" s="402" t="n">
        <x:v>9</x:v>
      </x:c>
      <x:c r="B14" s="402" t="str">
        <x:v>Investigación aplicada</x:v>
      </x:c>
      <x:c r="C14" s="402" t="str">
        <x:v>Conectar computación con salud, biología o industria</x:v>
      </x:c>
      <x:c r="D14" s="402" t="str">
        <x:v>Bio; salud; IoT; IS</x:v>
      </x:c>
      <x:c r="E14" s="402" t="str">
        <x:v>Proyecto interdisciplinario validado</x:v>
      </x:c>
      <x:c r="F14" s="402" t="n">
        <x:v>25</x:v>
      </x:c>
      <x:c r="G14" s="402" t="str">
        <x:v>Consultar expertos del dominio</x:v>
      </x:c>
      <x:c r="H14" s="402" t="str">
        <x:v>Inferir sin conocimiento sectorial</x:v>
      </x:c>
    </x:row>
    <x:row r="15" ht="55" customHeight="1">
      <x:c r="A15" s="418" t="n">
        <x:v>10</x:v>
      </x:c>
      <x:c r="B15" s="418" t="str">
        <x:v>Capstones</x:v>
      </x:c>
      <x:c r="C15" s="418" t="str">
        <x:v>Integrar todo en productos y publicaciones</x:v>
      </x:c>
      <x:c r="D15" s="418" t="str">
        <x:v>Capstones IV–IX</x:v>
      </x:c>
      <x:c r="E15" s="418" t="str">
        <x:v>Portafolio maestro</x:v>
      </x:c>
      <x:c r="F15" s="418" t="n">
        <x:v>30</x:v>
      </x:c>
      <x:c r="G15" s="418" t="str">
        <x:v>Resultados reproducibles y revisión externa</x:v>
      </x:c>
      <x:c r="H15" s="418" t="str">
        <x:v>Proyectos enormes sin entregas</x:v>
      </x:c>
    </x:row>
    <x:row r="16" ht="55" customHeight="1">
      <x:c r="A16" s="402" t="n">
        <x:v>11</x:v>
      </x:c>
      <x:c r="B16" s="402" t="str">
        <x:v>Maestría autónoma</x:v>
      </x:c>
      <x:c r="C16" s="402" t="str">
        <x:v>Alcanzar nivel de arquitectura, investigación y liderazgo</x:v>
      </x:c>
      <x:c r="D16" s="402" t="str">
        <x:v>Tres rutas de profundidad</x:v>
      </x:c>
      <x:c r="E16" s="402" t="str">
        <x:v>Tesis/publicación/empresa</x:v>
      </x:c>
      <x:c r="F16" s="402" t="n">
        <x:v>25</x:v>
      </x:c>
      <x:c r="G16" s="402" t="str">
        <x:v>Impacto real y mentoría</x:v>
      </x:c>
      <x:c r="H16" s="402" t="str">
        <x:v>Estudiar sin comunidad ni feedback</x:v>
      </x:c>
    </x:row>
    <x:row r="17" ht="55" customHeight="1">
      <x:c r="A17" s="419" t="n">
        <x:v>12</x:v>
      </x:c>
      <x:c r="B17" s="419" t="str">
        <x:v>Frontera y actualización</x:v>
      </x:c>
      <x:c r="C17" s="419" t="str">
        <x:v>Actualizarse permanentemente</x:v>
      </x:c>
      <x:c r="D17" s="419" t="str">
        <x:v>Seminarios y documentación vigente</x:v>
      </x:c>
      <x:c r="E17" s="419" t="str">
        <x:v>Revisión anual de la malla</x:v>
      </x:c>
      <x:c r="F17" s="419" t="n">
        <x:v>10</x:v>
      </x:c>
      <x:c r="G17" s="419" t="str">
        <x:v>Eliminar lo obsoleto y crear proyectos nuevos</x:v>
      </x:c>
      <x:c r="H17" s="419" t="str">
        <x:v>Creer que el aprendizaje termina</x:v>
      </x:c>
    </x:row>
  </x:sheetData>
  <x:mergeCells>
    <x:mergeCell ref="A1:H1"/>
    <x:mergeCell ref="A2:H2"/>
  </x:mergeCells>
  <x:pageMargins left="0.7" right="0.7" top="0.75" bottom="0.75" header="0.3" footer="0.3"/>
  <x:tableParts count="1">
    <x:tablePart xmlns:r="http://schemas.openxmlformats.org/officeDocument/2006/relationships" r:id="Rd6152067d26a49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42" hidden="0" customWidth="1"/>
    <x:col min="4" max="4" width="38" hidden="0" customWidth="1"/>
    <x:col min="5" max="5" width="72" hidden="0" customWidth="1"/>
    <x:col min="6" max="6" width="20" hidden="0" customWidth="1"/>
  </x:cols>
  <x:sheetData>
    <x:row r="1" ht="34" customHeight="1">
      <x:c r="A1" s="4" t="str">
        <x:v>FUENTES OFICIALES Y MARCOS DE REFERENCIA</x:v>
      </x:c>
      <x:c r="B1" s="4" t="str">
        <x:v>FUENTES OFICIALES Y MARCOS DE REFERENCIA</x:v>
      </x:c>
      <x:c r="C1" s="4" t="str">
        <x:v>FUENTES OFICIALES Y MARCOS DE REFERENCIA</x:v>
      </x:c>
      <x:c r="D1" s="4" t="str">
        <x:v>FUENTES OFICIALES Y MARCOS DE REFERENCIA</x:v>
      </x:c>
      <x:c r="E1" s="4" t="str">
        <x:v>FUENTES OFICIALES Y MARCOS DE REFERENCIA</x:v>
      </x:c>
      <x:c r="F1" s="4" t="str">
        <x:v>FUENTES OFICIALES Y MARCOS DE REFERENCIA</x:v>
      </x:c>
    </x:row>
    <x:row r="2" ht="30" customHeight="1">
      <x:c r="A2" s="8" t="str">
        <x:v>URLs en texto plano para auditoría. Fecha de consulta: 2026-07-29.</x:v>
      </x:c>
      <x:c r="B2" s="8" t="str">
        <x:v>URLs en texto plano para auditoría. Fecha de consulta: 2026-07-29.</x:v>
      </x:c>
      <x:c r="C2" s="8" t="str">
        <x:v>URLs en texto plano para auditoría. Fecha de consulta: 2026-07-29.</x:v>
      </x:c>
      <x:c r="D2" s="8" t="str">
        <x:v>URLs en texto plano para auditoría. Fecha de consulta: 2026-07-29.</x:v>
      </x:c>
      <x:c r="E2" s="8" t="str">
        <x:v>URLs en texto plano para auditoría. Fecha de consulta: 2026-07-29.</x:v>
      </x:c>
      <x:c r="F2" s="8" t="str">
        <x:v>URLs en texto plano para auditoría. Fecha de consulta: 2026-07-29.</x:v>
      </x:c>
    </x:row>
    <x:row r="4">
      <x:c r="A4" s="377" t="str">
        <x:v>ID</x:v>
      </x:c>
      <x:c r="B4" s="377" t="str">
        <x:v>Entidad</x:v>
      </x:c>
      <x:c r="C4" s="377" t="str">
        <x:v>Documento/plan</x:v>
      </x:c>
      <x:c r="D4" s="377" t="str">
        <x:v>Cobertura</x:v>
      </x:c>
      <x:c r="E4" s="377" t="str">
        <x:v>URL oficial</x:v>
      </x:c>
      <x:c r="F4" s="377" t="str">
        <x:v>Tipo</x:v>
      </x:c>
    </x:row>
    <x:row r="5" ht="44" customHeight="1">
      <x:c r="A5" s="429" t="str">
        <x:v>S01</x:v>
      </x:c>
      <x:c r="B5" s="429" t="str">
        <x:v>ACM/IEEE-CS/AAAI</x:v>
      </x:c>
      <x:c r="C5" s="429" t="str">
        <x:v>CS2023 – Computer Science Curricula</x:v>
      </x:c>
      <x:c r="D5" s="429" t="str">
        <x:v>Computación y ciencias de la computación</x:v>
      </x:c>
      <x:c r="E5" s="429" t="str">
        <x:v>https://csed.acm.org/</x:v>
      </x:c>
      <x:c r="F5" s="429" t="str">
        <x:v>Marco curricular global</x:v>
      </x:c>
    </x:row>
    <x:row r="6" ht="44" customHeight="1">
      <x:c r="A6" s="427" t="str">
        <x:v>S02</x:v>
      </x:c>
      <x:c r="B6" s="427" t="str">
        <x:v>ACM/IEEE-CS</x:v>
      </x:c>
      <x:c r="C6" s="427" t="str">
        <x:v>Computing Curricula 2020 (CC2020)</x:v>
      </x:c>
      <x:c r="D6" s="427" t="str">
        <x:v>Siete disciplinas de computación</x:v>
      </x:c>
      <x:c r="E6" s="427" t="str">
        <x:v>https://www.acm.org/binaries/content/assets/education/curricula-recommendations/cc2020.pdf</x:v>
      </x:c>
      <x:c r="F6" s="427" t="str">
        <x:v>Marco curricular global</x:v>
      </x:c>
    </x:row>
    <x:row r="7" ht="44" customHeight="1">
      <x:c r="A7" s="430" t="str">
        <x:v>S03</x:v>
      </x:c>
      <x:c r="B7" s="430" t="str">
        <x:v>ABET</x:v>
      </x:c>
      <x:c r="C7" s="430" t="str">
        <x:v>Criteria for Accrediting Computing Programs 2026–2027</x:v>
      </x:c>
      <x:c r="D7" s="430" t="str">
        <x:v>CS, IS, IT y ciberseguridad</x:v>
      </x:c>
      <x:c r="E7" s="430" t="str">
        <x:v>https://www.abet.org/accreditation/accreditation-criteria/criteria-for-accrediting-computing-programs-2026-2027/</x:v>
      </x:c>
      <x:c r="F7" s="430" t="str">
        <x:v>Acreditación</x:v>
      </x:c>
    </x:row>
    <x:row r="8" ht="44" customHeight="1">
      <x:c r="A8" s="427" t="str">
        <x:v>S04</x:v>
      </x:c>
      <x:c r="B8" s="427" t="str">
        <x:v>ABET</x:v>
      </x:c>
      <x:c r="C8" s="427" t="str">
        <x:v>Criteria for Accrediting Engineering Programs 2026–2027</x:v>
      </x:c>
      <x:c r="D8" s="427" t="str">
        <x:v>Software, electrónica, telecom, robótica y mecatrónica</x:v>
      </x:c>
      <x:c r="E8" s="427" t="str">
        <x:v>https://www.abet.org/accreditation/accreditation-criteria/criteria-for-accrediting-engineering-programs-2026-2027/</x:v>
      </x:c>
      <x:c r="F8" s="427" t="str">
        <x:v>Acreditación</x:v>
      </x:c>
    </x:row>
    <x:row r="9" ht="44" customHeight="1">
      <x:c r="A9" s="430" t="str">
        <x:v>S05</x:v>
      </x:c>
      <x:c r="B9" s="430" t="str">
        <x:v>ACM</x:v>
      </x:c>
      <x:c r="C9" s="430" t="str">
        <x:v>Curricula Recommendations</x:v>
      </x:c>
      <x:c r="D9" s="430" t="str">
        <x:v>CSEC2017, IT2017, IS2020, SE2014, CE2016</x:v>
      </x:c>
      <x:c r="E9" s="430" t="str">
        <x:v>https://www.acm.org/education/curricula-recommendations</x:v>
      </x:c>
      <x:c r="F9" s="430" t="str">
        <x:v>Colección oficial</x:v>
      </x:c>
    </x:row>
    <x:row r="10" ht="44" customHeight="1">
      <x:c r="A10" s="427" t="str">
        <x:v>S06</x:v>
      </x:c>
      <x:c r="B10" s="427" t="str">
        <x:v>ACM/AIS</x:v>
      </x:c>
      <x:c r="C10" s="427" t="str">
        <x:v>IS2020</x:v>
      </x:c>
      <x:c r="D10" s="427" t="str">
        <x:v>Sistemas de información</x:v>
      </x:c>
      <x:c r="E10" s="427" t="str">
        <x:v>https://www.acm.org/binaries/content/assets/education/curricula-recommendations/is2020.pdf</x:v>
      </x:c>
      <x:c r="F10" s="427" t="str">
        <x:v>Marco curricular</x:v>
      </x:c>
    </x:row>
    <x:row r="11" ht="44" customHeight="1">
      <x:c r="A11" s="430" t="str">
        <x:v>S07</x:v>
      </x:c>
      <x:c r="B11" s="430" t="str">
        <x:v>ACM</x:v>
      </x:c>
      <x:c r="C11" s="430" t="str">
        <x:v>CCDS2021</x:v>
      </x:c>
      <x:c r="D11" s="430" t="str">
        <x:v>Ciencia de datos</x:v>
      </x:c>
      <x:c r="E11" s="430" t="str">
        <x:v>https://www.acm.org/binaries/content/assets/education/curricula-recommendations/dstf_ccdsc2021.pdf</x:v>
      </x:c>
      <x:c r="F11" s="430" t="str">
        <x:v>Marco curricular</x:v>
      </x:c>
    </x:row>
    <x:row r="12" ht="44" customHeight="1">
      <x:c r="A12" s="427" t="str">
        <x:v>S08</x:v>
      </x:c>
      <x:c r="B12" s="427" t="str">
        <x:v>NIST</x:v>
      </x:c>
      <x:c r="C12" s="427" t="str">
        <x:v>NICE Framework Components v2.2.0</x:v>
      </x:c>
      <x:c r="D12" s="427" t="str">
        <x:v>Roles y competencias de ciberseguridad</x:v>
      </x:c>
      <x:c r="E12" s="427" t="str">
        <x:v>https://www.nist.gov/itl/applied-cybersecurity/nice/nice-framework-resource-center/nice-framework-current-versions</x:v>
      </x:c>
      <x:c r="F12" s="427" t="str">
        <x:v>Marco profesional</x:v>
      </x:c>
    </x:row>
    <x:row r="13" ht="44" customHeight="1">
      <x:c r="A13" s="430" t="str">
        <x:v>S09</x:v>
      </x:c>
      <x:c r="B13" s="430" t="str">
        <x:v>MIT</x:v>
      </x:c>
      <x:c r="C13" s="430" t="str">
        <x:v>BS Computer Science and Engineering 6-3</x:v>
      </x:c>
      <x:c r="D13" s="430" t="str">
        <x:v>CS, sistemas, algoritmos y arquitectura</x:v>
      </x:c>
      <x:c r="E13" s="430" t="str">
        <x:v>https://catalog.mit.edu/degree-charts/computer-science-engineering-course-6-3/</x:v>
      </x:c>
      <x:c r="F13" s="430" t="str">
        <x:v>Plan universitario</x:v>
      </x:c>
    </x:row>
    <x:row r="14" ht="44" customHeight="1">
      <x:c r="A14" s="427" t="str">
        <x:v>S10</x:v>
      </x:c>
      <x:c r="B14" s="427" t="str">
        <x:v>MIT</x:v>
      </x:c>
      <x:c r="C14" s="427" t="str">
        <x:v>EECS Tracks</x:v>
      </x:c>
      <x:c r="D14" s="427" t="str">
        <x:v>CS, EE, IA y computación cuántica</x:v>
      </x:c>
      <x:c r="E14" s="427" t="str">
        <x:v>https://catalog.mit.edu/degree-charts/electrical-engineering-computer-science-tracks/</x:v>
      </x:c>
      <x:c r="F14" s="427" t="str">
        <x:v>Plan universitario</x:v>
      </x:c>
    </x:row>
    <x:row r="15" ht="44" customHeight="1">
      <x:c r="A15" s="430" t="str">
        <x:v>S11</x:v>
      </x:c>
      <x:c r="B15" s="430" t="str">
        <x:v>Stanford</x:v>
      </x:c>
      <x:c r="C15" s="430" t="str">
        <x:v>BS Computer Science Requirements</x:v>
      </x:c>
      <x:c r="D15" s="430" t="str">
        <x:v>CS, matemática, ciencia, ingeniería y proyecto</x:v>
      </x:c>
      <x:c r="E15" s="430" t="str">
        <x:v>https://www.cs.stanford.edu/bs-degree-requirements</x:v>
      </x:c>
      <x:c r="F15" s="430" t="str">
        <x:v>Plan universitario</x:v>
      </x:c>
    </x:row>
    <x:row r="16" ht="44" customHeight="1">
      <x:c r="A16" s="427" t="str">
        <x:v>S12</x:v>
      </x:c>
      <x:c r="B16" s="427" t="str">
        <x:v>Carnegie Mellon</x:v>
      </x:c>
      <x:c r="C16" s="427" t="str">
        <x:v>SCS Undergraduate Programs</x:v>
      </x:c>
      <x:c r="D16" s="427" t="str">
        <x:v>CS, IA, ML, robótica, HCI, seguridad y biología</x:v>
      </x:c>
      <x:c r="E16" s="427" t="str">
        <x:v>https://www.cs.cmu.edu/education/undergraduate/index</x:v>
      </x:c>
      <x:c r="F16" s="427" t="str">
        <x:v>Plan universitario</x:v>
      </x:c>
    </x:row>
    <x:row r="17" ht="44" customHeight="1">
      <x:c r="A17" s="430" t="str">
        <x:v>S13</x:v>
      </x:c>
      <x:c r="B17" s="430" t="str">
        <x:v>UC Berkeley</x:v>
      </x:c>
      <x:c r="C17" s="430" t="str">
        <x:v>EECS BS</x:v>
      </x:c>
      <x:c r="D17" s="430" t="str">
        <x:v>Computación, electrónica y sistemas físicos</x:v>
      </x:c>
      <x:c r="E17" s="430" t="str">
        <x:v>https://eecs.berkeley.edu/academics/undergraduate/eecs-bs/</x:v>
      </x:c>
      <x:c r="F17" s="430" t="str">
        <x:v>Plan universitario</x:v>
      </x:c>
    </x:row>
    <x:row r="18" ht="44" customHeight="1">
      <x:c r="A18" s="427" t="str">
        <x:v>S14</x:v>
      </x:c>
      <x:c r="B18" s="427" t="str">
        <x:v>Oxford</x:v>
      </x:c>
      <x:c r="C18" s="427" t="str">
        <x:v>Computer Science</x:v>
      </x:c>
      <x:c r="D18" s="427" t="str">
        <x:v>Algoritmos, compiladores, concurrencia, modelos y opciones</x:v>
      </x:c>
      <x:c r="E18" s="427" t="str">
        <x:v>https://www.ox.ac.uk/admissions/undergraduate/courses/course-listing/computer-science</x:v>
      </x:c>
      <x:c r="F18" s="427" t="str">
        <x:v>Plan universitario</x:v>
      </x:c>
    </x:row>
    <x:row r="19" ht="44" customHeight="1">
      <x:c r="A19" s="430" t="str">
        <x:v>S15</x:v>
      </x:c>
      <x:c r="B19" s="430" t="str">
        <x:v>Cambridge</x:v>
      </x:c>
      <x:c r="C19" s="430" t="str">
        <x:v>Computer Science Tripos</x:v>
      </x:c>
      <x:c r="D19" s="430" t="str">
        <x:v>Teoría, software, hardware, ML, seguridad, HCI</x:v>
      </x:c>
      <x:c r="E19" s="430" t="str">
        <x:v>https://www.cst.cam.ac.uk/admissions/undergraduate/course-overview</x:v>
      </x:c>
      <x:c r="F19" s="430" t="str">
        <x:v>Plan universitario</x:v>
      </x:c>
    </x:row>
    <x:row r="20" ht="44" customHeight="1">
      <x:c r="A20" s="427" t="str">
        <x:v>S16</x:v>
      </x:c>
      <x:c r="B20" s="427" t="str">
        <x:v>ETH Zürich</x:v>
      </x:c>
      <x:c r="C20" s="427" t="str">
        <x:v>Bachelor Computer Science</x:v>
      </x:c>
      <x:c r="D20" s="427" t="str">
        <x:v>Matemática, programación, algoritmos y sistemas</x:v>
      </x:c>
      <x:c r="E20" s="427" t="str">
        <x:v>https://inf.ethz.ch/studies/bachelor.html</x:v>
      </x:c>
      <x:c r="F20" s="427" t="str">
        <x:v>Plan universitario</x:v>
      </x:c>
    </x:row>
    <x:row r="21" ht="44" customHeight="1">
      <x:c r="A21" s="430" t="str">
        <x:v>S17</x:v>
      </x:c>
      <x:c r="B21" s="430" t="str">
        <x:v>EPFL</x:v>
      </x:c>
      <x:c r="C21" s="430" t="str">
        <x:v>Bachelor Computer Science Study Plan</x:v>
      </x:c>
      <x:c r="D21" s="430" t="str">
        <x:v>CS, sistemas, seguridad y datos</x:v>
      </x:c>
      <x:c r="E21" s="430" t="str">
        <x:v>https://edu.epfl.ch/studyplan/en/bachelor/computer-science/</x:v>
      </x:c>
      <x:c r="F21" s="430" t="str">
        <x:v>Plan universitario</x:v>
      </x:c>
    </x:row>
    <x:row r="22" ht="44" customHeight="1">
      <x:c r="A22" s="427" t="str">
        <x:v>S18</x:v>
      </x:c>
      <x:c r="B22" s="427" t="str">
        <x:v>NUS</x:v>
      </x:c>
      <x:c r="C22" s="427" t="str">
        <x:v>BComp Computer Science</x:v>
      </x:c>
      <x:c r="D22" s="427" t="str">
        <x:v>Diez focos, de teoría a sistemas distribuidos y juegos</x:v>
      </x:c>
      <x:c r="E22" s="427" t="str">
        <x:v>https://www.comp.nus.edu.sg/programmes/ug/cs/curr/</x:v>
      </x:c>
      <x:c r="F22" s="427" t="str">
        <x:v>Plan universitario</x:v>
      </x:c>
    </x:row>
    <x:row r="23" ht="44" customHeight="1">
      <x:c r="A23" s="430" t="str">
        <x:v>S19</x:v>
      </x:c>
      <x:c r="B23" s="430" t="str">
        <x:v>NTU Singapore</x:v>
      </x:c>
      <x:c r="C23" s="430" t="str">
        <x:v>BComp Computer Science</x:v>
      </x:c>
      <x:c r="D23" s="430" t="str">
        <x:v>Fundamentos, algoritmos, datos y diseño de software</x:v>
      </x:c>
      <x:c r="E23" s="430" t="str">
        <x:v>https://www.ntu.edu.sg/spms/admissions/undergrad/detail/bachelor-of-computing-in-computer-science</x:v>
      </x:c>
      <x:c r="F23" s="430" t="str">
        <x:v>Plan universitario</x:v>
      </x:c>
    </x:row>
    <x:row r="24" ht="44" customHeight="1">
      <x:c r="A24" s="427" t="str">
        <x:v>S20</x:v>
      </x:c>
      <x:c r="B24" s="427" t="str">
        <x:v>University of Tokyo</x:v>
      </x:c>
      <x:c r="C24" s="427" t="str">
        <x:v>Computer Science Curriculum 2025</x:v>
      </x:c>
      <x:c r="D24" s="427" t="str">
        <x:v>Teoría, sistemas, bioinformática, gráficos, NLP y seguridad</x:v>
      </x:c>
      <x:c r="E24" s="427" t="str">
        <x:v>https://www.i.u-tokyo.ac.jp/upload/2025_curriculum-structure_e_20250321.pdf</x:v>
      </x:c>
      <x:c r="F24" s="427" t="str">
        <x:v>Plan universitario</x:v>
      </x:c>
    </x:row>
    <x:row r="25" ht="44" customHeight="1">
      <x:c r="A25" s="430" t="str">
        <x:v>S21</x:v>
      </x:c>
      <x:c r="B25" s="430" t="str">
        <x:v>Tsinghua</x:v>
      </x:c>
      <x:c r="C25" s="430" t="str">
        <x:v>Computer Science Undergraduate Curriculum</x:v>
      </x:c>
      <x:c r="D25" s="430" t="str">
        <x:v>CS y tecnología con base general amplia</x:v>
      </x:c>
      <x:c r="E25" s="430" t="str">
        <x:v>https://www.cs.tsinghua.edu.cn/csen/Education1/Undergraduate_Programs_/Curriculum.htm</x:v>
      </x:c>
      <x:c r="F25" s="430" t="str">
        <x:v>Plan universitario</x:v>
      </x:c>
    </x:row>
    <x:row r="26" ht="44" customHeight="1">
      <x:c r="A26" s="427" t="str">
        <x:v>S22</x:v>
      </x:c>
      <x:c r="B26" s="427" t="str">
        <x:v>TUM</x:v>
      </x:c>
      <x:c r="C26" s="427" t="str">
        <x:v>BSc Informatics</x:v>
      </x:c>
      <x:c r="D26" s="427" t="str">
        <x:v>Teoría, práctica, sistemas, IA, gráficos y seguridad</x:v>
      </x:c>
      <x:c r="E26" s="427" t="str">
        <x:v>https://www.tum.de/en/studies/degree-programs/detail/informatics-bachelor-of-science-bsc</x:v>
      </x:c>
      <x:c r="F26" s="427" t="str">
        <x:v>Plan universitario</x:v>
      </x:c>
    </x:row>
    <x:row r="27" ht="44" customHeight="1">
      <x:c r="A27" s="430" t="str">
        <x:v>S23</x:v>
      </x:c>
      <x:c r="B27" s="430" t="str">
        <x:v>Imperial College London</x:v>
      </x:c>
      <x:c r="C27" s="430" t="str">
        <x:v>BEng/MEng Computing</x:v>
      </x:c>
      <x:c r="D27" s="430" t="str">
        <x:v>Teoría y práctica de computación</x:v>
      </x:c>
      <x:c r="E27" s="430" t="str">
        <x:v>https://www.imperial.ac.uk/engineering/departments/computing/prospective-students/courses/ug/beng-meng-computing/</x:v>
      </x:c>
      <x:c r="F27" s="430" t="str">
        <x:v>Plan universitario</x:v>
      </x:c>
    </x:row>
    <x:row r="28" ht="44" customHeight="1">
      <x:c r="A28" s="427" t="str">
        <x:v>S24</x:v>
      </x:c>
      <x:c r="B28" s="427" t="str">
        <x:v>Carnegie Mellon</x:v>
      </x:c>
      <x:c r="C28" s="427" t="str">
        <x:v>BS Robotics</x:v>
      </x:c>
      <x:c r="D28" s="427" t="str">
        <x:v>Robomath, control, sensores, planificación y cognición</x:v>
      </x:c>
      <x:c r="E28" s="427" t="str">
        <x:v>https://www.ri.cmu.edu/education/academic-programs/bachelor-of-science-in-robotics/</x:v>
      </x:c>
      <x:c r="F28" s="427" t="str">
        <x:v>Plan universitario</x:v>
      </x:c>
    </x:row>
    <x:row r="29" ht="44" customHeight="1">
      <x:c r="A29" s="430" t="str">
        <x:v>S25</x:v>
      </x:c>
      <x:c r="B29" s="430" t="str">
        <x:v>Purdue</x:v>
      </x:c>
      <x:c r="C29" s="430" t="str">
        <x:v>BS Mechatronics Engineering Technology</x:v>
      </x:c>
      <x:c r="D29" s="430" t="str">
        <x:v>Programación, automatización, control y diseño mecánico</x:v>
      </x:c>
      <x:c r="E29" s="430" t="str">
        <x:v>https://polytechnic.purdue.edu/academics/mechatronics-engineering-technology</x:v>
      </x:c>
      <x:c r="F29" s="430" t="str">
        <x:v>Plan universitario</x:v>
      </x:c>
    </x:row>
    <x:row r="30" ht="44" customHeight="1">
      <x:c r="A30" s="427" t="str">
        <x:v>S26</x:v>
      </x:c>
      <x:c r="B30" s="427" t="str">
        <x:v>RIT</x:v>
      </x:c>
      <x:c r="C30" s="427" t="str">
        <x:v>BS Electrical Engineering Technology</x:v>
      </x:c>
      <x:c r="D30" s="427" t="str">
        <x:v>Circuitos, microcontroladores y electrónica aplicada</x:v>
      </x:c>
      <x:c r="E30" s="427" t="str">
        <x:v>https://www.rit.edu/study/electrical-engineering-technology-bs</x:v>
      </x:c>
      <x:c r="F30" s="427" t="str">
        <x:v>Plan universitario</x:v>
      </x:c>
    </x:row>
    <x:row r="31" ht="44" customHeight="1">
      <x:c r="A31" s="430" t="str">
        <x:v>S27</x:v>
      </x:c>
      <x:c r="B31" s="430" t="str">
        <x:v>Cisco</x:v>
      </x:c>
      <x:c r="C31" s="430" t="str">
        <x:v>CCNA Exam Topics</x:v>
      </x:c>
      <x:c r="D31" s="430" t="str">
        <x:v>Redes, acceso, IP, servicios, seguridad y automatización</x:v>
      </x:c>
      <x:c r="E31" s="430" t="str">
        <x:v>https://learningnetwork.cisco.com/s/ccna-exam-topics</x:v>
      </x:c>
      <x:c r="F31" s="430" t="str">
        <x:v>Marco profesional</x:v>
      </x:c>
    </x:row>
    <x:row r="32" ht="44" customHeight="1">
      <x:c r="A32" s="427" t="str">
        <x:v>S28</x:v>
      </x:c>
      <x:c r="B32" s="427" t="str">
        <x:v>AWS</x:v>
      </x:c>
      <x:c r="C32" s="427" t="str">
        <x:v>Certification Exam Guides</x:v>
      </x:c>
      <x:c r="D32" s="427" t="str">
        <x:v>Nube, arquitectura, seguridad y operaciones</x:v>
      </x:c>
      <x:c r="E32" s="427" t="str">
        <x:v>https://docs.aws.amazon.com/aws-certification/latest/examguides/aws-certification-exam-guides.html</x:v>
      </x:c>
      <x:c r="F32" s="427" t="str">
        <x:v>Marco profesional</x:v>
      </x:c>
    </x:row>
    <x:row r="33" ht="44" customHeight="1">
      <x:c r="A33" s="430" t="str">
        <x:v>S29</x:v>
      </x:c>
      <x:c r="B33" s="430" t="str">
        <x:v>Microsoft</x:v>
      </x:c>
      <x:c r="C33" s="430" t="str">
        <x:v>AZ-104 Azure Administrator</x:v>
      </x:c>
      <x:c r="D33" s="430" t="str">
        <x:v>Identidad, storage, cómputo, redes y monitoreo</x:v>
      </x:c>
      <x:c r="E33" s="430" t="str">
        <x:v>https://learn.microsoft.com/en-us/credentials/certifications/resources/study-guides/az-104</x:v>
      </x:c>
      <x:c r="F33" s="430" t="str">
        <x:v>Marco profesional</x:v>
      </x:c>
    </x:row>
    <x:row r="34" ht="44" customHeight="1">
      <x:c r="A34" s="427" t="str">
        <x:v>S30</x:v>
      </x:c>
      <x:c r="B34" s="427" t="str">
        <x:v>Red Hat</x:v>
      </x:c>
      <x:c r="C34" s="427" t="str">
        <x:v>RHCSA EX200</x:v>
      </x:c>
      <x:c r="D34" s="427" t="str">
        <x:v>Administración Linux práctica</x:v>
      </x:c>
      <x:c r="E34" s="427" t="str">
        <x:v>https://www.redhat.com/en/services/training/ex200-red-hat-certified-system-administrator-rhcsa-exam</x:v>
      </x:c>
      <x:c r="F34" s="427" t="str">
        <x:v>Marco profesional</x:v>
      </x:c>
    </x:row>
    <x:row r="35" ht="44" customHeight="1">
      <x:c r="A35" s="430" t="str">
        <x:v>S31</x:v>
      </x:c>
      <x:c r="B35" s="430" t="str">
        <x:v>Linux Foundation</x:v>
      </x:c>
      <x:c r="C35" s="430" t="str">
        <x:v>LFCS y CKA</x:v>
      </x:c>
      <x:c r="D35" s="430" t="str">
        <x:v>Linux, contenedores y Kubernetes</x:v>
      </x:c>
      <x:c r="E35" s="430" t="str">
        <x:v>https://training.linuxfoundation.org/certification/linux-foundation-certified-sysadmin-lfcs/</x:v>
      </x:c>
      <x:c r="F35" s="430" t="str">
        <x:v>Marco profesional</x:v>
      </x:c>
    </x:row>
    <x:row r="36" ht="44" customHeight="1">
      <x:c r="A36" s="427" t="str">
        <x:v>S32</x:v>
      </x:c>
      <x:c r="B36" s="427" t="str">
        <x:v>OffSec</x:v>
      </x:c>
      <x:c r="C36" s="427" t="str">
        <x:v>PEN-200 / OSCP+</x:v>
      </x:c>
      <x:c r="D36" s="427" t="str">
        <x:v>Pruebas de penetración autorizadas</x:v>
      </x:c>
      <x:c r="E36" s="427" t="str">
        <x:v>https://www.offsec.com/courses/pen-200/</x:v>
      </x:c>
      <x:c r="F36" s="427" t="str">
        <x:v>Marco profesional</x:v>
      </x:c>
    </x:row>
    <x:row r="37" ht="44" customHeight="1">
      <x:c r="A37" s="430" t="str">
        <x:v>S33</x:v>
      </x:c>
      <x:c r="B37" s="430" t="str">
        <x:v>ISC2</x:v>
      </x:c>
      <x:c r="C37" s="430" t="str">
        <x:v>CISSP Exam Outline</x:v>
      </x:c>
      <x:c r="D37" s="430" t="str">
        <x:v>Ocho dominios de seguridad</x:v>
      </x:c>
      <x:c r="E37" s="430" t="str">
        <x:v>https://www.isc2.org/certifications/cissp/cissp-certification-exam-outline</x:v>
      </x:c>
      <x:c r="F37" s="430" t="str">
        <x:v>Marco profesional</x:v>
      </x:c>
    </x:row>
    <x:row r="38" ht="44" customHeight="1">
      <x:c r="A38" s="427" t="str">
        <x:v>S34</x:v>
      </x:c>
      <x:c r="B38" s="427" t="str">
        <x:v>ISACA</x:v>
      </x:c>
      <x:c r="C38" s="427" t="str">
        <x:v>CISA Exam Content Outline</x:v>
      </x:c>
      <x:c r="D38" s="427" t="str">
        <x:v>Auditoría, gobierno, operaciones y resiliencia</x:v>
      </x:c>
      <x:c r="E38" s="427" t="str">
        <x:v>https://www.isaca.org/credentialing/cisa/cisa-exam-content-outline</x:v>
      </x:c>
      <x:c r="F38" s="427" t="str">
        <x:v>Marco profesional</x:v>
      </x:c>
    </x:row>
    <x:row r="39" ht="44" customHeight="1">
      <x:c r="A39" s="430" t="str">
        <x:v>S35</x:v>
      </x:c>
      <x:c r="B39" s="430" t="str">
        <x:v>NIST</x:v>
      </x:c>
      <x:c r="C39" s="430" t="str">
        <x:v>SP 800-86 Digital Forensics</x:v>
      </x:c>
      <x:c r="D39" s="430" t="str">
        <x:v>Técnicas forenses e integración con incidentes</x:v>
      </x:c>
      <x:c r="E39" s="430" t="str">
        <x:v>https://csrc.nist.gov/pubs/sp/800/86/final</x:v>
      </x:c>
      <x:c r="F39" s="430" t="str">
        <x:v>Guía técnica</x:v>
      </x:c>
    </x:row>
    <x:row r="40" ht="44" customHeight="1">
      <x:c r="A40" s="427" t="str">
        <x:v>S36</x:v>
      </x:c>
      <x:c r="B40" s="427" t="str">
        <x:v>NIST</x:v>
      </x:c>
      <x:c r="C40" s="427" t="str">
        <x:v>Incident Response Project</x:v>
      </x:c>
      <x:c r="D40" s="427" t="str">
        <x:v>Preparación, detección, respuesta y recuperación</x:v>
      </x:c>
      <x:c r="E40" s="427" t="str">
        <x:v>https://csrc.nist.gov/projects/incident-response</x:v>
      </x:c>
      <x:c r="F40" s="427" t="str">
        <x:v>Guía técnica</x:v>
      </x:c>
    </x:row>
    <x:row r="41" ht="44" customHeight="1">
      <x:c r="A41" s="430" t="str">
        <x:v>S37</x:v>
      </x:c>
      <x:c r="B41" s="430" t="str">
        <x:v>Microsoft</x:v>
      </x:c>
      <x:c r="C41" s="430" t="str">
        <x:v>PL-300 Power BI Data Analyst</x:v>
      </x:c>
      <x:c r="D41" s="430" t="str">
        <x:v>Preparar, modelar, visualizar y proteger datos</x:v>
      </x:c>
      <x:c r="E41" s="430" t="str">
        <x:v>https://learn.microsoft.com/en-us/credentials/certifications/resources/study-guides/pl-300</x:v>
      </x:c>
      <x:c r="F41" s="430" t="str">
        <x:v>Marco profesional</x:v>
      </x:c>
    </x:row>
    <x:row r="42" ht="44" customHeight="1">
      <x:c r="A42" s="427" t="str">
        <x:v>S38</x:v>
      </x:c>
      <x:c r="B42" s="427" t="str">
        <x:v>Databricks</x:v>
      </x:c>
      <x:c r="C42" s="427" t="str">
        <x:v>Data and AI Certifications</x:v>
      </x:c>
      <x:c r="D42" s="427" t="str">
        <x:v>Ingeniería de datos, ML y GenAI</x:v>
      </x:c>
      <x:c r="E42" s="427" t="str">
        <x:v>https://www.databricks.com/learn/training/certification</x:v>
      </x:c>
      <x:c r="F42" s="427" t="str">
        <x:v>Marco profesional</x:v>
      </x:c>
    </x:row>
    <x:row r="43" ht="44" customHeight="1">
      <x:c r="A43" s="430" t="str">
        <x:v>S39</x:v>
      </x:c>
      <x:c r="B43" s="430" t="str">
        <x:v>ISCB</x:v>
      </x:c>
      <x:c r="C43" s="430" t="str">
        <x:v>Bioinformatics Competency Framework v3</x:v>
      </x:c>
      <x:c r="D43" s="430" t="str">
        <x:v>Competencias de bioinformática y biología computacional</x:v>
      </x:c>
      <x:c r="E43" s="430" t="str">
        <x:v>https://www.iscb.org/nucleus/education-and-training-resources/iscb-degree-granting-endorsement-program</x:v>
      </x:c>
      <x:c r="F43" s="430" t="str">
        <x:v>Marco profesional</x:v>
      </x:c>
    </x:row>
    <x:row r="44" ht="44" customHeight="1">
      <x:c r="A44" s="427" t="str">
        <x:v>S40</x:v>
      </x:c>
      <x:c r="B44" s="427" t="str">
        <x:v>AMIA</x:v>
      </x:c>
      <x:c r="C44" s="427" t="str">
        <x:v>Health Informatics Essentials 2026</x:v>
      </x:c>
      <x:c r="D44" s="427" t="str">
        <x:v>Datos clínicos, sistemas, decisión y transformación</x:v>
      </x:c>
      <x:c r="E44" s="427" t="str">
        <x:v>https://amia.org/education-events/health-informatics-essentials</x:v>
      </x:c>
      <x:c r="F44" s="427" t="str">
        <x:v>Marco profesional</x:v>
      </x:c>
    </x:row>
    <x:row r="45" ht="44" customHeight="1">
      <x:c r="A45" s="430" t="str">
        <x:v>S41</x:v>
      </x:c>
      <x:c r="B45" s="430" t="str">
        <x:v>IBM Quantum</x:v>
      </x:c>
      <x:c r="C45" s="430" t="str">
        <x:v>Quantum Learning</x:v>
      </x:c>
      <x:c r="D45" s="430" t="str">
        <x:v>Información, circuitos y programación cuántica</x:v>
      </x:c>
      <x:c r="E45" s="430" t="str">
        <x:v>https://qiskit.org/education</x:v>
      </x:c>
      <x:c r="F45" s="430" t="str">
        <x:v>Marco técnico</x:v>
      </x:c>
    </x:row>
    <x:row r="46" ht="44" customHeight="1">
      <x:c r="A46" s="427" t="str">
        <x:v>S42</x:v>
      </x:c>
      <x:c r="B46" s="427" t="str">
        <x:v>MIT</x:v>
      </x:c>
      <x:c r="C46" s="427" t="str">
        <x:v>Quantum Computing Fundamentals</x:v>
      </x:c>
      <x:c r="D46" s="427" t="str">
        <x:v>Fundamentos y algoritmos cuánticos</x:v>
      </x:c>
      <x:c r="E46" s="427" t="str">
        <x:v>https://learn-xpro.mit.edu/quantum-computing</x:v>
      </x:c>
      <x:c r="F46" s="427" t="str">
        <x:v>Marco técnico</x:v>
      </x:c>
    </x:row>
    <x:row r="47" ht="44" customHeight="1">
      <x:c r="A47" s="430" t="str">
        <x:v>S43</x:v>
      </x:c>
      <x:c r="B47" s="430" t="str">
        <x:v>RISD</x:v>
      </x:c>
      <x:c r="C47" s="430" t="str">
        <x:v>BFA Graphic Design</x:v>
      </x:c>
      <x:c r="D47" s="430" t="str">
        <x:v>Forma, imagen, color, tipografía y comunicación</x:v>
      </x:c>
      <x:c r="E47" s="430" t="str">
        <x:v>https://www.risd.edu/academics/graphic-design/bachelors-program</x:v>
      </x:c>
      <x:c r="F47" s="430" t="str">
        <x:v>Plan universitario</x:v>
      </x:c>
    </x:row>
    <x:row r="48" ht="44" customHeight="1">
      <x:c r="A48" s="427" t="str">
        <x:v>S44</x:v>
      </x:c>
      <x:c r="B48" s="427" t="str">
        <x:v>USC</x:v>
      </x:c>
      <x:c r="C48" s="427" t="str">
        <x:v>BFA Film &amp; Television Production</x:v>
      </x:c>
      <x:c r="D48" s="427" t="str">
        <x:v>Producción, cine, medios, animación y guion</x:v>
      </x:c>
      <x:c r="E48" s="427" t="str">
        <x:v>https://cinema.usc.edu/production/index.cfm</x:v>
      </x:c>
      <x:c r="F48" s="427" t="str">
        <x:v>Plan universitario</x:v>
      </x:c>
    </x:row>
    <x:row r="49" ht="44" customHeight="1">
      <x:c r="A49" s="430" t="str">
        <x:v>S45</x:v>
      </x:c>
      <x:c r="B49" s="430" t="str">
        <x:v>RIT</x:v>
      </x:c>
      <x:c r="C49" s="430" t="str">
        <x:v>BFA Photographic and Imaging Arts</x:v>
      </x:c>
      <x:c r="D49" s="430" t="str">
        <x:v>Fotografía, video, multimedia y publicación</x:v>
      </x:c>
      <x:c r="E49" s="430" t="str">
        <x:v>https://www.rit.edu/study/photographic-and-imaging-arts-bfa</x:v>
      </x:c>
      <x:c r="F49" s="430" t="str">
        <x:v>Plan universitario</x:v>
      </x:c>
    </x:row>
    <x:row r="50" ht="44" customHeight="1">
      <x:c r="A50" s="427" t="str">
        <x:v>S46</x:v>
      </x:c>
      <x:c r="B50" s="427" t="str">
        <x:v>Microsoft</x:v>
      </x:c>
      <x:c r="C50" s="427" t="str">
        <x:v>MOS Expert Microsoft 365 Apps</x:v>
      </x:c>
      <x:c r="D50" s="427" t="str">
        <x:v>Word, Excel, PowerPoint, Access y productividad</x:v>
      </x:c>
      <x:c r="E50" s="427" t="str">
        <x:v>https://learn.microsoft.com/en-us/credentials/certifications/microsoft-office-specialist-expert-m365-apps/</x:v>
      </x:c>
      <x:c r="F50" s="427" t="str">
        <x:v>Marco profesional</x:v>
      </x:c>
    </x:row>
    <x:row r="51" ht="44" customHeight="1">
      <x:c r="A51" s="430" t="str">
        <x:v>S47</x:v>
      </x:c>
      <x:c r="B51" s="430" t="str">
        <x:v>Apple</x:v>
      </x:c>
      <x:c r="C51" s="430" t="str">
        <x:v>Self Service Repair</x:v>
      </x:c>
      <x:c r="D51" s="430" t="str">
        <x:v>Diagnóstico y reparación de iPhone y Mac</x:v>
      </x:c>
      <x:c r="E51" s="430" t="str">
        <x:v>https://support.apple.com/self-service-repair</x:v>
      </x:c>
      <x:c r="F51" s="430" t="str">
        <x:v>Manual técnico</x:v>
      </x:c>
    </x:row>
    <x:row r="52" ht="44" customHeight="1">
      <x:c r="A52" s="427" t="str">
        <x:v>S48</x:v>
      </x:c>
      <x:c r="B52" s="427" t="str">
        <x:v>ABET</x:v>
      </x:c>
      <x:c r="C52" s="427" t="str">
        <x:v>Engineering Technology Criteria 2026–2027</x:v>
      </x:c>
      <x:c r="D52" s="427" t="str">
        <x:v>Aplicación, operación y mantenimiento de sistemas</x:v>
      </x:c>
      <x:c r="E52" s="427" t="str">
        <x:v>https://www.abet.org/accreditation/accreditation-criteria/criteria-for-accrediting-engineering-technology-programs-2026-2027/</x:v>
      </x:c>
      <x:c r="F52" s="427" t="str">
        <x:v>Acreditación</x:v>
      </x:c>
    </x:row>
    <x:row r="53" ht="44" customHeight="1">
      <x:c r="A53" s="430" t="str">
        <x:v>S49</x:v>
      </x:c>
      <x:c r="B53" s="430" t="str">
        <x:v>Microsoft</x:v>
      </x:c>
      <x:c r="C53" s="430" t="str">
        <x:v>MO-211 Excel Expert</x:v>
      </x:c>
      <x:c r="D53" s="430" t="str">
        <x:v>Modelos, fórmulas, macros, tablas y gráficos avanzados</x:v>
      </x:c>
      <x:c r="E53" s="430" t="str">
        <x:v>https://learn.microsoft.com/en-us/credentials/certifications/exams/mo-211/</x:v>
      </x:c>
      <x:c r="F53" s="430" t="str">
        <x:v>Marco profesional</x:v>
      </x:c>
    </x:row>
    <x:row r="54" ht="44" customHeight="1">
      <x:c r="A54" s="427" t="str">
        <x:v>S50</x:v>
      </x:c>
      <x:c r="B54" s="427" t="str">
        <x:v>Computer History Museum</x:v>
      </x:c>
      <x:c r="C54" s="427" t="str">
        <x:v>Timeline of Computer History</x:v>
      </x:c>
      <x:c r="D54" s="427" t="str">
        <x:v>Historia de computadoras, software, redes, IA, robótica, gráficos y almacenamiento</x:v>
      </x:c>
      <x:c r="E54" s="427" t="str">
        <x:v>https://www.computerhistory.org/timeline/</x:v>
      </x:c>
      <x:c r="F54" s="427" t="str">
        <x:v>Historia tecnológica</x:v>
      </x:c>
    </x:row>
    <x:row r="55" ht="44" customHeight="1">
      <x:c r="A55" s="430" t="str">
        <x:v>S51</x:v>
      </x:c>
      <x:c r="B55" s="430" t="str">
        <x:v>Joint Research Centre – Comisión Europea</x:v>
      </x:c>
      <x:c r="C55" s="430" t="str">
        <x:v>Strategic Foresight in the EU</x:v>
      </x:c>
      <x:c r="D55" s="430" t="str">
        <x:v>Prospectiva, exploración de escenarios y anticipación estratégica</x:v>
      </x:c>
      <x:c r="E55" s="430" t="str">
        <x:v>https://joint-research-centre.ec.europa.eu/strategic-foresight-eu_en</x:v>
      </x:c>
      <x:c r="F55" s="430" t="str">
        <x:v>Prospectiva oficial</x:v>
      </x:c>
    </x:row>
    <x:row r="56" ht="44" customHeight="1">
      <x:c r="A56" s="427" t="str">
        <x:v>S52</x:v>
      </x:c>
      <x:c r="B56" s="427" t="str">
        <x:v>OECD</x:v>
      </x:c>
      <x:c r="C56" s="427" t="str">
        <x:v>Science, Technology and Innovation Outlook 2025</x:v>
      </x:c>
      <x:c r="D56" s="427" t="str">
        <x:v>Convergencia tecnológica, política científica e inteligencia estratégica</x:v>
      </x:c>
      <x:c r="E56" s="427" t="str">
        <x:v>https://www.oecd.org/en/publications/oecd-science-technology-and-innovation-outlook-2025_5fe57b90-en.html</x:v>
      </x:c>
      <x:c r="F56" s="427" t="str">
        <x:v>Prospectiva oficial</x:v>
      </x:c>
    </x:row>
    <x:row r="57" ht="44" customHeight="1">
      <x:c r="A57" s="430" t="str">
        <x:v>S53</x:v>
      </x:c>
      <x:c r="B57" s="430" t="str">
        <x:v>NASA</x:v>
      </x:c>
      <x:c r="C57" s="430" t="str">
        <x:v>Technology Readiness Levels</x:v>
      </x:c>
      <x:c r="D57" s="430" t="str">
        <x:v>Escala TRL 1–9 para evaluar madurez tecnológica</x:v>
      </x:c>
      <x:c r="E57" s="430" t="str">
        <x:v>https://www.nasa.gov/directorates/somd/space-communications-navigation-program/technology-readiness-levels/</x:v>
      </x:c>
      <x:c r="F57" s="430" t="str">
        <x:v>Evaluación tecnológica</x:v>
      </x:c>
    </x:row>
    <x:row r="58" ht="44" customHeight="1">
      <x:c r="A58" s="427" t="str">
        <x:v>S54</x:v>
      </x:c>
      <x:c r="B58" s="427" t="str">
        <x:v>NSTC – Estados Unidos</x:v>
      </x:c>
      <x:c r="C58" s="427" t="str">
        <x:v>Critical and Emerging Technologies List 2024</x:v>
      </x:c>
      <x:c r="D58" s="427" t="str">
        <x:v>Tecnologías críticas y emergentes en computación, IA, cuántica, biotecnología, robótica y comunicaciones</x:v>
      </x:c>
      <x:c r="E58" s="427" t="str">
        <x:v>https://bidenwhitehouse.archives.gov/wp-content/uploads/2024/02/Critical-and-Emerging-Technologies-List-2024-Update.pdf</x:v>
      </x:c>
      <x:c r="F58" s="427" t="str">
        <x:v>Radar gubernamental</x:v>
      </x:c>
    </x:row>
    <x:row r="59" ht="44" customHeight="1">
      <x:c r="A59" s="430" t="str">
        <x:v>S55</x:v>
      </x:c>
      <x:c r="B59" s="430" t="str">
        <x:v>NIST</x:v>
      </x:c>
      <x:c r="C59" s="430" t="str">
        <x:v>AI RMF: Generative Artificial Intelligence Profile</x:v>
      </x:c>
      <x:c r="D59" s="430" t="str">
        <x:v>Riesgos, evaluación y gobernanza de IA generativa</x:v>
      </x:c>
      <x:c r="E59" s="430" t="str">
        <x:v>https://www.nist.gov/publications/artificial-intelligence-risk-management-framework-generative-artificial-intelligence</x:v>
      </x:c>
      <x:c r="F59" s="430" t="str">
        <x:v>Marco técnico</x:v>
      </x:c>
    </x:row>
    <x:row r="60" ht="44" customHeight="1">
      <x:c r="A60" s="427" t="str">
        <x:v>S56</x:v>
      </x:c>
      <x:c r="B60" s="427" t="str">
        <x:v>NIST</x:v>
      </x:c>
      <x:c r="C60" s="427" t="str">
        <x:v>Post-Quantum Cryptography Standards</x:v>
      </x:c>
      <x:c r="D60" s="427" t="str">
        <x:v>FIPS 203, 204 y 205 y transición criptográfica poscuántica</x:v>
      </x:c>
      <x:c r="E60" s="427" t="str">
        <x:v>https://csrc.nist.gov/projects/post-quantum-cryptography</x:v>
      </x:c>
      <x:c r="F60" s="427" t="str">
        <x:v>Estándar técnico</x:v>
      </x:c>
    </x:row>
    <x:row r="61" ht="44" customHeight="1">
      <x:c r="A61" s="430" t="str">
        <x:v>S57</x:v>
      </x:c>
      <x:c r="B61" s="430" t="str">
        <x:v>ITU-R</x:v>
      </x:c>
      <x:c r="C61" s="430" t="str">
        <x:v>IMT-2030 Framework</x:v>
      </x:c>
      <x:c r="D61" s="430" t="str">
        <x:v>Marco y proceso internacional para redes móviles 6G</x:v>
      </x:c>
      <x:c r="E61" s="430" t="str">
        <x:v>https://www.itu.int/en/ITU-R/study-groups/rsg5/rwp5d/imt-2030/pages/default.aspx</x:v>
      </x:c>
      <x:c r="F61" s="430" t="str">
        <x:v>Hoja de ruta</x:v>
      </x:c>
    </x:row>
    <x:row r="62" ht="44" customHeight="1">
      <x:c r="A62" s="427" t="str">
        <x:v>S58</x:v>
      </x:c>
      <x:c r="B62" s="427" t="str">
        <x:v>IEEE IRDS</x:v>
      </x:c>
      <x:c r="C62" s="427" t="str">
        <x:v>International Roadmap for Devices and Systems 2024</x:v>
      </x:c>
      <x:c r="D62" s="427" t="str">
        <x:v>Semiconductores, sistemas, conectividad, cómputo autónomo y límites físicos</x:v>
      </x:c>
      <x:c r="E62" s="427" t="str">
        <x:v>https://irds.ieee.org/</x:v>
      </x:c>
      <x:c r="F62" s="427" t="str">
        <x:v>Hoja de ruta</x:v>
      </x:c>
    </x:row>
    <x:row r="63" ht="44" customHeight="1">
      <x:c r="A63" s="430" t="str">
        <x:v>S59</x:v>
      </x:c>
      <x:c r="B63" s="430" t="str">
        <x:v>NIST</x:v>
      </x:c>
      <x:c r="C63" s="430" t="str">
        <x:v>Cybersecurity Framework 2.0</x:v>
      </x:c>
      <x:c r="D63" s="430" t="str">
        <x:v>Gobierno y ciclo completo de gestión del riesgo de ciberseguridad</x:v>
      </x:c>
      <x:c r="E63" s="430" t="str">
        <x:v>https://www.nist.gov/cyberframework</x:v>
      </x:c>
      <x:c r="F63" s="430" t="str">
        <x:v>Marco técnico</x:v>
      </x:c>
    </x:row>
    <x:row r="64" ht="44" customHeight="1">
      <x:c r="A64" s="427" t="str">
        <x:v>S60</x:v>
      </x:c>
      <x:c r="B64" s="427" t="str">
        <x:v>NIST</x:v>
      </x:c>
      <x:c r="C64" s="427" t="str">
        <x:v>Digital Twins</x:v>
      </x:c>
      <x:c r="D64" s="427" t="str">
        <x:v>Gemelos digitales para observar, diagnosticar, predecir y optimizar sistemas</x:v>
      </x:c>
      <x:c r="E64" s="427" t="str">
        <x:v>https://www.nist.gov/digital-twins</x:v>
      </x:c>
      <x:c r="F64" s="427" t="str">
        <x:v>Tecnología emergente</x:v>
      </x:c>
    </x:row>
    <x:row r="65" ht="44" customHeight="1">
      <x:c r="A65" s="430" t="str">
        <x:v>S61</x:v>
      </x:c>
      <x:c r="B65" s="430" t="str">
        <x:v>USPTO</x:v>
      </x:c>
      <x:c r="C65" s="430" t="str">
        <x:v>Patent Public Search</x:v>
      </x:c>
      <x:c r="D65" s="430" t="str">
        <x:v>Búsqueda pública de patentes y solicitudes estadounidenses</x:v>
      </x:c>
      <x:c r="E65" s="430" t="str">
        <x:v>https://www.uspto.gov/patents/search/patent-public-search</x:v>
      </x:c>
      <x:c r="F65" s="430" t="str">
        <x:v>Inteligencia de patentes</x:v>
      </x:c>
    </x:row>
    <x:row r="66" ht="44" customHeight="1">
      <x:c r="A66" s="427" t="str">
        <x:v>S62</x:v>
      </x:c>
      <x:c r="B66" s="427" t="str">
        <x:v>WIPO</x:v>
      </x:c>
      <x:c r="C66" s="427" t="str">
        <x:v>PATENTSCOPE</x:v>
      </x:c>
      <x:c r="D66" s="427" t="str">
        <x:v>Búsqueda internacional y nacional de documentos de patente</x:v>
      </x:c>
      <x:c r="E66" s="427" t="str">
        <x:v>https://www.wipo.int/en/web/patentscope</x:v>
      </x:c>
      <x:c r="F66" s="427" t="str">
        <x:v>Inteligencia de patentes</x:v>
      </x:c>
    </x:row>
    <x:row r="67" ht="44" customHeight="1">
      <x:c r="A67" s="430" t="str">
        <x:v>S63</x:v>
      </x:c>
      <x:c r="B67" s="430" t="str">
        <x:v>arXiv</x:v>
      </x:c>
      <x:c r="C67" s="430" t="str">
        <x:v>API y taxonomía de Computer Science</x:v>
      </x:c>
      <x:c r="D67" s="430" t="str">
        <x:v>Preprints y señales tempranas de investigación en computación</x:v>
      </x:c>
      <x:c r="E67" s="430" t="str">
        <x:v>https://info.arxiv.org/help/api/basics.html</x:v>
      </x:c>
      <x:c r="F67" s="430" t="str">
        <x:v>Vigilancia científica</x:v>
      </x:c>
    </x:row>
    <x:row r="68" ht="44" customHeight="1">
      <x:c r="A68" s="427" t="str">
        <x:v>S64</x:v>
      </x:c>
      <x:c r="B68" s="427" t="str">
        <x:v>Crossref</x:v>
      </x:c>
      <x:c r="C68" s="427" t="str">
        <x:v>REST API</x:v>
      </x:c>
      <x:c r="D68" s="427" t="str">
        <x:v>Metadatos y seguimiento de literatura científica por DOI</x:v>
      </x:c>
      <x:c r="E68" s="427" t="str">
        <x:v>https://www.crossref.org/documentation/retrieve-metadata/rest-api/</x:v>
      </x:c>
      <x:c r="F68" s="427" t="str">
        <x:v>Vigilancia científica</x:v>
      </x:c>
    </x:row>
    <x:row r="69" ht="44" customHeight="1">
      <x:c r="A69" s="430" t="str">
        <x:v>S65</x:v>
      </x:c>
      <x:c r="B69" s="430" t="str">
        <x:v>CISA</x:v>
      </x:c>
      <x:c r="C69" s="430" t="str">
        <x:v>Known Exploited Vulnerabilities Catalog</x:v>
      </x:c>
      <x:c r="D69" s="430" t="str">
        <x:v>Vulnerabilidades con explotación activa confirmada</x:v>
      </x:c>
      <x:c r="E69" s="430" t="str">
        <x:v>https://www.cisa.gov/known-exploited-vulnerabilities-catalog</x:v>
      </x:c>
      <x:c r="F69" s="430" t="str">
        <x:v>Vigilancia de seguridad</x:v>
      </x:c>
    </x:row>
    <x:row r="70" ht="44" customHeight="1">
      <x:c r="A70" s="427" t="str">
        <x:v>S66</x:v>
      </x:c>
      <x:c r="B70" s="427" t="str">
        <x:v>NIST NVD</x:v>
      </x:c>
      <x:c r="C70" s="427" t="str">
        <x:v>Vulnerability APIs</x:v>
      </x:c>
      <x:c r="D70" s="427" t="str">
        <x:v>CVE, cambios, severidad y automatización de inteligencia de vulnerabilidades</x:v>
      </x:c>
      <x:c r="E70" s="427" t="str">
        <x:v>https://nvd.nist.gov/developers/vulnerabilities</x:v>
      </x:c>
      <x:c r="F70" s="427" t="str">
        <x:v>Vigilancia de seguridad</x:v>
      </x:c>
    </x:row>
    <x:row r="71" ht="44" customHeight="1">
      <x:c r="A71" s="430" t="str">
        <x:v>S67</x:v>
      </x:c>
      <x:c r="B71" s="430" t="str">
        <x:v>IETF</x:v>
      </x:c>
      <x:c r="C71" s="430" t="str">
        <x:v>Datatracker y estándares de Internet</x:v>
      </x:c>
      <x:c r="D71" s="430" t="str">
        <x:v>Borradores, RFC y estado de protocolos de Internet</x:v>
      </x:c>
      <x:c r="E71" s="430" t="str">
        <x:v>https://datatracker.ietf.org/</x:v>
      </x:c>
      <x:c r="F71" s="430" t="str">
        <x:v>Vigilancia de estándares</x:v>
      </x:c>
    </x:row>
    <x:row r="72" ht="44" customHeight="1">
      <x:c r="A72" s="427" t="str">
        <x:v>S68</x:v>
      </x:c>
      <x:c r="B72" s="427" t="str">
        <x:v>W3C</x:v>
      </x:c>
      <x:c r="C72" s="427" t="str">
        <x:v>Standards and Drafts</x:v>
      </x:c>
      <x:c r="D72" s="427" t="str">
        <x:v>Estándares y borradores de tecnologías web</x:v>
      </x:c>
      <x:c r="E72" s="427" t="str">
        <x:v>https://www.w3.org/TR/</x:v>
      </x:c>
      <x:c r="F72" s="427" t="str">
        <x:v>Vigilancia de estándares</x:v>
      </x:c>
    </x:row>
    <x:row r="73" ht="44" customHeight="1">
      <x:c r="A73" s="430" t="str">
        <x:v>S69</x:v>
      </x:c>
      <x:c r="B73" s="430" t="str">
        <x:v>CONCYTEC</x:v>
      </x:c>
      <x:c r="C73" s="430" t="str">
        <x:v>Repositorio Nacional ALICIA</x:v>
      </x:c>
      <x:c r="D73" s="430" t="str">
        <x:v>Producción científica y tecnológica de acceso abierto del Perú</x:v>
      </x:c>
      <x:c r="E73" s="430" t="str">
        <x:v>https://alicia.concytec.gob.pe/vufind/</x:v>
      </x:c>
      <x:c r="F73" s="430" t="str">
        <x:v>Vigilancia científica Perú</x:v>
      </x:c>
    </x:row>
    <x:row r="74" ht="44" customHeight="1">
      <x:c r="A74" s="427" t="str">
        <x:v>S70</x:v>
      </x:c>
      <x:c r="B74" s="427" t="str">
        <x:v>PCM – Centro Nacional de Seguridad Digital</x:v>
      </x:c>
      <x:c r="C74" s="427" t="str">
        <x:v>Alertas integradas de seguridad digital</x:v>
      </x:c>
      <x:c r="D74" s="427" t="str">
        <x:v>Amenazas, campañas y alertas relevantes para el contexto peruano</x:v>
      </x:c>
      <x:c r="E74" s="427" t="str">
        <x:v>https://www.gob.pe/institucion/pcm/colecciones/791-alerta-integrada-de-seguridad-digital-del-pecert</x:v>
      </x:c>
      <x:c r="F74" s="427" t="str">
        <x:v>Vigilancia de seguridad Perú</x:v>
      </x:c>
    </x:row>
    <x:row r="75" ht="44" customHeight="1">
      <x:c r="A75" s="430" t="str">
        <x:v>S71</x:v>
      </x:c>
      <x:c r="B75" s="430" t="str">
        <x:v>Autoridad Nacional de Protección de Datos Personales – Perú</x:v>
      </x:c>
      <x:c r="C75" s="430" t="str">
        <x:v>Normativa y criterios de protección de datos</x:v>
      </x:c>
      <x:c r="D75" s="430" t="str">
        <x:v>Ley, reglamento, decisiones y orientación sobre datos personales</x:v>
      </x:c>
      <x:c r="E75" s="430" t="str">
        <x:v>https://www.gob.pe/autoridad-nacional-de-proteccion-de-datos-personales</x:v>
      </x:c>
      <x:c r="F75" s="430" t="str">
        <x:v>Vigilancia legal Perú</x:v>
      </x:c>
    </x:row>
    <x:row r="76" ht="44" customHeight="1">
      <x:c r="A76" s="427" t="str">
        <x:v>S72</x:v>
      </x:c>
      <x:c r="B76" s="427" t="str">
        <x:v>INDECOPI</x:v>
      </x:c>
      <x:c r="C76" s="427" t="str">
        <x:v>Gaceta Electrónica de Propiedad Intelectual</x:v>
      </x:c>
      <x:c r="D76" s="427" t="str">
        <x:v>Patentes, modelos de utilidad, diseños y circuitos integrados presentados en Perú</x:v>
      </x:c>
      <x:c r="E76" s="427" t="str">
        <x:v>https://pi.indecopi.gob.pe/gaceta/</x:v>
      </x:c>
      <x:c r="F76" s="427" t="str">
        <x:v>Inteligencia de patentes Perú</x:v>
      </x:c>
    </x:row>
    <x:row r="77" ht="44" customHeight="1">
      <x:c r="A77" s="430" t="str">
        <x:v>RANK-01</x:v>
      </x:c>
      <x:c r="B77" s="430" t="str">
        <x:v>QS</x:v>
      </x:c>
      <x:c r="C77" s="430" t="str">
        <x:v>Computer Science &amp; Information Systems 2026</x:v>
      </x:c>
      <x:c r="D77" s="430" t="str">
        <x:v>Selección y contraste del panel institucional</x:v>
      </x:c>
      <x:c r="E77" s="430" t="str">
        <x:v>https://www.topuniversities.com/university-subject-rankings/computer-science-information-systems</x:v>
      </x:c>
      <x:c r="F77" s="430" t="str">
        <x:v>Contraste de líderes globales; no se copió un ranking propietario completo.</x:v>
      </x:c>
    </x:row>
    <x:row r="78" ht="44" customHeight="1">
      <x:c r="A78" s="427" t="str">
        <x:v>RANK-02</x:v>
      </x:c>
      <x:c r="B78" s="427" t="str">
        <x:v>Times Higher Education</x:v>
      </x:c>
      <x:c r="C78" s="427" t="str">
        <x:v>Computer Science 2026</x:v>
      </x:c>
      <x:c r="D78" s="427" t="str">
        <x:v>Selección y contraste del panel institucional</x:v>
      </x:c>
      <x:c r="E78" s="427" t="str">
        <x:v>https://www.timeshighereducation.com/world-university-rankings/2026/subject-ranking/computer-science</x:v>
      </x:c>
      <x:c r="F78" s="427" t="str">
        <x:v>Cobertura de 1,165 universidades en 84 países/territorios; base de amplitud global.</x:v>
      </x:c>
    </x:row>
    <x:row r="79" ht="44" customHeight="1">
      <x:c r="A79" s="430" t="str">
        <x:v>RANK-03</x:v>
      </x:c>
      <x:c r="B79" s="430" t="str">
        <x:v>ShanghaiRanking</x:v>
      </x:c>
      <x:c r="C79" s="430" t="str">
        <x:v>Global Ranking of Academic Subjects 2025</x:v>
      </x:c>
      <x:c r="D79" s="430" t="str">
        <x:v>Selección y contraste del panel institucional</x:v>
      </x:c>
      <x:c r="E79" s="430" t="str">
        <x:v>https://www.shanghairanking.com/rankings/gras/2025</x:v>
      </x:c>
      <x:c r="F79" s="430" t="str">
        <x:v>Contraste en CS, IA, robótica, telecom, eléctrica, control y áreas relacionadas.</x:v>
      </x:c>
    </x:row>
    <x:row r="80" ht="44" customHeight="1">
      <x:c r="A80" s="428" t="str">
        <x:v>RANK-04</x:v>
      </x:c>
      <x:c r="B80" s="428" t="str">
        <x:v>CSRankings</x:v>
      </x:c>
      <x:c r="C80" s="428" t="str">
        <x:v>Computer Science Rankings</x:v>
      </x:c>
      <x:c r="D80" s="428" t="str">
        <x:v>Selección y contraste del panel institucional</x:v>
      </x:c>
      <x:c r="E80" s="428" t="str">
        <x:v>https://csrankings.org/</x:v>
      </x:c>
      <x:c r="F80" s="428" t="str">
        <x:v>Contraste de investigación por publicaciones selectivas y subáreas.</x:v>
      </x:c>
    </x:row>
  </x:sheetData>
  <x:mergeCells>
    <x:mergeCell ref="A1:F1"/>
    <x:mergeCell ref="A2:F2"/>
  </x:mergeCells>
  <x:pageMargins left="0.7" right="0.7" top="0.75" bottom="0.75" header="0.3" footer="0.3"/>
  <x:tableParts count="1">
    <x:tablePart xmlns:r="http://schemas.openxmlformats.org/officeDocument/2006/relationships" r:id="Rd31a013c3eb84c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18" hidden="0" customWidth="1"/>
    <x:col min="4" max="4" width="48" hidden="0" customWidth="1"/>
    <x:col min="5" max="5" width="18" hidden="0" customWidth="1"/>
    <x:col min="6" max="6" width="40" hidden="0" customWidth="1"/>
  </x:cols>
  <x:sheetData>
    <x:row r="1" ht="34" customHeight="1">
      <x:c r="A1" s="4" t="str">
        <x:v>ANCLAS INSTITUCIONALES DE EXTRACCIÓN DIRECTA</x:v>
      </x:c>
      <x:c r="B1" s="4" t="str">
        <x:v>ANCLAS INSTITUCIONALES DE EXTRACCIÓN DIRECTA</x:v>
      </x:c>
      <x:c r="C1" s="4" t="str">
        <x:v>ANCLAS INSTITUCIONALES DE EXTRACCIÓN DIRECTA</x:v>
      </x:c>
      <x:c r="D1" s="4" t="str">
        <x:v>ANCLAS INSTITUCIONALES DE EXTRACCIÓN DIRECTA</x:v>
      </x:c>
      <x:c r="E1" s="4" t="str">
        <x:v>ANCLAS INSTITUCIONALES DE EXTRACCIÓN DIRECTA</x:v>
      </x:c>
      <x:c r="F1" s="4" t="str">
        <x:v>ANCLAS INSTITUCIONALES DE EXTRACCIÓN DIRECTA</x:v>
      </x:c>
    </x:row>
    <x:row r="2" ht="30" customHeight="1">
      <x:c r="A2" s="8" t="str">
        <x:v>Estas 18 instituciones fueron las anclas iniciales de extracción detallada. El panel completo y sus niveles de evidencia están en «Panel mundial 150».</x:v>
      </x:c>
      <x:c r="B2" s="8" t="str">
        <x:v>Estas 18 instituciones fueron las anclas iniciales de extracción detallada. El panel completo y sus niveles de evidencia están en «Panel mundial 150».</x:v>
      </x:c>
      <x:c r="C2" s="8" t="str">
        <x:v>Estas 18 instituciones fueron las anclas iniciales de extracción detallada. El panel completo y sus niveles de evidencia están en «Panel mundial 150».</x:v>
      </x:c>
      <x:c r="D2" s="8" t="str">
        <x:v>Estas 18 instituciones fueron las anclas iniciales de extracción detallada. El panel completo y sus niveles de evidencia están en «Panel mundial 150».</x:v>
      </x:c>
      <x:c r="E2" s="8" t="str">
        <x:v>Estas 18 instituciones fueron las anclas iniciales de extracción detallada. El panel completo y sus niveles de evidencia están en «Panel mundial 150».</x:v>
      </x:c>
      <x:c r="F2" s="8" t="str">
        <x:v>Estas 18 instituciones fueron las anclas iniciales de extracción detallada. El panel completo y sus niveles de evidencia están en «Panel mundial 150».</x:v>
      </x:c>
    </x:row>
    <x:row r="4">
      <x:c r="A4" s="377" t="str">
        <x:v>Institución</x:v>
      </x:c>
      <x:c r="B4" s="377" t="str">
        <x:v>País</x:v>
      </x:c>
      <x:c r="C4" s="377" t="str">
        <x:v>Región</x:v>
      </x:c>
      <x:c r="D4" s="377" t="str">
        <x:v>Áreas observadas</x:v>
      </x:c>
      <x:c r="E4" s="377" t="str">
        <x:v>Fuentes</x:v>
      </x:c>
      <x:c r="F4" s="377" t="str">
        <x:v>Papel en la muestra</x:v>
      </x:c>
    </x:row>
    <x:row r="5" ht="44" customHeight="1">
      <x:c r="A5" s="417" t="str">
        <x:v>MIT</x:v>
      </x:c>
      <x:c r="B5" s="417" t="str">
        <x:v>Estados Unidos</x:v>
      </x:c>
      <x:c r="C5" s="417" t="str">
        <x:v>Norteamérica</x:v>
      </x:c>
      <x:c r="D5" s="417" t="str">
        <x:v>CS, IA, EE, sistemas, computación cuántica</x:v>
      </x:c>
      <x:c r="E5" s="417" t="str">
        <x:v>S09; S10</x:v>
      </x:c>
      <x:c r="F5" s="417" t="str">
        <x:v>Ancla global de ingeniería y computación</x:v>
      </x:c>
    </x:row>
    <x:row r="6" ht="44" customHeight="1">
      <x:c r="A6" s="402" t="str">
        <x:v>Stanford University</x:v>
      </x:c>
      <x:c r="B6" s="402" t="str">
        <x:v>Estados Unidos</x:v>
      </x:c>
      <x:c r="C6" s="402" t="str">
        <x:v>Norteamérica</x:v>
      </x:c>
      <x:c r="D6" s="402" t="str">
        <x:v>CS por tracks y proyecto final</x:v>
      </x:c>
      <x:c r="E6" s="402" t="str">
        <x:v>S11</x:v>
      </x:c>
      <x:c r="F6" s="402" t="str">
        <x:v>Ancla global de flexibilidad y profundidad</x:v>
      </x:c>
    </x:row>
    <x:row r="7" ht="44" customHeight="1">
      <x:c r="A7" s="418" t="str">
        <x:v>Carnegie Mellon University</x:v>
      </x:c>
      <x:c r="B7" s="418" t="str">
        <x:v>Estados Unidos</x:v>
      </x:c>
      <x:c r="C7" s="418" t="str">
        <x:v>Norteamérica</x:v>
      </x:c>
      <x:c r="D7" s="418" t="str">
        <x:v>CS, IA, ML, robótica, HCI, seguridad, biología</x:v>
      </x:c>
      <x:c r="E7" s="418" t="str">
        <x:v>S12; S24</x:v>
      </x:c>
      <x:c r="F7" s="418" t="str">
        <x:v>Especialista multidisciplinario</x:v>
      </x:c>
    </x:row>
    <x:row r="8" ht="44" customHeight="1">
      <x:c r="A8" s="402" t="str">
        <x:v>UC Berkeley</x:v>
      </x:c>
      <x:c r="B8" s="402" t="str">
        <x:v>Estados Unidos</x:v>
      </x:c>
      <x:c r="C8" s="402" t="str">
        <x:v>Norteamérica</x:v>
      </x:c>
      <x:c r="D8" s="402" t="str">
        <x:v>EECS y sistemas físicos</x:v>
      </x:c>
      <x:c r="E8" s="402" t="str">
        <x:v>S13</x:v>
      </x:c>
      <x:c r="F8" s="402" t="str">
        <x:v>Integración hardware–software</x:v>
      </x:c>
    </x:row>
    <x:row r="9" ht="44" customHeight="1">
      <x:c r="A9" s="418" t="str">
        <x:v>University of Oxford</x:v>
      </x:c>
      <x:c r="B9" s="418" t="str">
        <x:v>Reino Unido</x:v>
      </x:c>
      <x:c r="C9" s="418" t="str">
        <x:v>Europa</x:v>
      </x:c>
      <x:c r="D9" s="418" t="str">
        <x:v>CS teórica y sistemas</x:v>
      </x:c>
      <x:c r="E9" s="418" t="str">
        <x:v>S14</x:v>
      </x:c>
      <x:c r="F9" s="418" t="str">
        <x:v>Rigor matemático y formal</x:v>
      </x:c>
    </x:row>
    <x:row r="10" ht="44" customHeight="1">
      <x:c r="A10" s="402" t="str">
        <x:v>University of Cambridge</x:v>
      </x:c>
      <x:c r="B10" s="402" t="str">
        <x:v>Reino Unido</x:v>
      </x:c>
      <x:c r="C10" s="402" t="str">
        <x:v>Europa</x:v>
      </x:c>
      <x:c r="D10" s="402" t="str">
        <x:v>CS, electrónica, software y ML</x:v>
      </x:c>
      <x:c r="E10" s="402" t="str">
        <x:v>S15</x:v>
      </x:c>
      <x:c r="F10" s="402" t="str">
        <x:v>Amplitud teórico-práctica</x:v>
      </x:c>
    </x:row>
    <x:row r="11" ht="44" customHeight="1">
      <x:c r="A11" s="418" t="str">
        <x:v>ETH Zürich</x:v>
      </x:c>
      <x:c r="B11" s="418" t="str">
        <x:v>Suiza</x:v>
      </x:c>
      <x:c r="C11" s="418" t="str">
        <x:v>Europa</x:v>
      </x:c>
      <x:c r="D11" s="418" t="str">
        <x:v>CS, teoría, sistemas y ciencia computacional</x:v>
      </x:c>
      <x:c r="E11" s="418" t="str">
        <x:v>S16</x:v>
      </x:c>
      <x:c r="F11" s="418" t="str">
        <x:v>Ancla continental europea</x:v>
      </x:c>
    </x:row>
    <x:row r="12" ht="44" customHeight="1">
      <x:c r="A12" s="402" t="str">
        <x:v>EPFL</x:v>
      </x:c>
      <x:c r="B12" s="402" t="str">
        <x:v>Suiza</x:v>
      </x:c>
      <x:c r="C12" s="402" t="str">
        <x:v>Europa</x:v>
      </x:c>
      <x:c r="D12" s="402" t="str">
        <x:v>CS, seguridad, datos y sistemas</x:v>
      </x:c>
      <x:c r="E12" s="402" t="str">
        <x:v>S17</x:v>
      </x:c>
      <x:c r="F12" s="402" t="str">
        <x:v>Plan detallado por créditos y laboratorios</x:v>
      </x:c>
    </x:row>
    <x:row r="13" ht="44" customHeight="1">
      <x:c r="A13" s="418" t="str">
        <x:v>Imperial College London</x:v>
      </x:c>
      <x:c r="B13" s="418" t="str">
        <x:v>Reino Unido</x:v>
      </x:c>
      <x:c r="C13" s="418" t="str">
        <x:v>Europa</x:v>
      </x:c>
      <x:c r="D13" s="418" t="str">
        <x:v>Computing BEng/MEng</x:v>
      </x:c>
      <x:c r="E13" s="418" t="str">
        <x:v>S23</x:v>
      </x:c>
      <x:c r="F13" s="418" t="str">
        <x:v>Ingeniería de software y sistemas</x:v>
      </x:c>
    </x:row>
    <x:row r="14" ht="44" customHeight="1">
      <x:c r="A14" s="402" t="str">
        <x:v>Technical University of Munich</x:v>
      </x:c>
      <x:c r="B14" s="402" t="str">
        <x:v>Alemania</x:v>
      </x:c>
      <x:c r="C14" s="402" t="str">
        <x:v>Europa</x:v>
      </x:c>
      <x:c r="D14" s="402" t="str">
        <x:v>Informática, IS y juegos</x:v>
      </x:c>
      <x:c r="E14" s="402" t="str">
        <x:v>S22</x:v>
      </x:c>
      <x:c r="F14" s="402" t="str">
        <x:v>Modelo europeo aplicado</x:v>
      </x:c>
    </x:row>
    <x:row r="15" ht="44" customHeight="1">
      <x:c r="A15" s="418" t="str">
        <x:v>National University of Singapore</x:v>
      </x:c>
      <x:c r="B15" s="418" t="str">
        <x:v>Singapur</x:v>
      </x:c>
      <x:c r="C15" s="418" t="str">
        <x:v>Asia</x:v>
      </x:c>
      <x:c r="D15" s="418" t="str">
        <x:v>CS, IA, seguridad, sistemas, juegos y cloud</x:v>
      </x:c>
      <x:c r="E15" s="418" t="str">
        <x:v>S18</x:v>
      </x:c>
      <x:c r="F15" s="418" t="str">
        <x:v>Ancla asiática multidisciplinaria</x:v>
      </x:c>
    </x:row>
    <x:row r="16" ht="44" customHeight="1">
      <x:c r="A16" s="402" t="str">
        <x:v>Nanyang Technological University</x:v>
      </x:c>
      <x:c r="B16" s="402" t="str">
        <x:v>Singapur</x:v>
      </x:c>
      <x:c r="C16" s="402" t="str">
        <x:v>Asia</x:v>
      </x:c>
      <x:c r="D16" s="402" t="str">
        <x:v>CS, DSAI y computer engineering</x:v>
      </x:c>
      <x:c r="E16" s="402" t="str">
        <x:v>S19</x:v>
      </x:c>
      <x:c r="F16" s="402" t="str">
        <x:v>Integración de datos e ingeniería</x:v>
      </x:c>
    </x:row>
    <x:row r="17" ht="44" customHeight="1">
      <x:c r="A17" s="418" t="str">
        <x:v>University of Tokyo</x:v>
      </x:c>
      <x:c r="B17" s="418" t="str">
        <x:v>Japón</x:v>
      </x:c>
      <x:c r="C17" s="418" t="str">
        <x:v>Asia</x:v>
      </x:c>
      <x:c r="D17" s="418" t="str">
        <x:v>CS, bioinformática, gráficos, NLP, cuántica</x:v>
      </x:c>
      <x:c r="E17" s="418" t="str">
        <x:v>S20</x:v>
      </x:c>
      <x:c r="F17" s="418" t="str">
        <x:v>Ancla japonesa de investigación</x:v>
      </x:c>
    </x:row>
    <x:row r="18" ht="44" customHeight="1">
      <x:c r="A18" s="402" t="str">
        <x:v>Tsinghua University</x:v>
      </x:c>
      <x:c r="B18" s="402" t="str">
        <x:v>China</x:v>
      </x:c>
      <x:c r="C18" s="402" t="str">
        <x:v>Asia</x:v>
      </x:c>
      <x:c r="D18" s="402" t="str">
        <x:v>CS, electrónica, información y automatización</x:v>
      </x:c>
      <x:c r="E18" s="402" t="str">
        <x:v>S21</x:v>
      </x:c>
      <x:c r="F18" s="402" t="str">
        <x:v>Ancla china de ingeniería</x:v>
      </x:c>
    </x:row>
    <x:row r="19" ht="44" customHeight="1">
      <x:c r="A19" s="418" t="str">
        <x:v>Purdue University</x:v>
      </x:c>
      <x:c r="B19" s="418" t="str">
        <x:v>Estados Unidos</x:v>
      </x:c>
      <x:c r="C19" s="418" t="str">
        <x:v>Norteamérica</x:v>
      </x:c>
      <x:c r="D19" s="418" t="str">
        <x:v>Tecnología mecatrónica</x:v>
      </x:c>
      <x:c r="E19" s="418" t="str">
        <x:v>S25</x:v>
      </x:c>
      <x:c r="F19" s="418" t="str">
        <x:v>Especialista técnico y práctico</x:v>
      </x:c>
    </x:row>
    <x:row r="20" ht="44" customHeight="1">
      <x:c r="A20" s="402" t="str">
        <x:v>Rochester Institute of Technology</x:v>
      </x:c>
      <x:c r="B20" s="402" t="str">
        <x:v>Estados Unidos</x:v>
      </x:c>
      <x:c r="C20" s="402" t="str">
        <x:v>Norteamérica</x:v>
      </x:c>
      <x:c r="D20" s="402" t="str">
        <x:v>Electrónica, fotografía e imagen</x:v>
      </x:c>
      <x:c r="E20" s="402" t="str">
        <x:v>S26; S45</x:v>
      </x:c>
      <x:c r="F20" s="402" t="str">
        <x:v>Especialista tecnológico-creativo</x:v>
      </x:c>
    </x:row>
    <x:row r="21" ht="44" customHeight="1">
      <x:c r="A21" s="418" t="str">
        <x:v>Rhode Island School of Design</x:v>
      </x:c>
      <x:c r="B21" s="418" t="str">
        <x:v>Estados Unidos</x:v>
      </x:c>
      <x:c r="C21" s="418" t="str">
        <x:v>Norteamérica</x:v>
      </x:c>
      <x:c r="D21" s="418" t="str">
        <x:v>Diseño gráfico y arte computacional</x:v>
      </x:c>
      <x:c r="E21" s="418" t="str">
        <x:v>S43</x:v>
      </x:c>
      <x:c r="F21" s="418" t="str">
        <x:v>Especialista creativo</x:v>
      </x:c>
    </x:row>
    <x:row r="22" ht="44" customHeight="1">
      <x:c r="A22" s="405" t="str">
        <x:v>University of Southern California</x:v>
      </x:c>
      <x:c r="B22" s="405" t="str">
        <x:v>Estados Unidos</x:v>
      </x:c>
      <x:c r="C22" s="405" t="str">
        <x:v>Norteamérica</x:v>
      </x:c>
      <x:c r="D22" s="405" t="str">
        <x:v>Cine, TV, animación, juegos y medios</x:v>
      </x:c>
      <x:c r="E22" s="405" t="str">
        <x:v>S44</x:v>
      </x:c>
      <x:c r="F22" s="405" t="str">
        <x:v>Especialista audiovisual</x:v>
      </x:c>
    </x:row>
  </x:sheetData>
  <x:mergeCells>
    <x:mergeCell ref="A1:F1"/>
    <x:mergeCell ref="A2:F2"/>
  </x:mergeCells>
  <x:pageMargins left="0.7" right="0.7" top="0.75" bottom="0.75" header="0.3" footer="0.3"/>
  <x:tableParts count="1">
    <x:tablePart xmlns:r="http://schemas.openxmlformats.org/officeDocument/2006/relationships" r:id="R74f427ee64d048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50" hidden="0" customWidth="1"/>
    <x:col min="3" max="3" width="45" hidden="0" customWidth="1"/>
    <x:col min="4" max="4" width="46" hidden="0" customWidth="1"/>
    <x:col min="5" max="5" width="48" hidden="0" customWidth="1"/>
    <x:col min="6" max="6" width="48" hidden="0" customWidth="1"/>
    <x:col min="7" max="7" width="48" hidden="0" customWidth="1"/>
    <x:col min="8" max="8" width="48" hidden="0" customWidth="1"/>
    <x:col min="9" max="9" width="44" hidden="0" customWidth="1"/>
    <x:col min="10" max="10" width="24" hidden="0" customWidth="1"/>
    <x:col min="11" max="11" width="24" hidden="0" customWidth="1"/>
  </x:cols>
  <x:sheetData>
    <x:row r="1" ht="34" customHeight="1">
      <x:c r="A1" s="4" t="str">
        <x:v>HISTORIA Y HORIZONTES POR RUTA</x:v>
      </x:c>
      <x:c r="B1" s="4" t="str">
        <x:v>HISTORIA Y HORIZONTES POR RUTA</x:v>
      </x:c>
      <x:c r="C1" s="4" t="str">
        <x:v>HISTORIA Y HORIZONTES POR RUTA</x:v>
      </x:c>
      <x:c r="D1" s="4" t="str">
        <x:v>HISTORIA Y HORIZONTES POR RUTA</x:v>
      </x:c>
      <x:c r="E1" s="4" t="str">
        <x:v>HISTORIA Y HORIZONTES POR RUTA</x:v>
      </x:c>
      <x:c r="F1" s="4" t="str">
        <x:v>HISTORIA Y HORIZONTES POR RUTA</x:v>
      </x:c>
      <x:c r="G1" s="4" t="str">
        <x:v>HISTORIA Y HORIZONTES POR RUTA</x:v>
      </x:c>
      <x:c r="H1" s="4" t="str">
        <x:v>HISTORIA Y HORIZONTES POR RUTA</x:v>
      </x:c>
      <x:c r="I1" s="4" t="str">
        <x:v>HISTORIA Y HORIZONTES POR RUTA</x:v>
      </x:c>
      <x:c r="J1" s="4" t="str">
        <x:v>HISTORIA Y HORIZONTES POR RUTA</x:v>
      </x:c>
      <x:c r="K1" s="4" t="str">
        <x:v>HISTORIA Y HORIZONTES POR RUTA</x:v>
      </x:c>
    </x:row>
    <x:row r="2" ht="30" customHeight="1">
      <x:c r="A2" s="8" t="str">
        <x:v>Cada fila conecta origen, presente y cuatro horizontes. Los periodos lejanos son escenarios con menor confianza, no predicciones.</x:v>
      </x:c>
      <x:c r="B2" s="8" t="str">
        <x:v>Cada fila conecta origen, presente y cuatro horizontes. Los periodos lejanos son escenarios con menor confianza, no predicciones.</x:v>
      </x:c>
      <x:c r="C2" s="8" t="str">
        <x:v>Cada fila conecta origen, presente y cuatro horizontes. Los periodos lejanos son escenarios con menor confianza, no predicciones.</x:v>
      </x:c>
      <x:c r="D2" s="8" t="str">
        <x:v>Cada fila conecta origen, presente y cuatro horizontes. Los periodos lejanos son escenarios con menor confianza, no predicciones.</x:v>
      </x:c>
      <x:c r="E2" s="8" t="str">
        <x:v>Cada fila conecta origen, presente y cuatro horizontes. Los periodos lejanos son escenarios con menor confianza, no predicciones.</x:v>
      </x:c>
      <x:c r="F2" s="8" t="str">
        <x:v>Cada fila conecta origen, presente y cuatro horizontes. Los periodos lejanos son escenarios con menor confianza, no predicciones.</x:v>
      </x:c>
      <x:c r="G2" s="8" t="str">
        <x:v>Cada fila conecta origen, presente y cuatro horizontes. Los periodos lejanos son escenarios con menor confianza, no predicciones.</x:v>
      </x:c>
      <x:c r="H2" s="8" t="str">
        <x:v>Cada fila conecta origen, presente y cuatro horizontes. Los periodos lejanos son escenarios con menor confianza, no predicciones.</x:v>
      </x:c>
      <x:c r="I2" s="8" t="str">
        <x:v>Cada fila conecta origen, presente y cuatro horizontes. Los periodos lejanos son escenarios con menor confianza, no predicciones.</x:v>
      </x:c>
      <x:c r="J2" s="8" t="str">
        <x:v>Cada fila conecta origen, presente y cuatro horizontes. Los periodos lejanos son escenarios con menor confianza, no predicciones.</x:v>
      </x:c>
      <x:c r="K2" s="8" t="str">
        <x:v>Cada fila conecta origen, presente y cuatro horizontes. Los periodos lejanos son escenarios con menor confianza, no predicciones.</x:v>
      </x:c>
    </x:row>
    <x:row r="4">
      <x:c r="A4" s="377" t="str">
        <x:v>Ruta</x:v>
      </x:c>
      <x:c r="B4" s="377" t="str">
        <x:v>Pasado y origen</x:v>
      </x:c>
      <x:c r="C4" s="377" t="str">
        <x:v>Transición clave</x:v>
      </x:c>
      <x:c r="D4" s="377" t="str">
        <x:v>Presente 2026</x:v>
      </x:c>
      <x:c r="E4" s="377" t="str">
        <x:v>Corto 2027–2029</x:v>
      </x:c>
      <x:c r="F4" s="377" t="str">
        <x:v>Mediano 2030–2035</x:v>
      </x:c>
      <x:c r="G4" s="377" t="str">
        <x:v>Largo 2036–2045</x:v>
      </x:c>
      <x:c r="H4" s="377" t="str">
        <x:v>Muy largo &gt;2045</x:v>
      </x:c>
      <x:c r="I4" s="377" t="str">
        <x:v>Invariantes</x:v>
      </x:c>
      <x:c r="J4" s="377" t="str">
        <x:v>Confianza temporal</x:v>
      </x:c>
      <x:c r="K4" s="377" t="str">
        <x:v>Fuentes</x:v>
      </x:c>
    </x:row>
    <x:row r="5" ht="96" customHeight="1">
      <x:c r="A5" s="504" t="str">
        <x:v>Preparación y ofimática</x:v>
      </x:c>
      <x:c r="B5" s="504" t="str">
        <x:v>Escritura, archivo, contabilidad y máquinas de oficina preceden a la informática personal; desde 1970–1990 la PC y las suites ofimáticas digitalizan el trabajo.</x:v>
      </x:c>
      <x:c r="C5" s="504" t="str">
        <x:v>De documentos aislados a colaboración en red, nube, macros, búsqueda y gestión del conocimiento.</x:v>
      </x:c>
      <x:c r="D5" s="504" t="str">
        <x:v>Productividad multiplataforma, datos en hojas, colaboración, automatización de bajo código e IA asistiva con verificación humana.</x:v>
      </x:c>
      <x:c r="E5" s="504" t="str">
        <x:v>Copilotos integrados, flujos con agentes, identidad y firma digital, alfabetización contra fraude y contenido sintético.</x:v>
      </x:c>
      <x:c r="F5" s="504" t="str">
        <x:v>Espacios personales de conocimiento interoperables y automatizaciones auditables entre aplicaciones.</x:v>
      </x:c>
      <x:c r="G5" s="504" t="str">
        <x:v>Interfaces naturales y trabajo humano–agente con mayor trazabilidad, privacidad y accesibilidad.</x:v>
      </x:c>
      <x:c r="H5" s="504" t="str">
        <x:v>Posible administración personal semiautónoma; la forma exacta de interfaces es incierta.</x:v>
      </x:c>
      <x:c r="I5" s="504" t="str">
        <x:v>Leer, escribir, calcular, buscar, documentar, comunicar y verificar fuentes.</x:v>
      </x:c>
      <x:c r="J5" s="504" t="str">
        <x:v>Alta hasta 2035; baja después de 2045</x:v>
      </x:c>
      <x:c r="K5" s="504" t="str">
        <x:v>S46; S49; S50; S51</x:v>
      </x:c>
    </x:row>
    <x:row r="6" ht="96" customHeight="1">
      <x:c r="A6" s="427" t="str">
        <x:v>Matemática y ciencias</x:v>
      </x:c>
      <x:c r="B6" s="427" t="str">
        <x:v>Lógica, álgebra, cálculo, probabilidad, estadística, física y control forman la base precomputacional de los modelos y algoritmos.</x:v>
      </x:c>
      <x:c r="C6" s="427" t="str">
        <x:v>La computación numérica y simbólica convierte teoría matemática y ciencia experimental en simulación y diseño.</x:v>
      </x:c>
      <x:c r="D6" s="427" t="str">
        <x:v>Modelado, optimización, inferencia, simulación y razonamiento formal sostienen IA, robótica, gráficos, cuántica y hardware.</x:v>
      </x:c>
      <x:c r="E6" s="427" t="str">
        <x:v>Más prueba asistida, cálculo científico acelerado y modelos híbridos físico–estadísticos.</x:v>
      </x:c>
      <x:c r="F6" s="427" t="str">
        <x:v>Formalización creciente de matemática y ciencia reproducible asistida por IA.</x:v>
      </x:c>
      <x:c r="G6" s="427" t="str">
        <x:v>Simulaciones multiescala y diseño automatizado limitados por energía, datos y validación.</x:v>
      </x:c>
      <x:c r="H6" s="427" t="str">
        <x:v>Nuevos formalismos podrían aparecer, pero la lógica y la evidencia cuantitativa seguirán siendo centrales.</x:v>
      </x:c>
      <x:c r="I6" s="427" t="str">
        <x:v>Demostración, medición, incertidumbre, causalidad, modelado y contraste experimental.</x:v>
      </x:c>
      <x:c r="J6" s="427" t="str">
        <x:v>Muy alta en todos los horizontes</x:v>
      </x:c>
      <x:c r="K6" s="427" t="str">
        <x:v>S01; S09; S11; S16; S50; S58</x:v>
      </x:c>
    </x:row>
    <x:row r="7" ht="96" customHeight="1">
      <x:c r="A7" s="505" t="str">
        <x:v>Programación y teoría CS</x:v>
      </x:c>
      <x:c r="B7" s="505" t="str">
        <x:v>Desde máquinas computables y código máquina hasta lenguajes de alto nivel, estructuras de datos, complejidad y paradigmas.</x:v>
      </x:c>
      <x:c r="C7" s="505" t="str">
        <x:v>Abstracción, modularidad, compiladores, concurrencia, orientación a objetos, funcional y ecosistemas abiertos.</x:v>
      </x:c>
      <x:c r="D7" s="505" t="str">
        <x:v>Algoritmos, lenguajes, sistemas de tipos, concurrencia, verificación y programación multiparadigma.</x:v>
      </x:c>
      <x:c r="E7" s="505" t="str">
        <x:v>Lenguajes con seguridad de memoria, WebAssembly, síntesis de código y programación asistida con pruebas.</x:v>
      </x:c>
      <x:c r="F7" s="505" t="str">
        <x:v>Programación orientada a agentes y aceleradores; mayor uso de especificaciones ejecutables.</x:v>
      </x:c>
      <x:c r="G7" s="505" t="str">
        <x:v>Nuevas arquitecturas y modelos de cómputo pueden exigir lenguajes y verificadores distintos.</x:v>
      </x:c>
      <x:c r="H7" s="505" t="str">
        <x:v>Modelos no clásicos de programación son plausibles, pero difíciles de anticipar.</x:v>
      </x:c>
      <x:c r="I7" s="505" t="str">
        <x:v>Abstracción, descomposición, correctitud, complejidad, depuración y representación de información.</x:v>
      </x:c>
      <x:c r="J7" s="505" t="str">
        <x:v>Muy alta hasta 2045; media después</x:v>
      </x:c>
      <x:c r="K7" s="505" t="str">
        <x:v>S01; S02; S09; S14; S16; S50; S54</x:v>
      </x:c>
    </x:row>
    <x:row r="8" ht="96" customHeight="1">
      <x:c r="A8" s="427" t="str">
        <x:v>Sistemas y arquitectura</x:v>
      </x:c>
      <x:c r="B8" s="427" t="str">
        <x:v>Relés, válvulas, transistores, circuitos integrados, microprocesadores, memoria jerárquica y sistemas operativos.</x:v>
      </x:c>
      <x:c r="C8" s="427" t="str">
        <x:v>De CPU monolítica a multinúcleo, GPU, virtualización, contenedores y aceleradores especializados.</x:v>
      </x:c>
      <x:c r="D8" s="427" t="str">
        <x:v>Sistemas heterogéneos, paralelos y distribuidos; rendimiento, confiabilidad, aislamiento y eficiencia energética.</x:v>
      </x:c>
      <x:c r="E8" s="427" t="str">
        <x:v>Chiplets, RISC-V, aceleradores de IA, memoria coherente/desagregada y diseño consciente de energía.</x:v>
      </x:c>
      <x:c r="F8" s="427" t="str">
        <x:v>Mayor co-diseño hardware–software, empaquetado avanzado y arquitecturas especializadas.</x:v>
      </x:c>
      <x:c r="G8" s="427" t="str">
        <x:v>Fotónica y neuromórfica podrían complementar CMOS en cargas concretas; no hay reemplazo único asegurado.</x:v>
      </x:c>
      <x:c r="H8" s="427" t="str">
        <x:v>Computación más allá de CMOS es posible, con alta incertidumbre sobre materiales y economía.</x:v>
      </x:c>
      <x:c r="I8" s="427" t="str">
        <x:v>Jerarquías, localidad, concurrencia, aislamiento, medición, confiabilidad y límites físicos.</x:v>
      </x:c>
      <x:c r="J8" s="427" t="str">
        <x:v>Alta hasta 2035; media 2036–2045; baja &gt;2045</x:v>
      </x:c>
      <x:c r="K8" s="427" t="str">
        <x:v>S10; S13; S26; S50; S54; S58</x:v>
      </x:c>
    </x:row>
    <x:row r="9" ht="96" customHeight="1">
      <x:c r="A9" s="505" t="str">
        <x:v>Ingeniería de software</x:v>
      </x:c>
      <x:c r="B9" s="505" t="str">
        <x:v>La crisis del software impulsa procesos, modularidad, pruebas, requisitos, configuración y gestión de proyectos.</x:v>
      </x:c>
      <x:c r="C9" s="505" t="str">
        <x:v>Ágil, DevOps, entrega continua, observabilidad, producto digital y seguridad desde el diseño.</x:v>
      </x:c>
      <x:c r="D9" s="505" t="str">
        <x:v>Arquitecturas evolutivas, automatización, plataformas, SRE, calidad, UX y cadena de suministro.</x:v>
      </x:c>
      <x:c r="E9" s="505" t="str">
        <x:v>IA en todo el ciclo, generación supervisada, SBOM, ingeniería de plataformas y pruebas basadas en propiedades.</x:v>
      </x:c>
      <x:c r="F9" s="505" t="str">
        <x:v>Agentes colaborarán en requisitos, implementación, operación y mantenimiento con auditoría humana.</x:v>
      </x:c>
      <x:c r="G9" s="505" t="str">
        <x:v>Mayor síntesis desde especificaciones; la responsabilidad y validación serán cuellos de botella.</x:v>
      </x:c>
      <x:c r="H9" s="505" t="str">
        <x:v>Software altamente autónomo es plausible, pero seguirá requiriendo objetivos, gobierno y evidencia.</x:v>
      </x:c>
      <x:c r="I9" s="505" t="str">
        <x:v>Requisitos, diseño, pruebas, mantenimiento, seguridad, comunicación y responsabilidad.</x:v>
      </x:c>
      <x:c r="J9" s="505" t="str">
        <x:v>Alta hasta 2035; media después</x:v>
      </x:c>
      <x:c r="K9" s="505" t="str">
        <x:v>S02; S05; S11; S18; S54; S55; S59</x:v>
      </x:c>
    </x:row>
    <x:row r="10" ht="96" customHeight="1">
      <x:c r="A10" s="427" t="str">
        <x:v>Datos, BI e IA</x:v>
      </x:c>
      <x:c r="B10" s="427" t="str">
        <x:v>Estadística, investigación operativa, bases de datos, sistemas expertos y aprendizaje automático convergen.</x:v>
      </x:c>
      <x:c r="C10" s="427" t="str">
        <x:v>Big data, deep learning, nube, ciencia de datos y modelos fundacionales amplían escala y usos.</x:v>
      </x:c>
      <x:c r="D10" s="427" t="str">
        <x:v>Pipelines, BI, ML, modelos generativos/multimodales, RAG, evaluación, gobernanza y operación de modelos.</x:v>
      </x:c>
      <x:c r="E10" s="427" t="str">
        <x:v>Agentes, modelos pequeños/locales, IA multimodal, datos sintéticos y regulación/evaluación más estricta.</x:v>
      </x:c>
      <x:c r="F10" s="427" t="str">
        <x:v>Modelos más eficientes y especializados; causalidad, privacidad y aprendizaje federado ganan peso.</x:v>
      </x:c>
      <x:c r="G10" s="427" t="str">
        <x:v>IA incorporada en ciencia, ingeniería y robótica; límites dependerán de energía, datos y confiabilidad.</x:v>
      </x:c>
      <x:c r="H10" s="427" t="str">
        <x:v>IA de capacidades mucho mayores es un escenario, no una certeza; impactos institucionales dominan la incertidumbre.</x:v>
      </x:c>
      <x:c r="I10" s="427" t="str">
        <x:v>Calidad de datos, estadística, evaluación, causalidad, ética, seguridad y conocimiento del dominio.</x:v>
      </x:c>
      <x:c r="J10" s="427" t="str">
        <x:v>Alta hasta 2029; media 2030–2045; baja &gt;2045</x:v>
      </x:c>
      <x:c r="K10" s="427" t="str">
        <x:v>S07; S12; S38; S52; S54; S55</x:v>
      </x:c>
    </x:row>
    <x:row r="11" ht="96" customHeight="1">
      <x:c r="A11" s="505" t="str">
        <x:v>Redes, telecom y cloud</x:v>
      </x:c>
      <x:c r="B11" s="505" t="str">
        <x:v>Telegrafía y telefonía preceden a conmutación de paquetes, TCP/IP, Internet, web y redes móviles.</x:v>
      </x:c>
      <x:c r="C11" s="505" t="str">
        <x:v>Virtualización, centros de datos, nube, SDN, contenedores y 4G/5G convierten infraestructura en servicio.</x:v>
      </x:c>
      <x:c r="D11" s="505" t="str">
        <x:v>Nube híbrida, edge, Kubernetes, automatización, observabilidad, seguridad y conectividad 5G.</x:v>
      </x:c>
      <x:c r="E11" s="505" t="str">
        <x:v>5G-Advanced, edge distribuido, redes no terrestres y preparación de propuestas IMT-2030.</x:v>
      </x:c>
      <x:c r="F11" s="505" t="str">
        <x:v>Primeras implementaciones 6G, mayor integración detección–comunicación–cómputo y nube soberana.</x:v>
      </x:c>
      <x:c r="G11" s="505" t="str">
        <x:v>Redes autónomas y ubicuas son plausibles, condicionadas por espectro, energía, economía y confianza.</x:v>
      </x:c>
      <x:c r="H11" s="505" t="str">
        <x:v>Conectividad planetaria o nuevas capas físicas son posibles, pero altamente inciertas.</x:v>
      </x:c>
      <x:c r="I11" s="505" t="str">
        <x:v>Protocolos, capas, direccionamiento, latencia, capacidad, resiliencia, automatización y seguridad.</x:v>
      </x:c>
      <x:c r="J11" s="505" t="str">
        <x:v>Alta hasta 2035; media 2036–2045; baja &gt;2045</x:v>
      </x:c>
      <x:c r="K11" s="505" t="str">
        <x:v>S27; S28; S29; S31; S50; S57; S58; S67</x:v>
      </x:c>
    </x:row>
    <x:row r="12" ht="96" customHeight="1">
      <x:c r="A12" s="427" t="str">
        <x:v>Ciberseguridad, forense y auditoría</x:v>
      </x:c>
      <x:c r="B12" s="427" t="str">
        <x:v>Criptografía histórica, control de acceso y auditoría evolucionan con sistemas multiusuario, redes y delitos digitales.</x:v>
      </x:c>
      <x:c r="C12" s="427" t="str">
        <x:v>Seguridad pasa de perímetro a gestión de riesgo, defensa en profundidad, respuesta, forense y cumplimiento.</x:v>
      </x:c>
      <x:c r="D12" s="427" t="str">
        <x:v>Zero Trust, seguridad de nube y software, detección, privacidad, forense, gobierno y explotación solo autorizada.</x:v>
      </x:c>
      <x:c r="E12" s="427" t="str">
        <x:v>Migración poscuántica, seguridad de IA, identidad resistente, priorización por explotación activa y supply chain.</x:v>
      </x:c>
      <x:c r="F12" s="427" t="str">
        <x:v>Criptografía poscuántica como base común y mayor automatización defensiva/adversaria.</x:v>
      </x:c>
      <x:c r="G12" s="427" t="str">
        <x:v>Conflicto entre sistemas autónomos aumenta la necesidad de resiliencia y pruebas verificables.</x:v>
      </x:c>
      <x:c r="H12" s="427" t="str">
        <x:v>Nuevos paradigmas criptográficos y amenazas son posibles; los principios de autorización y minimización perduran.</x:v>
      </x:c>
      <x:c r="I12" s="427" t="str">
        <x:v>Ética, autorización, riesgo, identidad, mínimo privilegio, evidencia, recuperación y divulgación responsable.</x:v>
      </x:c>
      <x:c r="J12" s="427" t="str">
        <x:v>Alta hasta 2035; media después</x:v>
      </x:c>
      <x:c r="K12" s="427" t="str">
        <x:v>S08; S32; S33; S34; S35; S36; S56; S59; S65; S66; S70; S71</x:v>
      </x:c>
    </x:row>
    <x:row r="13" ht="96" customHeight="1">
      <x:c r="A13" s="505" t="str">
        <x:v>Electrónica, embebidos e IoT</x:v>
      </x:c>
      <x:c r="B13" s="505" t="str">
        <x:v>Electricidad, radio, control y semiconductores conducen a microcontroladores, sistemas embebidos y sensores.</x:v>
      </x:c>
      <x:c r="C13" s="505" t="str">
        <x:v>Conectividad barata integra cómputo en productos, industria, hogares y ciudades.</x:v>
      </x:c>
      <x:c r="D13" s="505" t="str">
        <x:v>MCU/SoC, RTOS, buses, sensores, actuadores, edge, seguridad y gestión del ciclo de vida.</x:v>
      </x:c>
      <x:c r="E13" s="505" t="str">
        <x:v>TinyML, RISC-V, gemelos digitales, seguridad por diseño y energía ultrabaja.</x:v>
      </x:c>
      <x:c r="F13" s="505" t="str">
        <x:v>Sensores distribuidos, chiplets y mayor autonomía local; interoperabilidad será crítica.</x:v>
      </x:c>
      <x:c r="G13" s="505" t="str">
        <x:v>Electrónica flexible, nuevos materiales y cómputo cercano al sensor pueden madurar en nichos.</x:v>
      </x:c>
      <x:c r="H13" s="505" t="str">
        <x:v>Sistemas materiales-computacionales más integrados son posibles, pero especulativos.</x:v>
      </x:c>
      <x:c r="I13" s="505" t="str">
        <x:v>Circuitos, señales, tiempo real, energía, seguridad funcional, medición y diseño para mantenimiento.</x:v>
      </x:c>
      <x:c r="J13" s="505" t="str">
        <x:v>Alta hasta 2035; media 2036–2045; baja &gt;2045</x:v>
      </x:c>
      <x:c r="K13" s="505" t="str">
        <x:v>S04; S13; S26; S54; S58; S60</x:v>
      </x:c>
    </x:row>
    <x:row r="14" ht="96" customHeight="1">
      <x:c r="A14" s="427" t="str">
        <x:v>Robótica y mecatrónica</x:v>
      </x:c>
      <x:c r="B14" s="427" t="str">
        <x:v>Autómatas, máquinas herramienta y control industrial convergen con electrónica, software y percepción.</x:v>
      </x:c>
      <x:c r="C14" s="427" t="str">
        <x:v>Robots industriales, móviles, drones y cobots incorporan visión, planificación y aprendizaje.</x:v>
      </x:c>
      <x:c r="D14" s="427" t="str">
        <x:v>Percepción, control, SLAM, manipulación, seguridad, simulación e integración ciberfísica.</x:v>
      </x:c>
      <x:c r="E14" s="427" t="str">
        <x:v>IA corporeizada, cobots más adaptables, simulación masiva y robots móviles especializados.</x:v>
      </x:c>
      <x:c r="F14" s="427" t="str">
        <x:v>Mayor autonomía en logística, agricultura, salud e industria; regulación y seguridad limitarán despliegue.</x:v>
      </x:c>
      <x:c r="G14" s="427" t="str">
        <x:v>Robots generalistas, blandos o en enjambre podrían madurar en tareas concretas.</x:v>
      </x:c>
      <x:c r="H14" s="427" t="str">
        <x:v>Autonomía física avanzada es plausible, pero su forma social y económica es muy incierta.</x:v>
      </x:c>
      <x:c r="I14" s="427" t="str">
        <x:v>Dinámica, control, percepción, planificación, seguridad, interacción humana y responsabilidad.</x:v>
      </x:c>
      <x:c r="J14" s="427" t="str">
        <x:v>Media-alta hasta 2035; media 2036–2045; baja &gt;2045</x:v>
      </x:c>
      <x:c r="K14" s="427" t="str">
        <x:v>S12; S24; S25; S54; S58; S60</x:v>
      </x:c>
    </x:row>
    <x:row r="15" ht="96" customHeight="1">
      <x:c r="A15" s="505" t="str">
        <x:v>Soporte y reparación</x:v>
      </x:c>
      <x:c r="B15" s="505" t="str">
        <x:v>El mantenimiento de maquinaria y electrónica se adapta a computadoras personales, redes y dispositivos móviles.</x:v>
      </x:c>
      <x:c r="C15" s="505" t="str">
        <x:v>Integración, miniaturización, software propietario y sellado dificultan la reparación, mientras crece la circularidad.</x:v>
      </x:c>
      <x:c r="D15" s="505" t="str">
        <x:v>Diagnóstico sistemático, respaldo, firmware, microsoldadura, seguridad eléctrica y documentación del fabricante.</x:v>
      </x:c>
      <x:c r="E15" s="505" t="str">
        <x:v>Diagnóstico asistido, acceso a piezas/manuales, baterías, modularidad y cumplimiento de derecho a reparar.</x:v>
      </x:c>
      <x:c r="F15" s="505" t="str">
        <x:v>Diseño para circularidad puede aumentar, aunque convive con dispositivos altamente integrados.</x:v>
      </x:c>
      <x:c r="G15" s="505" t="str">
        <x:v>Robots de microensamblaje y fabricación distribuida podrían cambiar el oficio.</x:v>
      </x:c>
      <x:c r="H15" s="505" t="str">
        <x:v>Autorreparación material es especulativa; diagnóstico y seguridad seguirán siendo esenciales.</x:v>
      </x:c>
      <x:c r="I15" s="505" t="str">
        <x:v>Medir antes de reemplazar, preservar datos, documentar, trabajar con seguridad y respetar garantías/propiedad.</x:v>
      </x:c>
      <x:c r="J15" s="505" t="str">
        <x:v>Alta hasta 2035; media después</x:v>
      </x:c>
      <x:c r="K15" s="505" t="str">
        <x:v>S47; S48; S50; S54; S58; S72</x:v>
      </x:c>
    </x:row>
    <x:row r="16" ht="96" customHeight="1">
      <x:c r="A16" s="427" t="str">
        <x:v>Gráficos, juegos y XR</x:v>
      </x:c>
      <x:c r="B16" s="427" t="str">
        <x:v>Gráficos vectoriales y raster, CAD, animación, videojuegos y simuladores establecen el campo.</x:v>
      </x:c>
      <x:c r="C16" s="427" t="str">
        <x:v>GPU programable, motores 3D, física, red, VR/AR y captura digital elevan realismo e interacción.</x:v>
      </x:c>
      <x:c r="D16" s="427" t="str">
        <x:v>Render en tiempo real, motores, UX, networking, computación espacial, accesibilidad y producción procedural.</x:v>
      </x:c>
      <x:c r="E16" s="427" t="str">
        <x:v>Render neural, captura volumétrica, path tracing y XR más ligera con IA generativa controlada.</x:v>
      </x:c>
      <x:c r="F16" s="427" t="str">
        <x:v>Interacción espacial persistente e interoperable puede crecer si mejora comodidad, costo y utilidad.</x:v>
      </x:c>
      <x:c r="G16" s="427" t="str">
        <x:v>Háptica y telepresencia avanzadas podrían lograr usos profesionales amplios.</x:v>
      </x:c>
      <x:c r="H16" s="427" t="str">
        <x:v>Entornos perceptualmente indistinguibles son posibles pero especulativos y socialmente condicionados.</x:v>
      </x:c>
      <x:c r="I16" s="427" t="str">
        <x:v>Geometría, percepción, latencia, interacción, narrativa, rendimiento y seguridad del usuario.</x:v>
      </x:c>
      <x:c r="J16" s="427" t="str">
        <x:v>Media-alta hasta 2029; media 2030–2045; baja &gt;2045</x:v>
      </x:c>
      <x:c r="K16" s="427" t="str">
        <x:v>S18; S22; S43; S44; S45; S50; S54</x:v>
      </x:c>
    </x:row>
    <x:row r="17" ht="96" customHeight="1">
      <x:c r="A17" s="505" t="str">
        <x:v>Diseño, foto, cine y multimedia</x:v>
      </x:c>
      <x:c r="B17" s="505" t="str">
        <x:v>Tipografía, fotografía química, cine, sonido y diseño editorial preceden herramientas y distribución digitales.</x:v>
      </x:c>
      <x:c r="C17" s="505" t="str">
        <x:v>Cámaras digitales, edición no lineal, CGI, streaming y redes sociales transforman producción y acceso.</x:v>
      </x:c>
      <x:c r="D17" s="505" t="str">
        <x:v>Narrativa, composición, captura, edición, color, audio, accesibilidad y publicación multiplataforma.</x:v>
      </x:c>
      <x:c r="E17" s="505" t="str">
        <x:v>Producción virtual, medios generativos, procedencia de contenido y síntesis multimodal.</x:v>
      </x:c>
      <x:c r="F17" s="505" t="str">
        <x:v>Equipos humano–IA producirán variantes a escala; autenticidad, derechos y diferenciación creativa ganarán valor.</x:v>
      </x:c>
      <x:c r="G17" s="505" t="str">
        <x:v>Captura volumétrica y medios inmersivos pueden integrarse al lenguaje audiovisual.</x:v>
      </x:c>
      <x:c r="H17" s="505" t="str">
        <x:v>Nuevos medios sensoriales son posibles; la cultura y la autoría son más inciertas que la técnica.</x:v>
      </x:c>
      <x:c r="I17" s="505" t="str">
        <x:v>Comunicación, criterio estético, narrativa, observación, ética, derechos y comprensión de audiencia.</x:v>
      </x:c>
      <x:c r="J17" s="505" t="str">
        <x:v>Alta hasta 2029; media después</x:v>
      </x:c>
      <x:c r="K17" s="505" t="str">
        <x:v>S43; S44; S45; S50; S54; S68</x:v>
      </x:c>
    </x:row>
    <x:row r="18" ht="96" customHeight="1">
      <x:c r="A18" s="427" t="str">
        <x:v>Sistemas de información y gestión TI</x:v>
      </x:c>
      <x:c r="B18" s="427" t="str">
        <x:v>Contabilidad mecanizada, mainframes y procesamiento por lotes conducen a MIS, ERP y gestión de servicios.</x:v>
      </x:c>
      <x:c r="C18" s="427" t="str">
        <x:v>Internet, SaaS, ITSM, gobierno, analítica y transformación digital conectan estrategia y operación.</x:v>
      </x:c>
      <x:c r="D18" s="427" t="str">
        <x:v>Arquitectura empresarial, producto, ITSM, riesgo, datos, nube, proveedores, costos y cambio organizacional.</x:v>
      </x:c>
      <x:c r="E18" s="427" t="str">
        <x:v>AIOps, FinOps/GreenOps, process mining, automatización de flujos y gobierno de agentes.</x:v>
      </x:c>
      <x:c r="F18" s="427" t="str">
        <x:v>Organizaciones aumentadas por IA con mayor trazabilidad, soberanía y regulación.</x:v>
      </x:c>
      <x:c r="G18" s="427" t="str">
        <x:v>Gemelos organizacionales y decisión semiautónoma son plausibles, con límites humanos y legales.</x:v>
      </x:c>
      <x:c r="H18" s="427" t="str">
        <x:v>Organizaciones altamente automatizadas son escenarios; gobernanza e incentivos dominarán el resultado.</x:v>
      </x:c>
      <x:c r="I18" s="427" t="str">
        <x:v>Valor, procesos, personas, control, interoperabilidad, costos, riesgo y responsabilidad.</x:v>
      </x:c>
      <x:c r="J18" s="427" t="str">
        <x:v>Alta hasta 2035; media después</x:v>
      </x:c>
      <x:c r="K18" s="427" t="str">
        <x:v>S06; S18; S29; S31; S34; S52; S55; S59</x:v>
      </x:c>
    </x:row>
    <x:row r="19" ht="96" customHeight="1">
      <x:c r="A19" s="505" t="str">
        <x:v>Bioinformática y salud digital</x:v>
      </x:c>
      <x:c r="B19" s="505" t="str">
        <x:v>Genética, estadística médica, registros clínicos y secuenciación crean problemas computacionales especializados.</x:v>
      </x:c>
      <x:c r="C19" s="505" t="str">
        <x:v>Ómicas, imágenes, historias clínicas, dispositivos y ML integran investigación y atención.</x:v>
      </x:c>
      <x:c r="D19" s="505" t="str">
        <x:v>Pipelines reproducibles, interoperabilidad, privacidad, apoyo a decisión y validación clínica.</x:v>
      </x:c>
      <x:c r="E19" s="505" t="str">
        <x:v>Modelos biomédicos, multi-ómica, biomarcadores digitales y federación con supervisión clínica.</x:v>
      </x:c>
      <x:c r="F19" s="505" t="str">
        <x:v>Medicina más personalizada y simulación biológica, limitada por evidencia, regulación y equidad.</x:v>
      </x:c>
      <x:c r="G19" s="505" t="str">
        <x:v>Interfaces neurales y modelos de organismos pueden progresar en nichos.</x:v>
      </x:c>
      <x:c r="H19" s="505" t="str">
        <x:v>Biología programable y medicina altamente predictiva son plausibles, pero de gran incertidumbre ética y científica.</x:v>
      </x:c>
      <x:c r="I19" s="505" t="str">
        <x:v>Rigor estadístico, conocimiento biológico/clínico, privacidad, validación, seguridad y no daño.</x:v>
      </x:c>
      <x:c r="J19" s="505" t="str">
        <x:v>Media-alta hasta 2035; media 2036–2045; baja &gt;2045</x:v>
      </x:c>
      <x:c r="K19" s="505" t="str">
        <x:v>S39; S40; S52; S54; S55; S69; S71</x:v>
      </x:c>
    </x:row>
    <x:row r="20" ht="96" customHeight="1">
      <x:c r="A20" s="427" t="str">
        <x:v>Computación cuántica</x:v>
      </x:c>
      <x:c r="B20" s="427" t="str">
        <x:v>Mecánica cuántica y teoría de información preceden algoritmos, qubits y demostraciones experimentales.</x:v>
      </x:c>
      <x:c r="C20" s="427" t="str">
        <x:v>De conceptos y algoritmos a dispositivos NISQ, nubes cuánticas y avances en corrección de errores.</x:v>
      </x:c>
      <x:c r="D20" s="427" t="str">
        <x:v>Hardware ruidoso, algoritmos híbridos, metrología, simulación y desarrollo de corrección de errores.</x:v>
      </x:c>
      <x:c r="E20" s="427" t="str">
        <x:v>Mejoras de fidelidad, compilación y demostraciones de ventaja útil siguen bajo evaluación.</x:v>
      </x:c>
      <x:c r="F20" s="427" t="str">
        <x:v>Primeras máquinas tolerantes a fallos son posibles, pero el calendario y utilidad comercial son inciertos.</x:v>
      </x:c>
      <x:c r="G20" s="427" t="str">
        <x:v>Utilidad en química, materiales u optimización podría aparecer en nichos si escala la corrección de errores.</x:v>
      </x:c>
      <x:c r="H20" s="427" t="str">
        <x:v>Redes y cómputo cuántico amplio son escenarios de baja confianza, no promesas.</x:v>
      </x:c>
      <x:c r="I20" s="427" t="str">
        <x:v>Álgebra lineal, probabilidad, física, complejidad, experimentación y comparación contra métodos clásicos.</x:v>
      </x:c>
      <x:c r="J20" s="427" t="str">
        <x:v>Media hasta 2029; baja-media 2030–2045; baja &gt;2045</x:v>
      </x:c>
      <x:c r="K20" s="427" t="str">
        <x:v>S10; S20; S41; S42; S54; S56; S58</x:v>
      </x:c>
    </x:row>
    <x:row r="21" ht="96" customHeight="1">
      <x:c r="A21" s="506" t="str">
        <x:v>Investigación, profesión y capstones</x:v>
      </x:c>
      <x:c r="B21" s="506" t="str">
        <x:v>Método científico, ingeniería, revisión por pares, universidades, patentes y estándares institucionalizan conocimiento.</x:v>
      </x:c>
      <x:c r="C21" s="506" t="str">
        <x:v>Ciencia abierta, repositorios, datos FAIR, colaboración global y transferencia aceleran difusión.</x:v>
      </x:c>
      <x:c r="D21" s="506" t="str">
        <x:v>Reproducibilidad, revisión sistemática, ética, mentoría, portafolio, innovación y aprendizaje permanente.</x:v>
      </x:c>
      <x:c r="E21" s="506" t="str">
        <x:v>IA para búsqueda, experimentación y escritura exige procedencia, replicación y evaluación más rigurosa.</x:v>
      </x:c>
      <x:c r="F21" s="506" t="str">
        <x:v>Laboratorios humanos–IA, inteligencia estratégica y currículos adaptativos serán más comunes.</x:v>
      </x:c>
      <x:c r="G21" s="506" t="str">
        <x:v>Ciencia parcialmente automatizada puede acelerar descubrimiento, pero no elimina juicio ni gobernanza.</x:v>
      </x:c>
      <x:c r="H21" s="506" t="str">
        <x:v>Sistemas científicos muy autónomos son posibles; su confiabilidad e incentivos son inciertos.</x:v>
      </x:c>
      <x:c r="I21" s="506" t="str">
        <x:v>Pregunta clara, evidencia, falsabilidad, reproducibilidad, comunicación, ética y actualización.</x:v>
      </x:c>
      <x:c r="J21" s="506" t="str">
        <x:v>Alta para el método; baja para formas &gt;2045</x:v>
      </x:c>
      <x:c r="K21" s="506" t="str">
        <x:v>S50; S51; S52; S53; S61; S62; S63; S64; S67; S68; S69</x:v>
      </x:c>
    </x:row>
  </x:sheetData>
  <x:mergeCells>
    <x:mergeCell ref="A1:K1"/>
    <x:mergeCell ref="A2:K2"/>
  </x:mergeCells>
  <x:pageMargins left="0.7" right="0.7" top="0.75" bottom="0.75" header="0.3" footer="0.3"/>
  <x:tableParts count="1">
    <x:tablePart xmlns:r="http://schemas.openxmlformats.org/officeDocument/2006/relationships" r:id="R3bdc7b33253f4a9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9" hidden="0" customWidth="1"/>
    <x:col min="2" max="2" width="38" hidden="0" customWidth="1"/>
    <x:col min="3" max="3" width="17" hidden="0" customWidth="1"/>
    <x:col min="4" max="4" width="23" hidden="0" customWidth="1"/>
    <x:col min="5" max="5" width="14" hidden="0" customWidth="1"/>
    <x:col min="6" max="6" width="26" hidden="0" customWidth="1"/>
    <x:col min="7" max="7" width="48" hidden="0" customWidth="1"/>
    <x:col min="8" max="8" width="39" hidden="0" customWidth="1"/>
    <x:col min="9" max="9" width="44" hidden="0" customWidth="1"/>
    <x:col min="10" max="10" width="14" hidden="0" customWidth="1"/>
    <x:col min="11" max="11" width="20" hidden="0" customWidth="1"/>
    <x:col min="13" max="13" width="18" hidden="0" customWidth="1"/>
    <x:col min="14" max="14" width="14" hidden="0" customWidth="1"/>
  </x:cols>
  <x:sheetData>
    <x:row r="1" ht="34" customHeight="1">
      <x:c r="A1" s="4" t="str">
        <x:v>RADAR TECNOLÓGICO 2026</x:v>
      </x:c>
      <x:c r="B1" s="4" t="str">
        <x:v>RADAR TECNOLÓGICO 2026</x:v>
      </x:c>
      <x:c r="C1" s="4" t="str">
        <x:v>RADAR TECNOLÓGICO 2026</x:v>
      </x:c>
      <x:c r="D1" s="4" t="str">
        <x:v>RADAR TECNOLÓGICO 2026</x:v>
      </x:c>
      <x:c r="E1" s="4" t="str">
        <x:v>RADAR TECNOLÓGICO 2026</x:v>
      </x:c>
      <x:c r="F1" s="4" t="str">
        <x:v>RADAR TECNOLÓGICO 2026</x:v>
      </x:c>
      <x:c r="G1" s="4" t="str">
        <x:v>RADAR TECNOLÓGICO 2026</x:v>
      </x:c>
      <x:c r="H1" s="4" t="str">
        <x:v>RADAR TECNOLÓGICO 2026</x:v>
      </x:c>
      <x:c r="I1" s="4" t="str">
        <x:v>RADAR TECNOLÓGICO 2026</x:v>
      </x:c>
      <x:c r="J1" s="4" t="str">
        <x:v>RADAR TECNOLÓGICO 2026</x:v>
      </x:c>
      <x:c r="K1" s="4" t="str">
        <x:v>RADAR TECNOLÓGICO 2026</x:v>
      </x:c>
    </x:row>
    <x:row r="2" ht="30" customHeight="1">
      <x:c r="A2" s="8" t="str">
        <x:v>Clasificación orientativa basada en madurez observable y señales oficiales. Reevalúa cada tecnología con la cadencia indicada.</x:v>
      </x:c>
      <x:c r="B2" s="8" t="str">
        <x:v>Clasificación orientativa basada en madurez observable y señales oficiales. Reevalúa cada tecnología con la cadencia indicada.</x:v>
      </x:c>
      <x:c r="C2" s="8" t="str">
        <x:v>Clasificación orientativa basada en madurez observable y señales oficiales. Reevalúa cada tecnología con la cadencia indicada.</x:v>
      </x:c>
      <x:c r="D2" s="8" t="str">
        <x:v>Clasificación orientativa basada en madurez observable y señales oficiales. Reevalúa cada tecnología con la cadencia indicada.</x:v>
      </x:c>
      <x:c r="E2" s="8" t="str">
        <x:v>Clasificación orientativa basada en madurez observable y señales oficiales. Reevalúa cada tecnología con la cadencia indicada.</x:v>
      </x:c>
      <x:c r="F2" s="8" t="str">
        <x:v>Clasificación orientativa basada en madurez observable y señales oficiales. Reevalúa cada tecnología con la cadencia indicada.</x:v>
      </x:c>
      <x:c r="G2" s="8" t="str">
        <x:v>Clasificación orientativa basada en madurez observable y señales oficiales. Reevalúa cada tecnología con la cadencia indicada.</x:v>
      </x:c>
      <x:c r="H2" s="8" t="str">
        <x:v>Clasificación orientativa basada en madurez observable y señales oficiales. Reevalúa cada tecnología con la cadencia indicada.</x:v>
      </x:c>
      <x:c r="I2" s="8" t="str">
        <x:v>Clasificación orientativa basada en madurez observable y señales oficiales. Reevalúa cada tecnología con la cadencia indicada.</x:v>
      </x:c>
      <x:c r="J2" s="8" t="str">
        <x:v>Clasificación orientativa basada en madurez observable y señales oficiales. Reevalúa cada tecnología con la cadencia indicada.</x:v>
      </x:c>
      <x:c r="K2" s="8" t="str">
        <x:v>Clasificación orientativa basada en madurez observable y señales oficiales. Reevalúa cada tecnología con la cadencia indicada.</x:v>
      </x:c>
    </x:row>
    <x:row r="4">
      <x:c r="A4" s="377" t="str">
        <x:v>Ruta</x:v>
      </x:c>
      <x:c r="B4" s="377" t="str">
        <x:v>Tecnología</x:v>
      </x:c>
      <x:c r="C4" s="377" t="str">
        <x:v>Madurez 2026</x:v>
      </x:c>
      <x:c r="D4" s="377" t="str">
        <x:v>Horizonte</x:v>
      </x:c>
      <x:c r="E4" s="377" t="str">
        <x:v>Confianza</x:v>
      </x:c>
      <x:c r="F4" s="377" t="str">
        <x:v>Acción recomendada</x:v>
      </x:c>
      <x:c r="G4" s="377" t="str">
        <x:v>Por qué importa</x:v>
      </x:c>
      <x:c r="H4" s="377" t="str">
        <x:v>Prerrequisitos</x:v>
      </x:c>
      <x:c r="I4" s="377" t="str">
        <x:v>Señales a medir</x:v>
      </x:c>
      <x:c r="J4" s="377" t="str">
        <x:v>Revisión</x:v>
      </x:c>
      <x:c r="K4" s="377" t="str">
        <x:v>Fuentes</x:v>
      </x:c>
      <x:c r="M4" s="10" t="str">
        <x:v>Madurez</x:v>
      </x:c>
      <x:c r="N4" s="10" t="str">
        <x:v>Tecnologías</x:v>
      </x:c>
    </x:row>
    <x:row r="5" ht="60" customHeight="1">
      <x:c r="A5" s="469" t="str">
        <x:v>Preparación y ofimática</x:v>
      </x:c>
      <x:c r="B5" s="469" t="str">
        <x:v>Suites ofimáticas, hojas de cálculo y colaboración</x:v>
      </x:c>
      <x:c r="C5" s="469" t="str">
        <x:v>Consolidada</x:v>
      </x:c>
      <x:c r="D5" s="469" t="str">
        <x:v>Transversal permanente</x:v>
      </x:c>
      <x:c r="E5" s="469" t="str">
        <x:v>Alta</x:v>
      </x:c>
      <x:c r="F5" s="469" t="str">
        <x:v>Dominar</x:v>
      </x:c>
      <x:c r="G5" s="469" t="str">
        <x:v>Siguen siendo la capa universal de documentación, análisis operativo y comunicación.</x:v>
      </x:c>
      <x:c r="H5" s="469" t="str">
        <x:v>Alfabetización digital, lógica y escritura</x:v>
      </x:c>
      <x:c r="I5" s="469" t="str">
        <x:v>Interoperabilidad, accesibilidad y automatización</x:v>
      </x:c>
      <x:c r="J5" s="469" t="str">
        <x:v>Anual</x:v>
      </x:c>
      <x:c r="K5" s="469" t="str">
        <x:v>S46; S49</x:v>
      </x:c>
      <x:c r="M5" s="507" t="str">
        <x:v>Consolidada</x:v>
      </x:c>
      <x:c r="N5" s="507" t="n">
        <x:f>COUNTIF($C$5:$C$66,M5)</x:f>
        <x:v>9</x:v>
      </x:c>
    </x:row>
    <x:row r="6" ht="60" customHeight="1">
      <x:c r="A6" s="427" t="str">
        <x:v>Matemática y ciencias</x:v>
      </x:c>
      <x:c r="B6" s="427" t="str">
        <x:v>Métodos numéricos, estadística y simulación</x:v>
      </x:c>
      <x:c r="C6" s="427" t="str">
        <x:v>Consolidada</x:v>
      </x:c>
      <x:c r="D6" s="427" t="str">
        <x:v>Transversal permanente</x:v>
      </x:c>
      <x:c r="E6" s="427" t="str">
        <x:v>Alta</x:v>
      </x:c>
      <x:c r="F6" s="427" t="str">
        <x:v>Dominar</x:v>
      </x:c>
      <x:c r="G6" s="427" t="str">
        <x:v>Son la base cuantitativa para ciencia, IA, gráficos, control e ingeniería.</x:v>
      </x:c>
      <x:c r="H6" s="427" t="str">
        <x:v>Álgebra, cálculo, probabilidad</x:v>
      </x:c>
      <x:c r="I6" s="427" t="str">
        <x:v>Reproducibilidad, error y estabilidad</x:v>
      </x:c>
      <x:c r="J6" s="427" t="str">
        <x:v>24 meses</x:v>
      </x:c>
      <x:c r="K6" s="427" t="str">
        <x:v>S01; S09; S16</x:v>
      </x:c>
      <x:c r="M6" s="508" t="str">
        <x:v>Actual</x:v>
      </x:c>
      <x:c r="N6" s="508" t="n">
        <x:f>COUNTIF($C$5:$C$66,M6)</x:f>
        <x:v>19</x:v>
      </x:c>
    </x:row>
    <x:row r="7" ht="60" customHeight="1">
      <x:c r="A7" s="470" t="str">
        <x:v>Programación y teoría CS</x:v>
      </x:c>
      <x:c r="B7" s="470" t="str">
        <x:v>Algoritmos, estructuras de datos y lenguajes generales</x:v>
      </x:c>
      <x:c r="C7" s="470" t="str">
        <x:v>Consolidada</x:v>
      </x:c>
      <x:c r="D7" s="470" t="str">
        <x:v>Transversal permanente</x:v>
      </x:c>
      <x:c r="E7" s="470" t="str">
        <x:v>Alta</x:v>
      </x:c>
      <x:c r="F7" s="470" t="str">
        <x:v>Dominar</x:v>
      </x:c>
      <x:c r="G7" s="470" t="str">
        <x:v>La tecnología cambia, pero estas abstracciones siguen gobernando rendimiento y correctitud.</x:v>
      </x:c>
      <x:c r="H7" s="470" t="str">
        <x:v>Lógica y resolución de problemas</x:v>
      </x:c>
      <x:c r="I7" s="470" t="str">
        <x:v>Complejidad, pruebas y portabilidad</x:v>
      </x:c>
      <x:c r="J7" s="470" t="str">
        <x:v>24 meses</x:v>
      </x:c>
      <x:c r="K7" s="470" t="str">
        <x:v>S01; S02; S14</x:v>
      </x:c>
      <x:c r="M7" s="508" t="str">
        <x:v>Emergente</x:v>
      </x:c>
      <x:c r="N7" s="508" t="n">
        <x:f>COUNTIF($C$5:$C$66,M7)</x:f>
        <x:v>25</x:v>
      </x:c>
    </x:row>
    <x:row r="8" ht="60" customHeight="1">
      <x:c r="A8" s="427" t="str">
        <x:v>Sistemas y arquitectura</x:v>
      </x:c>
      <x:c r="B8" s="427" t="str">
        <x:v>Sistemas operativos, virtualización y contenedores</x:v>
      </x:c>
      <x:c r="C8" s="427" t="str">
        <x:v>Consolidada</x:v>
      </x:c>
      <x:c r="D8" s="427" t="str">
        <x:v>Presente 2026</x:v>
      </x:c>
      <x:c r="E8" s="427" t="str">
        <x:v>Alta</x:v>
      </x:c>
      <x:c r="F8" s="427" t="str">
        <x:v>Dominar y operar</x:v>
      </x:c>
      <x:c r="G8" s="427" t="str">
        <x:v>Sostienen servidores, cloud, edge y desarrollo reproducible.</x:v>
      </x:c>
      <x:c r="H8" s="427" t="str">
        <x:v>Arquitectura, redes, Linux</x:v>
      </x:c>
      <x:c r="I8" s="427" t="str">
        <x:v>Aislamiento, rendimiento y seguridad</x:v>
      </x:c>
      <x:c r="J8" s="427" t="str">
        <x:v>Anual</x:v>
      </x:c>
      <x:c r="K8" s="427" t="str">
        <x:v>S09; S18; S30; S31</x:v>
      </x:c>
      <x:c r="M8" s="508" t="str">
        <x:v>Experimental</x:v>
      </x:c>
      <x:c r="N8" s="508" t="n">
        <x:f>COUNTIF($C$5:$C$66,M8)</x:f>
        <x:v>8</x:v>
      </x:c>
    </x:row>
    <x:row r="9" ht="60" customHeight="1">
      <x:c r="A9" s="470" t="str">
        <x:v>Ingeniería de software</x:v>
      </x:c>
      <x:c r="B9" s="470" t="str">
        <x:v>Git, pruebas automatizadas y entrega continua</x:v>
      </x:c>
      <x:c r="C9" s="470" t="str">
        <x:v>Consolidada</x:v>
      </x:c>
      <x:c r="D9" s="470" t="str">
        <x:v>Transversal permanente</x:v>
      </x:c>
      <x:c r="E9" s="470" t="str">
        <x:v>Alta</x:v>
      </x:c>
      <x:c r="F9" s="470" t="str">
        <x:v>Dominar</x:v>
      </x:c>
      <x:c r="G9" s="470" t="str">
        <x:v>Hacen trazable y repetible la construcción de software en equipo.</x:v>
      </x:c>
      <x:c r="H9" s="470" t="str">
        <x:v>Programación y sistemas</x:v>
      </x:c>
      <x:c r="I9" s="470" t="str">
        <x:v>Cobertura útil, frecuencia y tasa de fallos</x:v>
      </x:c>
      <x:c r="J9" s="470" t="str">
        <x:v>Anual</x:v>
      </x:c>
      <x:c r="K9" s="470" t="str">
        <x:v>S05; S11; S18</x:v>
      </x:c>
      <x:c r="M9" s="509" t="str">
        <x:v>Especulativa</x:v>
      </x:c>
      <x:c r="N9" s="509" t="n">
        <x:f>COUNTIF($C$5:$C$66,M9)</x:f>
        <x:v>1</x:v>
      </x:c>
    </x:row>
    <x:row r="10" ht="60" customHeight="1">
      <x:c r="A10" s="427" t="str">
        <x:v>Datos, BI e IA</x:v>
      </x:c>
      <x:c r="B10" s="427" t="str">
        <x:v>Bases de datos relacionales, SQL y modelado dimensional</x:v>
      </x:c>
      <x:c r="C10" s="427" t="str">
        <x:v>Consolidada</x:v>
      </x:c>
      <x:c r="D10" s="427" t="str">
        <x:v>Transversal permanente</x:v>
      </x:c>
      <x:c r="E10" s="427" t="str">
        <x:v>Alta</x:v>
      </x:c>
      <x:c r="F10" s="427" t="str">
        <x:v>Dominar</x:v>
      </x:c>
      <x:c r="G10" s="427" t="str">
        <x:v>Persisten como base de transacciones, analítica y BI aun cuando cambien las plataformas.</x:v>
      </x:c>
      <x:c r="H10" s="427" t="str">
        <x:v>Modelado de datos y álgebra relacional</x:v>
      </x:c>
      <x:c r="I10" s="427" t="str">
        <x:v>Calidad, consistencia y costo de consulta</x:v>
      </x:c>
      <x:c r="J10" s="427" t="str">
        <x:v>24 meses</x:v>
      </x:c>
      <x:c r="K10" s="427" t="str">
        <x:v>S06; S07; S37</x:v>
      </x:c>
    </x:row>
    <x:row r="11" ht="60" customHeight="1">
      <x:c r="A11" s="470" t="str">
        <x:v>Redes, telecom y cloud</x:v>
      </x:c>
      <x:c r="B11" s="470" t="str">
        <x:v>TCP/IP, DNS, routing y arquitectura cloud</x:v>
      </x:c>
      <x:c r="C11" s="470" t="str">
        <x:v>Consolidada</x:v>
      </x:c>
      <x:c r="D11" s="470" t="str">
        <x:v>Transversal permanente</x:v>
      </x:c>
      <x:c r="E11" s="470" t="str">
        <x:v>Alta</x:v>
      </x:c>
      <x:c r="F11" s="470" t="str">
        <x:v>Dominar</x:v>
      </x:c>
      <x:c r="G11" s="470" t="str">
        <x:v>Son el sustrato de Internet y de la operación de servicios distribuidos.</x:v>
      </x:c>
      <x:c r="H11" s="470" t="str">
        <x:v>Sistemas, redes y seguridad</x:v>
      </x:c>
      <x:c r="I11" s="470" t="str">
        <x:v>Resiliencia, latencia, observabilidad y costo</x:v>
      </x:c>
      <x:c r="J11" s="470" t="str">
        <x:v>Anual</x:v>
      </x:c>
      <x:c r="K11" s="470" t="str">
        <x:v>S27; S28; S29; S67</x:v>
      </x:c>
    </x:row>
    <x:row r="12" ht="60" customHeight="1">
      <x:c r="A12" s="427" t="str">
        <x:v>Ciberseguridad, forense y auditoría</x:v>
      </x:c>
      <x:c r="B12" s="427" t="str">
        <x:v>Identidad, cifrado, hardening, copias y respuesta</x:v>
      </x:c>
      <x:c r="C12" s="427" t="str">
        <x:v>Consolidada</x:v>
      </x:c>
      <x:c r="D12" s="427" t="str">
        <x:v>Transversal permanente</x:v>
      </x:c>
      <x:c r="E12" s="427" t="str">
        <x:v>Alta</x:v>
      </x:c>
      <x:c r="F12" s="427" t="str">
        <x:v>Dominar</x:v>
      </x:c>
      <x:c r="G12" s="427" t="str">
        <x:v>Los controles básicos bien operados previenen y limitan gran parte del daño.</x:v>
      </x:c>
      <x:c r="H12" s="427" t="str">
        <x:v>Sistemas, redes, riesgo</x:v>
      </x:c>
      <x:c r="I12" s="427" t="str">
        <x:v>Cobertura, recuperación y tiempo de respuesta</x:v>
      </x:c>
      <x:c r="J12" s="427" t="str">
        <x:v>Semestral</x:v>
      </x:c>
      <x:c r="K12" s="427" t="str">
        <x:v>S33; S35; S36; S59</x:v>
      </x:c>
    </x:row>
    <x:row r="13" ht="60" customHeight="1">
      <x:c r="A13" s="470" t="str">
        <x:v>Electrónica, embebidos e IoT</x:v>
      </x:c>
      <x:c r="B13" s="470" t="str">
        <x:v>Microcontroladores, RTOS, buses y sensores</x:v>
      </x:c>
      <x:c r="C13" s="470" t="str">
        <x:v>Consolidada</x:v>
      </x:c>
      <x:c r="D13" s="470" t="str">
        <x:v>Transversal permanente</x:v>
      </x:c>
      <x:c r="E13" s="470" t="str">
        <x:v>Alta</x:v>
      </x:c>
      <x:c r="F13" s="470" t="str">
        <x:v>Dominar</x:v>
      </x:c>
      <x:c r="G13" s="470" t="str">
        <x:v>Forman el núcleo técnico de millones de sistemas embebidos y ciberfísicos.</x:v>
      </x:c>
      <x:c r="H13" s="470" t="str">
        <x:v>Electrónica digital, C/C++, señales</x:v>
      </x:c>
      <x:c r="I13" s="470" t="str">
        <x:v>Tiempo real, energía y confiabilidad</x:v>
      </x:c>
      <x:c r="J13" s="470" t="str">
        <x:v>Anual</x:v>
      </x:c>
      <x:c r="K13" s="470" t="str">
        <x:v>S04; S26; S48</x:v>
      </x:c>
    </x:row>
    <x:row r="14" ht="60" customHeight="1">
      <x:c r="A14" s="427" t="str">
        <x:v>Preparación y ofimática</x:v>
      </x:c>
      <x:c r="B14" s="427" t="str">
        <x:v>Copilotos de productividad con verificación</x:v>
      </x:c>
      <x:c r="C14" s="427" t="str">
        <x:v>Actual</x:v>
      </x:c>
      <x:c r="D14" s="427" t="str">
        <x:v>Presente 2026</x:v>
      </x:c>
      <x:c r="E14" s="427" t="str">
        <x:v>Alta</x:v>
      </x:c>
      <x:c r="F14" s="427" t="str">
        <x:v>Adoptar con controles</x:v>
      </x:c>
      <x:c r="G14" s="427" t="str">
        <x:v>Aceleran borradores, análisis y automatización, pero pueden inventar resultados.</x:v>
      </x:c>
      <x:c r="H14" s="427" t="str">
        <x:v>Ofimática, privacidad, pensamiento crítico</x:v>
      </x:c>
      <x:c r="I14" s="427" t="str">
        <x:v>Tasas de error, trazabilidad, integración y costos</x:v>
      </x:c>
      <x:c r="J14" s="427" t="str">
        <x:v>Trimestral</x:v>
      </x:c>
      <x:c r="K14" s="427" t="str">
        <x:v>S46; S49; S55</x:v>
      </x:c>
    </x:row>
    <x:row r="15" ht="60" customHeight="1">
      <x:c r="A15" s="470" t="str">
        <x:v>Preparación y ofimática</x:v>
      </x:c>
      <x:c r="B15" s="470" t="str">
        <x:v>Agentes personales entre aplicaciones</x:v>
      </x:c>
      <x:c r="C15" s="470" t="str">
        <x:v>Emergente</x:v>
      </x:c>
      <x:c r="D15" s="470" t="str">
        <x:v>Corto 2027–2029</x:v>
      </x:c>
      <x:c r="E15" s="470" t="str">
        <x:v>Media</x:v>
      </x:c>
      <x:c r="F15" s="470" t="str">
        <x:v>Experimentar en sandbox</x:v>
      </x:c>
      <x:c r="G15" s="470" t="str">
        <x:v>Pueden ejecutar flujos completos y administrar conocimiento personal.</x:v>
      </x:c>
      <x:c r="H15" s="470" t="str">
        <x:v>APIs, identidad, automatización, seguridad</x:v>
      </x:c>
      <x:c r="I15" s="470" t="str">
        <x:v>Permisos granulares, auditoría y confiabilidad</x:v>
      </x:c>
      <x:c r="J15" s="470" t="str">
        <x:v>Trimestral</x:v>
      </x:c>
      <x:c r="K15" s="470" t="str">
        <x:v>S51; S52; S54; S55</x:v>
      </x:c>
    </x:row>
    <x:row r="16" ht="60" customHeight="1">
      <x:c r="A16" s="427" t="str">
        <x:v>Preparación y ofimática</x:v>
      </x:c>
      <x:c r="B16" s="427" t="str">
        <x:v>Identidad, firma y credenciales verificables</x:v>
      </x:c>
      <x:c r="C16" s="427" t="str">
        <x:v>Actual</x:v>
      </x:c>
      <x:c r="D16" s="427" t="str">
        <x:v>Corto 2027–2029</x:v>
      </x:c>
      <x:c r="E16" s="427" t="str">
        <x:v>Alta</x:v>
      </x:c>
      <x:c r="F16" s="427" t="str">
        <x:v>Aprender y adoptar</x:v>
      </x:c>
      <x:c r="G16" s="427" t="str">
        <x:v>La autenticidad gana importancia ante fraude y medios sintéticos.</x:v>
      </x:c>
      <x:c r="H16" s="427" t="str">
        <x:v>Criptografía básica, gobierno digital</x:v>
      </x:c>
      <x:c r="I16" s="427" t="str">
        <x:v>Adopción legal, interoperabilidad y experiencia de usuario</x:v>
      </x:c>
      <x:c r="J16" s="427" t="str">
        <x:v>Semestral</x:v>
      </x:c>
      <x:c r="K16" s="427" t="str">
        <x:v>S51; S56; S71</x:v>
      </x:c>
    </x:row>
    <x:row r="17" ht="60" customHeight="1">
      <x:c r="A17" s="470" t="str">
        <x:v>Matemática y ciencias</x:v>
      </x:c>
      <x:c r="B17" s="470" t="str">
        <x:v>Asistentes de demostración y prueba formal</x:v>
      </x:c>
      <x:c r="C17" s="470" t="str">
        <x:v>Emergente</x:v>
      </x:c>
      <x:c r="D17" s="470" t="str">
        <x:v>Corto 2027–2029</x:v>
      </x:c>
      <x:c r="E17" s="470" t="str">
        <x:v>Media</x:v>
      </x:c>
      <x:c r="F17" s="470" t="str">
        <x:v>Explorar con verificación</x:v>
      </x:c>
      <x:c r="G17" s="470" t="str">
        <x:v>Formalizan argumentos y reducen errores si cada paso puede comprobarse.</x:v>
      </x:c>
      <x:c r="H17" s="470" t="str">
        <x:v>Lógica, álgebra, programación funcional</x:v>
      </x:c>
      <x:c r="I17" s="470" t="str">
        <x:v>Bibliotecas formalizadas y pruebas revisadas</x:v>
      </x:c>
      <x:c r="J17" s="470" t="str">
        <x:v>Semestral</x:v>
      </x:c>
      <x:c r="K17" s="470" t="str">
        <x:v>S01; S52; S54</x:v>
      </x:c>
    </x:row>
    <x:row r="18" ht="60" customHeight="1">
      <x:c r="A18" s="427" t="str">
        <x:v>Matemática y ciencias</x:v>
      </x:c>
      <x:c r="B18" s="427" t="str">
        <x:v>Modelos híbridos físico–estadísticos</x:v>
      </x:c>
      <x:c r="C18" s="427" t="str">
        <x:v>Actual</x:v>
      </x:c>
      <x:c r="D18" s="427" t="str">
        <x:v>Presente 2026</x:v>
      </x:c>
      <x:c r="E18" s="427" t="str">
        <x:v>Alta</x:v>
      </x:c>
      <x:c r="F18" s="427" t="str">
        <x:v>Adoptar en proyectos</x:v>
      </x:c>
      <x:c r="G18" s="427" t="str">
        <x:v>Combinan leyes conocidas con aprendizaje para predicción y control.</x:v>
      </x:c>
      <x:c r="H18" s="427" t="str">
        <x:v>Cálculo, EDO, estadística, ML</x:v>
      </x:c>
      <x:c r="I18" s="427" t="str">
        <x:v>Benchmarks reproducibles y transferencia entre dominios</x:v>
      </x:c>
      <x:c r="J18" s="427" t="str">
        <x:v>Semestral</x:v>
      </x:c>
      <x:c r="K18" s="427" t="str">
        <x:v>S07; S52; S54</x:v>
      </x:c>
    </x:row>
    <x:row r="19" ht="60" customHeight="1">
      <x:c r="A19" s="470" t="str">
        <x:v>Matemática y ciencias</x:v>
      </x:c>
      <x:c r="B19" s="470" t="str">
        <x:v>Computación científica diferenciable</x:v>
      </x:c>
      <x:c r="C19" s="470" t="str">
        <x:v>Emergente</x:v>
      </x:c>
      <x:c r="D19" s="470" t="str">
        <x:v>Mediano 2030–2035</x:v>
      </x:c>
      <x:c r="E19" s="470" t="str">
        <x:v>Media</x:v>
      </x:c>
      <x:c r="F19" s="470" t="str">
        <x:v>Explorar</x:v>
      </x:c>
      <x:c r="G19" s="470" t="str">
        <x:v>Integra simulación, optimización y aprendizaje de extremo a extremo.</x:v>
      </x:c>
      <x:c r="H19" s="470" t="str">
        <x:v>Álgebra lineal, cálculo, métodos numéricos</x:v>
      </x:c>
      <x:c r="I19" s="470" t="str">
        <x:v>Herramientas maduras y evidencia fuera de laboratorio</x:v>
      </x:c>
      <x:c r="J19" s="470" t="str">
        <x:v>Anual</x:v>
      </x:c>
      <x:c r="K19" s="470" t="str">
        <x:v>S52; S54; S58</x:v>
      </x:c>
    </x:row>
    <x:row r="20" ht="60" customHeight="1">
      <x:c r="A20" s="427" t="str">
        <x:v>Programación y teoría CS</x:v>
      </x:c>
      <x:c r="B20" s="427" t="str">
        <x:v>Lenguajes con seguridad de memoria</x:v>
      </x:c>
      <x:c r="C20" s="427" t="str">
        <x:v>Actual</x:v>
      </x:c>
      <x:c r="D20" s="427" t="str">
        <x:v>Presente 2026</x:v>
      </x:c>
      <x:c r="E20" s="427" t="str">
        <x:v>Alta</x:v>
      </x:c>
      <x:c r="F20" s="427" t="str">
        <x:v>Adoptar</x:v>
      </x:c>
      <x:c r="G20" s="427" t="str">
        <x:v>Reducen clases enteras de vulnerabilidades y errores de concurrencia.</x:v>
      </x:c>
      <x:c r="H20" s="427" t="str">
        <x:v>Sistemas, tipos, memoria</x:v>
      </x:c>
      <x:c r="I20" s="427" t="str">
        <x:v>Mandatos de adopción, ecosistema y rendimiento</x:v>
      </x:c>
      <x:c r="J20" s="427" t="str">
        <x:v>Semestral</x:v>
      </x:c>
      <x:c r="K20" s="427" t="str">
        <x:v>S01; S54; S59</x:v>
      </x:c>
    </x:row>
    <x:row r="21" ht="60" customHeight="1">
      <x:c r="A21" s="470" t="str">
        <x:v>Programación y teoría CS</x:v>
      </x:c>
      <x:c r="B21" s="470" t="str">
        <x:v>WebAssembly y componentes portables</x:v>
      </x:c>
      <x:c r="C21" s="470" t="str">
        <x:v>Emergente</x:v>
      </x:c>
      <x:c r="D21" s="470" t="str">
        <x:v>Corto 2027–2029</x:v>
      </x:c>
      <x:c r="E21" s="470" t="str">
        <x:v>Media-alta</x:v>
      </x:c>
      <x:c r="F21" s="470" t="str">
        <x:v>Probar</x:v>
      </x:c>
      <x:c r="G21" s="470" t="str">
        <x:v>Ofrece aislamiento y portabilidad de nube a edge y web.</x:v>
      </x:c>
      <x:c r="H21" s="470" t="str">
        <x:v>Compiladores, runtimes, seguridad</x:v>
      </x:c>
      <x:c r="I21" s="470" t="str">
        <x:v>Estándares W3C, interfaces de sistema y tooling</x:v>
      </x:c>
      <x:c r="J21" s="470" t="str">
        <x:v>Trimestral</x:v>
      </x:c>
      <x:c r="K21" s="470" t="str">
        <x:v>S54; S68</x:v>
      </x:c>
    </x:row>
    <x:row r="22" ht="60" customHeight="1">
      <x:c r="A22" s="427" t="str">
        <x:v>Programación y teoría CS</x:v>
      </x:c>
      <x:c r="B22" s="427" t="str">
        <x:v>Síntesis de programas desde especificaciones</x:v>
      </x:c>
      <x:c r="C22" s="427" t="str">
        <x:v>Experimental</x:v>
      </x:c>
      <x:c r="D22" s="427" t="str">
        <x:v>Mediano 2030–2035</x:v>
      </x:c>
      <x:c r="E22" s="427" t="str">
        <x:v>Media-baja</x:v>
      </x:c>
      <x:c r="F22" s="427" t="str">
        <x:v>Vigilar y prototipar</x:v>
      </x:c>
      <x:c r="G22" s="427" t="str">
        <x:v>Puede transformar la relación entre requisitos, código y prueba.</x:v>
      </x:c>
      <x:c r="H22" s="427" t="str">
        <x:v>Lógica, verificación, ML, lenguajes</x:v>
      </x:c>
      <x:c r="I22" s="427" t="str">
        <x:v>Tasa de corrección en sistemas reales</x:v>
      </x:c>
      <x:c r="J22" s="427" t="str">
        <x:v>Semestral</x:v>
      </x:c>
      <x:c r="K22" s="427" t="str">
        <x:v>S52; S54; S55</x:v>
      </x:c>
    </x:row>
    <x:row r="23" ht="60" customHeight="1">
      <x:c r="A23" s="470" t="str">
        <x:v>Sistemas y arquitectura</x:v>
      </x:c>
      <x:c r="B23" s="470" t="str">
        <x:v>RISC-V y hardware abierto</x:v>
      </x:c>
      <x:c r="C23" s="470" t="str">
        <x:v>Emergente</x:v>
      </x:c>
      <x:c r="D23" s="470" t="str">
        <x:v>Corto 2027–2029</x:v>
      </x:c>
      <x:c r="E23" s="470" t="str">
        <x:v>Alta</x:v>
      </x:c>
      <x:c r="F23" s="470" t="str">
        <x:v>Aprender y prototipar</x:v>
      </x:c>
      <x:c r="G23" s="470" t="str">
        <x:v>Amplía diseño abierto y personalización desde educación hasta centros de datos.</x:v>
      </x:c>
      <x:c r="H23" s="470" t="str">
        <x:v>Arquitectura, HDL, compiladores</x:v>
      </x:c>
      <x:c r="I23" s="470" t="str">
        <x:v>Adopción industrial, extensiones y seguridad</x:v>
      </x:c>
      <x:c r="J23" s="470" t="str">
        <x:v>Semestral</x:v>
      </x:c>
      <x:c r="K23" s="470" t="str">
        <x:v>S26; S54; S58</x:v>
      </x:c>
    </x:row>
    <x:row r="24" ht="60" customHeight="1">
      <x:c r="A24" s="427" t="str">
        <x:v>Sistemas y arquitectura</x:v>
      </x:c>
      <x:c r="B24" s="427" t="str">
        <x:v>Chiplets y empaquetado avanzado</x:v>
      </x:c>
      <x:c r="C24" s="427" t="str">
        <x:v>Actual</x:v>
      </x:c>
      <x:c r="D24" s="427" t="str">
        <x:v>Corto 2027–2029</x:v>
      </x:c>
      <x:c r="E24" s="427" t="str">
        <x:v>Alta</x:v>
      </x:c>
      <x:c r="F24" s="427" t="str">
        <x:v>Estudiar</x:v>
      </x:c>
      <x:c r="G24" s="427" t="str">
        <x:v>Permite integrar bloques heterogéneos cuando el escalado monolítico se encarece.</x:v>
      </x:c>
      <x:c r="H24" s="427" t="str">
        <x:v>Electrónica digital, arquitectura</x:v>
      </x:c>
      <x:c r="I24" s="427" t="str">
        <x:v>Interconexión, rendimiento, yield y estándares</x:v>
      </x:c>
      <x:c r="J24" s="427" t="str">
        <x:v>Anual</x:v>
      </x:c>
      <x:c r="K24" s="427" t="str">
        <x:v>S54; S58</x:v>
      </x:c>
    </x:row>
    <x:row r="25" ht="60" customHeight="1">
      <x:c r="A25" s="470" t="str">
        <x:v>Sistemas y arquitectura</x:v>
      </x:c>
      <x:c r="B25" s="470" t="str">
        <x:v>Fotónica y cómputo neuromórfico</x:v>
      </x:c>
      <x:c r="C25" s="470" t="str">
        <x:v>Experimental</x:v>
      </x:c>
      <x:c r="D25" s="470" t="str">
        <x:v>Largo 2036–2045</x:v>
      </x:c>
      <x:c r="E25" s="470" t="str">
        <x:v>Baja-media</x:v>
      </x:c>
      <x:c r="F25" s="470" t="str">
        <x:v>Vigilar</x:v>
      </x:c>
      <x:c r="G25" s="470" t="str">
        <x:v>Prometen eficiencia en cargas específicas, no un reemplazo universal.</x:v>
      </x:c>
      <x:c r="H25" s="470" t="str">
        <x:v>Física, electrónica, arquitectura, ML</x:v>
      </x:c>
      <x:c r="I25" s="470" t="str">
        <x:v>TRL, fabricación, programmability y ventaja total</x:v>
      </x:c>
      <x:c r="J25" s="470" t="str">
        <x:v>Anual</x:v>
      </x:c>
      <x:c r="K25" s="470" t="str">
        <x:v>S53; S54; S58</x:v>
      </x:c>
    </x:row>
    <x:row r="26" ht="60" customHeight="1">
      <x:c r="A26" s="427" t="str">
        <x:v>Ingeniería de software</x:v>
      </x:c>
      <x:c r="B26" s="427" t="str">
        <x:v>Ingeniería de software asistida por IA</x:v>
      </x:c>
      <x:c r="C26" s="427" t="str">
        <x:v>Actual</x:v>
      </x:c>
      <x:c r="D26" s="427" t="str">
        <x:v>Presente 2026</x:v>
      </x:c>
      <x:c r="E26" s="427" t="str">
        <x:v>Alta</x:v>
      </x:c>
      <x:c r="F26" s="427" t="str">
        <x:v>Adoptar con métricas</x:v>
      </x:c>
      <x:c r="G26" s="427" t="str">
        <x:v>Acelera código y documentación; desplaza el cuello de botella a revisión y diseño.</x:v>
      </x:c>
      <x:c r="H26" s="427" t="str">
        <x:v>Programación, pruebas, arquitectura</x:v>
      </x:c>
      <x:c r="I26" s="427" t="str">
        <x:v>Defectos, mantenibilidad, seguridad y productividad neta</x:v>
      </x:c>
      <x:c r="J26" s="427" t="str">
        <x:v>Mensual</x:v>
      </x:c>
      <x:c r="K26" s="427" t="str">
        <x:v>S52; S54; S55</x:v>
      </x:c>
    </x:row>
    <x:row r="27" ht="60" customHeight="1">
      <x:c r="A27" s="470" t="str">
        <x:v>Ingeniería de software</x:v>
      </x:c>
      <x:c r="B27" s="470" t="str">
        <x:v>Agentes de desarrollo y operación</x:v>
      </x:c>
      <x:c r="C27" s="470" t="str">
        <x:v>Emergente</x:v>
      </x:c>
      <x:c r="D27" s="470" t="str">
        <x:v>Corto 2027–2029</x:v>
      </x:c>
      <x:c r="E27" s="470" t="str">
        <x:v>Media</x:v>
      </x:c>
      <x:c r="F27" s="470" t="str">
        <x:v>Experimentar con límites</x:v>
      </x:c>
      <x:c r="G27" s="470" t="str">
        <x:v>Pueden ejecutar tareas multiarchivo y operativas con mayor autonomía.</x:v>
      </x:c>
      <x:c r="H27" s="470" t="str">
        <x:v>DevOps, observabilidad, seguridad, evaluación</x:v>
      </x:c>
      <x:c r="I27" s="470" t="str">
        <x:v>Tasa de éxito, costo, rollback y auditoría</x:v>
      </x:c>
      <x:c r="J27" s="470" t="str">
        <x:v>Mensual</x:v>
      </x:c>
      <x:c r="K27" s="470" t="str">
        <x:v>S52; S54; S55; S59</x:v>
      </x:c>
    </x:row>
    <x:row r="28" ht="60" customHeight="1">
      <x:c r="A28" s="427" t="str">
        <x:v>Ingeniería de software</x:v>
      </x:c>
      <x:c r="B28" s="427" t="str">
        <x:v>SBOM y seguridad de cadena de suministro</x:v>
      </x:c>
      <x:c r="C28" s="427" t="str">
        <x:v>Actual</x:v>
      </x:c>
      <x:c r="D28" s="427" t="str">
        <x:v>Presente 2026</x:v>
      </x:c>
      <x:c r="E28" s="427" t="str">
        <x:v>Alta</x:v>
      </x:c>
      <x:c r="F28" s="427" t="str">
        <x:v>Adoptar</x:v>
      </x:c>
      <x:c r="G28" s="427" t="str">
        <x:v>La dependencia de componentes exige inventario, procedencia y respuesta rápida.</x:v>
      </x:c>
      <x:c r="H28" s="427" t="str">
        <x:v>DevSecOps, paquetes, firma</x:v>
      </x:c>
      <x:c r="I28" s="427" t="str">
        <x:v>Cobertura de dependencias y tiempos de remediación</x:v>
      </x:c>
      <x:c r="J28" s="427" t="str">
        <x:v>Trimestral</x:v>
      </x:c>
      <x:c r="K28" s="427" t="str">
        <x:v>S59; S65; S66</x:v>
      </x:c>
    </x:row>
    <x:row r="29" ht="60" customHeight="1">
      <x:c r="A29" s="470" t="str">
        <x:v>Datos, BI e IA</x:v>
      </x:c>
      <x:c r="B29" s="470" t="str">
        <x:v>Modelos fundacionales multimodales</x:v>
      </x:c>
      <x:c r="C29" s="470" t="str">
        <x:v>Actual</x:v>
      </x:c>
      <x:c r="D29" s="470" t="str">
        <x:v>Presente 2026</x:v>
      </x:c>
      <x:c r="E29" s="470" t="str">
        <x:v>Alta</x:v>
      </x:c>
      <x:c r="F29" s="470" t="str">
        <x:v>Adoptar selectivamente</x:v>
      </x:c>
      <x:c r="G29" s="470" t="str">
        <x:v>Unifican lenguaje, imagen, audio y código, con riesgos de costo, sesgo y opacidad.</x:v>
      </x:c>
      <x:c r="H29" s="470" t="str">
        <x:v>ML, datos, evaluación, seguridad</x:v>
      </x:c>
      <x:c r="I29" s="470" t="str">
        <x:v>Calidad por tarea, costo, procedencia y fallos</x:v>
      </x:c>
      <x:c r="J29" s="470" t="str">
        <x:v>Mensual</x:v>
      </x:c>
      <x:c r="K29" s="470" t="str">
        <x:v>S38; S52; S54; S55</x:v>
      </x:c>
    </x:row>
    <x:row r="30" ht="60" customHeight="1">
      <x:c r="A30" s="427" t="str">
        <x:v>Datos, BI e IA</x:v>
      </x:c>
      <x:c r="B30" s="427" t="str">
        <x:v>IA agente y sistemas multiagente</x:v>
      </x:c>
      <x:c r="C30" s="427" t="str">
        <x:v>Emergente</x:v>
      </x:c>
      <x:c r="D30" s="427" t="str">
        <x:v>Corto 2027–2029</x:v>
      </x:c>
      <x:c r="E30" s="427" t="str">
        <x:v>Media</x:v>
      </x:c>
      <x:c r="F30" s="427" t="str">
        <x:v>Prototipar en entornos controlados</x:v>
      </x:c>
      <x:c r="G30" s="427" t="str">
        <x:v>Combina modelos con herramientas, memoria y planificación.</x:v>
      </x:c>
      <x:c r="H30" s="427" t="str">
        <x:v>LLM, APIs, seguridad, evaluación</x:v>
      </x:c>
      <x:c r="I30" s="427" t="str">
        <x:v>Confiabilidad de tareas largas y control de permisos</x:v>
      </x:c>
      <x:c r="J30" s="427" t="str">
        <x:v>Mensual</x:v>
      </x:c>
      <x:c r="K30" s="427" t="str">
        <x:v>S52; S54; S55</x:v>
      </x:c>
    </x:row>
    <x:row r="31" ht="60" customHeight="1">
      <x:c r="A31" s="470" t="str">
        <x:v>Datos, BI e IA</x:v>
      </x:c>
      <x:c r="B31" s="470" t="str">
        <x:v>Aprendizaje federado y privacidad preservada</x:v>
      </x:c>
      <x:c r="C31" s="470" t="str">
        <x:v>Emergente</x:v>
      </x:c>
      <x:c r="D31" s="470" t="str">
        <x:v>Mediano 2030–2035</x:v>
      </x:c>
      <x:c r="E31" s="470" t="str">
        <x:v>Media-alta</x:v>
      </x:c>
      <x:c r="F31" s="470" t="str">
        <x:v>Explorar</x:v>
      </x:c>
      <x:c r="G31" s="470" t="str">
        <x:v>Permite colaborar sin centralizar todos los datos sensibles.</x:v>
      </x:c>
      <x:c r="H31" s="470" t="str">
        <x:v>ML, criptografía, sistemas distribuidos</x:v>
      </x:c>
      <x:c r="I31" s="470" t="str">
        <x:v>Coste, privacidad demostrable y adopción regulada</x:v>
      </x:c>
      <x:c r="J31" s="470" t="str">
        <x:v>Semestral</x:v>
      </x:c>
      <x:c r="K31" s="470" t="str">
        <x:v>S40; S52; S54; S71</x:v>
      </x:c>
    </x:row>
    <x:row r="32" ht="60" customHeight="1">
      <x:c r="A32" s="427" t="str">
        <x:v>Datos, BI e IA</x:v>
      </x:c>
      <x:c r="B32" s="427" t="str">
        <x:v>IA causal y decisión robusta</x:v>
      </x:c>
      <x:c r="C32" s="427" t="str">
        <x:v>Emergente</x:v>
      </x:c>
      <x:c r="D32" s="427" t="str">
        <x:v>Mediano 2030–2035</x:v>
      </x:c>
      <x:c r="E32" s="427" t="str">
        <x:v>Media</x:v>
      </x:c>
      <x:c r="F32" s="427" t="str">
        <x:v>Estudiar y experimentar</x:v>
      </x:c>
      <x:c r="G32" s="427" t="str">
        <x:v>Ayuda a separar correlación de intervención y a transferir mejor entre contextos.</x:v>
      </x:c>
      <x:c r="H32" s="427" t="str">
        <x:v>Probabilidad, estadística, experimentación</x:v>
      </x:c>
      <x:c r="I32" s="427" t="str">
        <x:v>Resultados reproducidos en dominios reales</x:v>
      </x:c>
      <x:c r="J32" s="427" t="str">
        <x:v>Semestral</x:v>
      </x:c>
      <x:c r="K32" s="427" t="str">
        <x:v>S07; S52; S54</x:v>
      </x:c>
    </x:row>
    <x:row r="33" ht="60" customHeight="1">
      <x:c r="A33" s="470" t="str">
        <x:v>Redes, telecom y cloud</x:v>
      </x:c>
      <x:c r="B33" s="470" t="str">
        <x:v>5G-Advanced y edge distribuido</x:v>
      </x:c>
      <x:c r="C33" s="470" t="str">
        <x:v>Actual</x:v>
      </x:c>
      <x:c r="D33" s="470" t="str">
        <x:v>Corto 2027–2029</x:v>
      </x:c>
      <x:c r="E33" s="470" t="str">
        <x:v>Alta</x:v>
      </x:c>
      <x:c r="F33" s="470" t="str">
        <x:v>Adoptar según caso</x:v>
      </x:c>
      <x:c r="G33" s="470" t="str">
        <x:v>Acerca cómputo a sensores, industria y aplicaciones de baja latencia.</x:v>
      </x:c>
      <x:c r="H33" s="470" t="str">
        <x:v>Redes móviles, cloud, contenedores</x:v>
      </x:c>
      <x:c r="I33" s="470" t="str">
        <x:v>Cobertura, costo, latencia y consumo</x:v>
      </x:c>
      <x:c r="J33" s="470" t="str">
        <x:v>Trimestral</x:v>
      </x:c>
      <x:c r="K33" s="470" t="str">
        <x:v>S27; S28; S29; S57</x:v>
      </x:c>
    </x:row>
    <x:row r="34" ht="60" customHeight="1">
      <x:c r="A34" s="427" t="str">
        <x:v>Redes, telecom y cloud</x:v>
      </x:c>
      <x:c r="B34" s="427" t="str">
        <x:v>IMT-2030 / 6G</x:v>
      </x:c>
      <x:c r="C34" s="427" t="str">
        <x:v>Emergente</x:v>
      </x:c>
      <x:c r="D34" s="427" t="str">
        <x:v>Mediano 2030–2035</x:v>
      </x:c>
      <x:c r="E34" s="427" t="str">
        <x:v>Media-alta</x:v>
      </x:c>
      <x:c r="F34" s="427" t="str">
        <x:v>Vigilar estándares y estudiar</x:v>
      </x:c>
      <x:c r="G34" s="427" t="str">
        <x:v>ITU ya tiene marco y proceso; los requisitos y propuestas maduran hacia 2030.</x:v>
      </x:c>
      <x:c r="H34" s="427" t="str">
        <x:v>Radio, redes, señales, edge</x:v>
      </x:c>
      <x:c r="I34" s="427" t="str">
        <x:v>Recomendaciones ITU, espectro y pilotos</x:v>
      </x:c>
      <x:c r="J34" s="427" t="str">
        <x:v>Trimestral</x:v>
      </x:c>
      <x:c r="K34" s="427" t="str">
        <x:v>S57</x:v>
      </x:c>
    </x:row>
    <x:row r="35" ht="60" customHeight="1">
      <x:c r="A35" s="470" t="str">
        <x:v>Redes, telecom y cloud</x:v>
      </x:c>
      <x:c r="B35" s="470" t="str">
        <x:v>Redes no terrestres y conectividad ubicua</x:v>
      </x:c>
      <x:c r="C35" s="470" t="str">
        <x:v>Emergente</x:v>
      </x:c>
      <x:c r="D35" s="470" t="str">
        <x:v>Corto 2027–2029</x:v>
      </x:c>
      <x:c r="E35" s="470" t="str">
        <x:v>Media-alta</x:v>
      </x:c>
      <x:c r="F35" s="470" t="str">
        <x:v>Explorar</x:v>
      </x:c>
      <x:c r="G35" s="470" t="str">
        <x:v>Integra satélites y redes terrestres para cobertura y resiliencia.</x:v>
      </x:c>
      <x:c r="H35" s="470" t="str">
        <x:v>RF, routing, seguridad, sistemas</x:v>
      </x:c>
      <x:c r="I35" s="470" t="str">
        <x:v>Interoperabilidad, costos y latencia</x:v>
      </x:c>
      <x:c r="J35" s="470" t="str">
        <x:v>Semestral</x:v>
      </x:c>
      <x:c r="K35" s="470" t="str">
        <x:v>S54; S57; S58</x:v>
      </x:c>
    </x:row>
    <x:row r="36" ht="60" customHeight="1">
      <x:c r="A36" s="427" t="str">
        <x:v>Ciberseguridad, forense y auditoría</x:v>
      </x:c>
      <x:c r="B36" s="427" t="str">
        <x:v>Migración a criptografía poscuántica</x:v>
      </x:c>
      <x:c r="C36" s="427" t="str">
        <x:v>Actual</x:v>
      </x:c>
      <x:c r="D36" s="427" t="str">
        <x:v>Corto 2027–2029</x:v>
      </x:c>
      <x:c r="E36" s="427" t="str">
        <x:v>Alta</x:v>
      </x:c>
      <x:c r="F36" s="427" t="str">
        <x:v>Adoptar plan de transición</x:v>
      </x:c>
      <x:c r="G36" s="427" t="str">
        <x:v>Los estándares FIPS ya existen; el reto es inventario, compatibilidad y migración.</x:v>
      </x:c>
      <x:c r="H36" s="427" t="str">
        <x:v>Criptografía, PKI, arquitectura</x:v>
      </x:c>
      <x:c r="I36" s="427" t="str">
        <x:v>Soporte de proveedores y retiro de algoritmos vulnerables</x:v>
      </x:c>
      <x:c r="J36" s="427" t="str">
        <x:v>Trimestral</x:v>
      </x:c>
      <x:c r="K36" s="427" t="str">
        <x:v>S56; S59</x:v>
      </x:c>
    </x:row>
    <x:row r="37" ht="60" customHeight="1">
      <x:c r="A37" s="470" t="str">
        <x:v>Ciberseguridad, forense y auditoría</x:v>
      </x:c>
      <x:c r="B37" s="470" t="str">
        <x:v>Seguridad y evaluación de sistemas de IA</x:v>
      </x:c>
      <x:c r="C37" s="470" t="str">
        <x:v>Emergente</x:v>
      </x:c>
      <x:c r="D37" s="470" t="str">
        <x:v>Corto 2027–2029</x:v>
      </x:c>
      <x:c r="E37" s="470" t="str">
        <x:v>Alta</x:v>
      </x:c>
      <x:c r="F37" s="470" t="str">
        <x:v>Adoptar en proyectos de IA</x:v>
      </x:c>
      <x:c r="G37" s="470" t="str">
        <x:v>Amplía amenaza a datos, modelos, agentes, herramientas y contenido.</x:v>
      </x:c>
      <x:c r="H37" s="470" t="str">
        <x:v>ML, threat modeling, seguridad de apps</x:v>
      </x:c>
      <x:c r="I37" s="470" t="str">
        <x:v>Incidentes, taxonomías y controles reproducibles</x:v>
      </x:c>
      <x:c r="J37" s="470" t="str">
        <x:v>Mensual</x:v>
      </x:c>
      <x:c r="K37" s="470" t="str">
        <x:v>S55; S59; S65; S66</x:v>
      </x:c>
    </x:row>
    <x:row r="38" ht="60" customHeight="1">
      <x:c r="A38" s="427" t="str">
        <x:v>Ciberseguridad, forense y auditoría</x:v>
      </x:c>
      <x:c r="B38" s="427" t="str">
        <x:v>Confidential computing y aislamiento verificable</x:v>
      </x:c>
      <x:c r="C38" s="427" t="str">
        <x:v>Emergente</x:v>
      </x:c>
      <x:c r="D38" s="427" t="str">
        <x:v>Mediano 2030–2035</x:v>
      </x:c>
      <x:c r="E38" s="427" t="str">
        <x:v>Media</x:v>
      </x:c>
      <x:c r="F38" s="427" t="str">
        <x:v>Probar</x:v>
      </x:c>
      <x:c r="G38" s="427" t="str">
        <x:v>Protege datos en uso y habilita colaboración con menor confianza.</x:v>
      </x:c>
      <x:c r="H38" s="427" t="str">
        <x:v>Arquitectura, criptografía, cloud</x:v>
      </x:c>
      <x:c r="I38" s="427" t="str">
        <x:v>Atestación interoperable, rendimiento y adopción</x:v>
      </x:c>
      <x:c r="J38" s="427" t="str">
        <x:v>Semestral</x:v>
      </x:c>
      <x:c r="K38" s="427" t="str">
        <x:v>S28; S29; S54; S59</x:v>
      </x:c>
    </x:row>
    <x:row r="39" ht="60" customHeight="1">
      <x:c r="A39" s="470" t="str">
        <x:v>Ciberseguridad, forense y auditoría</x:v>
      </x:c>
      <x:c r="B39" s="470" t="str">
        <x:v>Defensa priorizada por explotación activa</x:v>
      </x:c>
      <x:c r="C39" s="470" t="str">
        <x:v>Actual</x:v>
      </x:c>
      <x:c r="D39" s="470" t="str">
        <x:v>Presente 2026</x:v>
      </x:c>
      <x:c r="E39" s="470" t="str">
        <x:v>Alta</x:v>
      </x:c>
      <x:c r="F39" s="470" t="str">
        <x:v>Adoptar</x:v>
      </x:c>
      <x:c r="G39" s="470" t="str">
        <x:v>KEV y NVD permiten priorizar amenazas observadas sobre listas abstractas.</x:v>
      </x:c>
      <x:c r="H39" s="470" t="str">
        <x:v>Gestión de vulnerabilidades, activos</x:v>
      </x:c>
      <x:c r="I39" s="470" t="str">
        <x:v>Tiempo de remediación y cobertura de activos</x:v>
      </x:c>
      <x:c r="J39" s="470" t="str">
        <x:v>Diaria</x:v>
      </x:c>
      <x:c r="K39" s="470" t="str">
        <x:v>S65; S66; S70</x:v>
      </x:c>
    </x:row>
    <x:row r="40" ht="60" customHeight="1">
      <x:c r="A40" s="427" t="str">
        <x:v>Electrónica, embebidos e IoT</x:v>
      </x:c>
      <x:c r="B40" s="427" t="str">
        <x:v>TinyML y edge AI</x:v>
      </x:c>
      <x:c r="C40" s="427" t="str">
        <x:v>Emergente</x:v>
      </x:c>
      <x:c r="D40" s="427" t="str">
        <x:v>Corto 2027–2029</x:v>
      </x:c>
      <x:c r="E40" s="427" t="str">
        <x:v>Alta</x:v>
      </x:c>
      <x:c r="F40" s="427" t="str">
        <x:v>Prototipar</x:v>
      </x:c>
      <x:c r="G40" s="427" t="str">
        <x:v>Lleva inferencia a dispositivos con restricciones de energía y conectividad.</x:v>
      </x:c>
      <x:c r="H40" s="427" t="str">
        <x:v>Embebidos, ML, señales</x:v>
      </x:c>
      <x:c r="I40" s="427" t="str">
        <x:v>Consumo, precisión, memoria y actualización segura</x:v>
      </x:c>
      <x:c r="J40" s="427" t="str">
        <x:v>Trimestral</x:v>
      </x:c>
      <x:c r="K40" s="427" t="str">
        <x:v>S26; S54; S58</x:v>
      </x:c>
    </x:row>
    <x:row r="41" ht="60" customHeight="1">
      <x:c r="A41" s="470" t="str">
        <x:v>Electrónica, embebidos e IoT</x:v>
      </x:c>
      <x:c r="B41" s="470" t="str">
        <x:v>Gemelos digitales industriales</x:v>
      </x:c>
      <x:c r="C41" s="470" t="str">
        <x:v>Emergente</x:v>
      </x:c>
      <x:c r="D41" s="470" t="str">
        <x:v>Corto 2027–2029</x:v>
      </x:c>
      <x:c r="E41" s="470" t="str">
        <x:v>Alta</x:v>
      </x:c>
      <x:c r="F41" s="470" t="str">
        <x:v>Adoptar en casos medibles</x:v>
      </x:c>
      <x:c r="G41" s="470" t="str">
        <x:v>Sincronizan modelos y sistemas físicos para diagnosticar y optimizar.</x:v>
      </x:c>
      <x:c r="H41" s="470" t="str">
        <x:v>IoT, modelado, datos, control</x:v>
      </x:c>
      <x:c r="I41" s="470" t="str">
        <x:v>Interoperabilidad, retorno, seguridad y fidelidad</x:v>
      </x:c>
      <x:c r="J41" s="470" t="str">
        <x:v>Semestral</x:v>
      </x:c>
      <x:c r="K41" s="470" t="str">
        <x:v>S60</x:v>
      </x:c>
    </x:row>
    <x:row r="42" ht="60" customHeight="1">
      <x:c r="A42" s="427" t="str">
        <x:v>Electrónica, embebidos e IoT</x:v>
      </x:c>
      <x:c r="B42" s="427" t="str">
        <x:v>Electrónica flexible y nuevos materiales</x:v>
      </x:c>
      <x:c r="C42" s="427" t="str">
        <x:v>Experimental</x:v>
      </x:c>
      <x:c r="D42" s="427" t="str">
        <x:v>Largo 2036–2045</x:v>
      </x:c>
      <x:c r="E42" s="427" t="str">
        <x:v>Baja-media</x:v>
      </x:c>
      <x:c r="F42" s="427" t="str">
        <x:v>Vigilar TRL</x:v>
      </x:c>
      <x:c r="G42" s="427" t="str">
        <x:v>Puede habilitar sensores y dispositivos integrados en objetos y cuerpos.</x:v>
      </x:c>
      <x:c r="H42" s="427" t="str">
        <x:v>Materiales, electrónica, fabricación</x:v>
      </x:c>
      <x:c r="I42" s="427" t="str">
        <x:v>Durabilidad, fabricación masiva y seguridad</x:v>
      </x:c>
      <x:c r="J42" s="427" t="str">
        <x:v>Anual</x:v>
      </x:c>
      <x:c r="K42" s="427" t="str">
        <x:v>S53; S54; S58</x:v>
      </x:c>
    </x:row>
    <x:row r="43" ht="60" customHeight="1">
      <x:c r="A43" s="470" t="str">
        <x:v>Robótica y mecatrónica</x:v>
      </x:c>
      <x:c r="B43" s="470" t="str">
        <x:v>IA corporeizada / embodied AI</x:v>
      </x:c>
      <x:c r="C43" s="470" t="str">
        <x:v>Emergente</x:v>
      </x:c>
      <x:c r="D43" s="470" t="str">
        <x:v>Corto 2027–2029</x:v>
      </x:c>
      <x:c r="E43" s="470" t="str">
        <x:v>Media-alta</x:v>
      </x:c>
      <x:c r="F43" s="470" t="str">
        <x:v>Experimentar con seguridad</x:v>
      </x:c>
      <x:c r="G43" s="470" t="str">
        <x:v>Conecta modelos multimodales con percepción, acción y aprendizaje físico.</x:v>
      </x:c>
      <x:c r="H43" s="470" t="str">
        <x:v>Robótica, visión, control, ML</x:v>
      </x:c>
      <x:c r="I43" s="470" t="str">
        <x:v>Generalización, seguridad y datos de interacción</x:v>
      </x:c>
      <x:c r="J43" s="470" t="str">
        <x:v>Trimestral</x:v>
      </x:c>
      <x:c r="K43" s="470" t="str">
        <x:v>S24; S54; S58</x:v>
      </x:c>
    </x:row>
    <x:row r="44" ht="60" customHeight="1">
      <x:c r="A44" s="427" t="str">
        <x:v>Robótica y mecatrónica</x:v>
      </x:c>
      <x:c r="B44" s="427" t="str">
        <x:v>Robots colaborativos y generalistas</x:v>
      </x:c>
      <x:c r="C44" s="427" t="str">
        <x:v>Emergente</x:v>
      </x:c>
      <x:c r="D44" s="427" t="str">
        <x:v>Mediano 2030–2035</x:v>
      </x:c>
      <x:c r="E44" s="427" t="str">
        <x:v>Media</x:v>
      </x:c>
      <x:c r="F44" s="427" t="str">
        <x:v>Prototipar en tareas acotadas</x:v>
      </x:c>
      <x:c r="G44" s="427" t="str">
        <x:v>Buscan adaptarse a múltiples tareas junto a personas.</x:v>
      </x:c>
      <x:c r="H44" s="427" t="str">
        <x:v>Manipulación, control, HRI, seguridad</x:v>
      </x:c>
      <x:c r="I44" s="427" t="str">
        <x:v>Costo por tarea, accidentes y tiempo de reconfiguración</x:v>
      </x:c>
      <x:c r="J44" s="427" t="str">
        <x:v>Semestral</x:v>
      </x:c>
      <x:c r="K44" s="427" t="str">
        <x:v>S24; S25; S54</x:v>
      </x:c>
    </x:row>
    <x:row r="45" ht="60" customHeight="1">
      <x:c r="A45" s="470" t="str">
        <x:v>Robótica y mecatrónica</x:v>
      </x:c>
      <x:c r="B45" s="470" t="str">
        <x:v>Robótica blanda y enjambres</x:v>
      </x:c>
      <x:c r="C45" s="470" t="str">
        <x:v>Experimental</x:v>
      </x:c>
      <x:c r="D45" s="470" t="str">
        <x:v>Largo 2036–2045</x:v>
      </x:c>
      <x:c r="E45" s="470" t="str">
        <x:v>Baja-media</x:v>
      </x:c>
      <x:c r="F45" s="470" t="str">
        <x:v>Vigilar</x:v>
      </x:c>
      <x:c r="G45" s="470" t="str">
        <x:v>Ofrece adaptación física y coordinación distribuida en nichos.</x:v>
      </x:c>
      <x:c r="H45" s="470" t="str">
        <x:v>Materiales, control, multiagente</x:v>
      </x:c>
      <x:c r="I45" s="470" t="str">
        <x:v>TRL, durabilidad y casos de ventaja clara</x:v>
      </x:c>
      <x:c r="J45" s="470" t="str">
        <x:v>Anual</x:v>
      </x:c>
      <x:c r="K45" s="470" t="str">
        <x:v>S53; S54</x:v>
      </x:c>
    </x:row>
    <x:row r="46" ht="60" customHeight="1">
      <x:c r="A46" s="427" t="str">
        <x:v>Soporte y reparación</x:v>
      </x:c>
      <x:c r="B46" s="427" t="str">
        <x:v>Diagnóstico asistido por IA</x:v>
      </x:c>
      <x:c r="C46" s="427" t="str">
        <x:v>Emergente</x:v>
      </x:c>
      <x:c r="D46" s="427" t="str">
        <x:v>Corto 2027–2029</x:v>
      </x:c>
      <x:c r="E46" s="427" t="str">
        <x:v>Media-alta</x:v>
      </x:c>
      <x:c r="F46" s="427" t="str">
        <x:v>Adoptar con medición</x:v>
      </x:c>
      <x:c r="G46" s="427" t="str">
        <x:v>Puede correlacionar síntomas, telemetría y manuales sin reemplazar pruebas físicas.</x:v>
      </x:c>
      <x:c r="H46" s="427" t="str">
        <x:v>Electrónica, sistemas, documentación</x:v>
      </x:c>
      <x:c r="I46" s="427" t="str">
        <x:v>Precisión, falsos positivos y trazabilidad</x:v>
      </x:c>
      <x:c r="J46" s="427" t="str">
        <x:v>Trimestral</x:v>
      </x:c>
      <x:c r="K46" s="427" t="str">
        <x:v>S47; S48; S55</x:v>
      </x:c>
    </x:row>
    <x:row r="47" ht="60" customHeight="1">
      <x:c r="A47" s="470" t="str">
        <x:v>Soporte y reparación</x:v>
      </x:c>
      <x:c r="B47" s="470" t="str">
        <x:v>Diseño modular y derecho a reparar</x:v>
      </x:c>
      <x:c r="C47" s="470" t="str">
        <x:v>Actual</x:v>
      </x:c>
      <x:c r="D47" s="470" t="str">
        <x:v>Corto 2027–2029</x:v>
      </x:c>
      <x:c r="E47" s="470" t="str">
        <x:v>Media-alta</x:v>
      </x:c>
      <x:c r="F47" s="470" t="str">
        <x:v>Seguir normativa y practicar</x:v>
      </x:c>
      <x:c r="G47" s="470" t="str">
        <x:v>Afecta acceso a piezas, manuales, herramientas y vida útil.</x:v>
      </x:c>
      <x:c r="H47" s="470" t="str">
        <x:v>Reparación, seguridad, derecho</x:v>
      </x:c>
      <x:c r="I47" s="470" t="str">
        <x:v>Leyes, disponibilidad de piezas y diseño de producto</x:v>
      </x:c>
      <x:c r="J47" s="470" t="str">
        <x:v>Semestral</x:v>
      </x:c>
      <x:c r="K47" s="470" t="str">
        <x:v>S47; S71; S72</x:v>
      </x:c>
    </x:row>
    <x:row r="48" ht="60" customHeight="1">
      <x:c r="A48" s="427" t="str">
        <x:v>Soporte y reparación</x:v>
      </x:c>
      <x:c r="B48" s="427" t="str">
        <x:v>Circularidad y gestión avanzada de baterías</x:v>
      </x:c>
      <x:c r="C48" s="427" t="str">
        <x:v>Actual</x:v>
      </x:c>
      <x:c r="D48" s="427" t="str">
        <x:v>Presente 2026</x:v>
      </x:c>
      <x:c r="E48" s="427" t="str">
        <x:v>Alta</x:v>
      </x:c>
      <x:c r="F48" s="427" t="str">
        <x:v>Adoptar</x:v>
      </x:c>
      <x:c r="G48" s="427" t="str">
        <x:v>Baterías y residuos condicionan seguridad, costo y sostenibilidad.</x:v>
      </x:c>
      <x:c r="H48" s="427" t="str">
        <x:v>Química básica, electrónica de potencia, seguridad</x:v>
      </x:c>
      <x:c r="I48" s="427" t="str">
        <x:v>Trazabilidad, diagnóstico de salud y reciclaje</x:v>
      </x:c>
      <x:c r="J48" s="427" t="str">
        <x:v>Semestral</x:v>
      </x:c>
      <x:c r="K48" s="427" t="str">
        <x:v>S47; S48; S52</x:v>
      </x:c>
    </x:row>
    <x:row r="49" ht="60" customHeight="1">
      <x:c r="A49" s="470" t="str">
        <x:v>Gráficos, juegos y XR</x:v>
      </x:c>
      <x:c r="B49" s="470" t="str">
        <x:v>Render neural y reconstrucción 3D</x:v>
      </x:c>
      <x:c r="C49" s="470" t="str">
        <x:v>Emergente</x:v>
      </x:c>
      <x:c r="D49" s="470" t="str">
        <x:v>Corto 2027–2029</x:v>
      </x:c>
      <x:c r="E49" s="470" t="str">
        <x:v>Media-alta</x:v>
      </x:c>
      <x:c r="F49" s="470" t="str">
        <x:v>Experimentar</x:v>
      </x:c>
      <x:c r="G49" s="470" t="str">
        <x:v>Reduce barreras de captura y síntesis de escenas realistas.</x:v>
      </x:c>
      <x:c r="H49" s="470" t="str">
        <x:v>Gráficos, visión, ML, GPU</x:v>
      </x:c>
      <x:c r="I49" s="470" t="str">
        <x:v>Consistencia, edición, tiempo real y derechos</x:v>
      </x:c>
      <x:c r="J49" s="470" t="str">
        <x:v>Trimestral</x:v>
      </x:c>
      <x:c r="K49" s="470" t="str">
        <x:v>S44; S45; S54</x:v>
      </x:c>
    </x:row>
    <x:row r="50" ht="60" customHeight="1">
      <x:c r="A50" s="427" t="str">
        <x:v>Gráficos, juegos y XR</x:v>
      </x:c>
      <x:c r="B50" s="427" t="str">
        <x:v>Computación espacial</x:v>
      </x:c>
      <x:c r="C50" s="427" t="str">
        <x:v>Emergente</x:v>
      </x:c>
      <x:c r="D50" s="427" t="str">
        <x:v>Corto 2027–2029</x:v>
      </x:c>
      <x:c r="E50" s="427" t="str">
        <x:v>Media</x:v>
      </x:c>
      <x:c r="F50" s="427" t="str">
        <x:v>Prototipar según utilidad</x:v>
      </x:c>
      <x:c r="G50" s="427" t="str">
        <x:v>Integra percepción, mapas, interfaces y contenido en el espacio físico.</x:v>
      </x:c>
      <x:c r="H50" s="427" t="str">
        <x:v>XR, HCI, visión, redes</x:v>
      </x:c>
      <x:c r="I50" s="427" t="str">
        <x:v>Comodidad, costo, aplicaciones repetidas y privacidad</x:v>
      </x:c>
      <x:c r="J50" s="427" t="str">
        <x:v>Trimestral</x:v>
      </x:c>
      <x:c r="K50" s="427" t="str">
        <x:v>S18; S22; S54</x:v>
      </x:c>
    </x:row>
    <x:row r="51" ht="60" customHeight="1">
      <x:c r="A51" s="470" t="str">
        <x:v>Gráficos, juegos y XR</x:v>
      </x:c>
      <x:c r="B51" s="470" t="str">
        <x:v>Háptica y telepresencia avanzada</x:v>
      </x:c>
      <x:c r="C51" s="470" t="str">
        <x:v>Experimental</x:v>
      </x:c>
      <x:c r="D51" s="470" t="str">
        <x:v>Largo 2036–2045</x:v>
      </x:c>
      <x:c r="E51" s="470" t="str">
        <x:v>Baja-media</x:v>
      </x:c>
      <x:c r="F51" s="470" t="str">
        <x:v>Vigilar</x:v>
      </x:c>
      <x:c r="G51" s="470" t="str">
        <x:v>Puede ampliar entrenamiento, colaboración y operación remota.</x:v>
      </x:c>
      <x:c r="H51" s="470" t="str">
        <x:v>Control, redes, percepción, seguridad</x:v>
      </x:c>
      <x:c r="I51" s="470" t="str">
        <x:v>Latencia, fidelidad, ergonomía y estándares</x:v>
      </x:c>
      <x:c r="J51" s="470" t="str">
        <x:v>Anual</x:v>
      </x:c>
      <x:c r="K51" s="470" t="str">
        <x:v>S54; S57</x:v>
      </x:c>
    </x:row>
    <x:row r="52" ht="60" customHeight="1">
      <x:c r="A52" s="427" t="str">
        <x:v>Diseño, foto, cine y multimedia</x:v>
      </x:c>
      <x:c r="B52" s="427" t="str">
        <x:v>Medios generativos con procedencia</x:v>
      </x:c>
      <x:c r="C52" s="427" t="str">
        <x:v>Actual</x:v>
      </x:c>
      <x:c r="D52" s="427" t="str">
        <x:v>Corto 2027–2029</x:v>
      </x:c>
      <x:c r="E52" s="427" t="str">
        <x:v>Alta</x:v>
      </x:c>
      <x:c r="F52" s="427" t="str">
        <x:v>Adoptar con política</x:v>
      </x:c>
      <x:c r="G52" s="427" t="str">
        <x:v>Escala creación, pero exige trazabilidad, derechos y dirección humana.</x:v>
      </x:c>
      <x:c r="H52" s="427" t="str">
        <x:v>Diseño, narrativa, edición, ética</x:v>
      </x:c>
      <x:c r="I52" s="427" t="str">
        <x:v>Estándares de autenticidad y disputas de derechos</x:v>
      </x:c>
      <x:c r="J52" s="427" t="str">
        <x:v>Trimestral</x:v>
      </x:c>
      <x:c r="K52" s="427" t="str">
        <x:v>S43; S44; S45; S55</x:v>
      </x:c>
    </x:row>
    <x:row r="53" ht="60" customHeight="1">
      <x:c r="A53" s="470" t="str">
        <x:v>Diseño, foto, cine y multimedia</x:v>
      </x:c>
      <x:c r="B53" s="470" t="str">
        <x:v>Producción virtual en tiempo real</x:v>
      </x:c>
      <x:c r="C53" s="470" t="str">
        <x:v>Actual</x:v>
      </x:c>
      <x:c r="D53" s="470" t="str">
        <x:v>Presente 2026</x:v>
      </x:c>
      <x:c r="E53" s="470" t="str">
        <x:v>Alta</x:v>
      </x:c>
      <x:c r="F53" s="470" t="str">
        <x:v>Adoptar</x:v>
      </x:c>
      <x:c r="G53" s="470" t="str">
        <x:v>Converge motores 3D, cámaras, iluminación y composición.</x:v>
      </x:c>
      <x:c r="H53" s="470" t="str">
        <x:v>Cine, gráficos, color, tracking</x:v>
      </x:c>
      <x:c r="I53" s="470" t="str">
        <x:v>Costos, interoperabilidad y calidad final</x:v>
      </x:c>
      <x:c r="J53" s="470" t="str">
        <x:v>Semestral</x:v>
      </x:c>
      <x:c r="K53" s="470" t="str">
        <x:v>S44; S54</x:v>
      </x:c>
    </x:row>
    <x:row r="54" ht="60" customHeight="1">
      <x:c r="A54" s="427" t="str">
        <x:v>Diseño, foto, cine y multimedia</x:v>
      </x:c>
      <x:c r="B54" s="427" t="str">
        <x:v>Captura volumétrica e inmersiva</x:v>
      </x:c>
      <x:c r="C54" s="427" t="str">
        <x:v>Emergente</x:v>
      </x:c>
      <x:c r="D54" s="427" t="str">
        <x:v>Mediano 2030–2035</x:v>
      </x:c>
      <x:c r="E54" s="427" t="str">
        <x:v>Media</x:v>
      </x:c>
      <x:c r="F54" s="427" t="str">
        <x:v>Explorar</x:v>
      </x:c>
      <x:c r="G54" s="427" t="str">
        <x:v>Puede crear experiencias navegables y activos 3D de personas/espacios.</x:v>
      </x:c>
      <x:c r="H54" s="427" t="str">
        <x:v>Fotografía, visión, 3D, audio</x:v>
      </x:c>
      <x:c r="I54" s="427" t="str">
        <x:v>Compresión, edición, dispositivos y consentimiento</x:v>
      </x:c>
      <x:c r="J54" s="427" t="str">
        <x:v>Semestral</x:v>
      </x:c>
      <x:c r="K54" s="427" t="str">
        <x:v>S44; S45; S54</x:v>
      </x:c>
    </x:row>
    <x:row r="55" ht="60" customHeight="1">
      <x:c r="A55" s="470" t="str">
        <x:v>Sistemas de información y gestión TI</x:v>
      </x:c>
      <x:c r="B55" s="470" t="str">
        <x:v>AIOps y operaciones autónomas</x:v>
      </x:c>
      <x:c r="C55" s="470" t="str">
        <x:v>Emergente</x:v>
      </x:c>
      <x:c r="D55" s="470" t="str">
        <x:v>Corto 2027–2029</x:v>
      </x:c>
      <x:c r="E55" s="470" t="str">
        <x:v>Media-alta</x:v>
      </x:c>
      <x:c r="F55" s="470" t="str">
        <x:v>Adoptar gradualmente</x:v>
      </x:c>
      <x:c r="G55" s="470" t="str">
        <x:v>Automatiza correlación, diagnóstico y acciones repetitivas en TI.</x:v>
      </x:c>
      <x:c r="H55" s="470" t="str">
        <x:v>Observabilidad, ITSM, ML, SRE</x:v>
      </x:c>
      <x:c r="I55" s="470" t="str">
        <x:v>MTTR, falsos positivos y rollback</x:v>
      </x:c>
      <x:c r="J55" s="470" t="str">
        <x:v>Trimestral</x:v>
      </x:c>
      <x:c r="K55" s="470" t="str">
        <x:v>S29; S31; S55; S59</x:v>
      </x:c>
    </x:row>
    <x:row r="56" ht="60" customHeight="1">
      <x:c r="A56" s="427" t="str">
        <x:v>Sistemas de información y gestión TI</x:v>
      </x:c>
      <x:c r="B56" s="427" t="str">
        <x:v>FinOps y GreenOps</x:v>
      </x:c>
      <x:c r="C56" s="427" t="str">
        <x:v>Actual</x:v>
      </x:c>
      <x:c r="D56" s="427" t="str">
        <x:v>Presente 2026</x:v>
      </x:c>
      <x:c r="E56" s="427" t="str">
        <x:v>Alta</x:v>
      </x:c>
      <x:c r="F56" s="427" t="str">
        <x:v>Adoptar</x:v>
      </x:c>
      <x:c r="G56" s="427" t="str">
        <x:v>Vincula arquitectura con costo, uso y energía.</x:v>
      </x:c>
      <x:c r="H56" s="427" t="str">
        <x:v>Cloud, contabilidad, observabilidad</x:v>
      </x:c>
      <x:c r="I56" s="427" t="str">
        <x:v>Costo unitario, utilización y huella energética</x:v>
      </x:c>
      <x:c r="J56" s="427" t="str">
        <x:v>Mensual</x:v>
      </x:c>
      <x:c r="K56" s="427" t="str">
        <x:v>S28; S29; S52; S58</x:v>
      </x:c>
    </x:row>
    <x:row r="57" ht="60" customHeight="1">
      <x:c r="A57" s="470" t="str">
        <x:v>Sistemas de información y gestión TI</x:v>
      </x:c>
      <x:c r="B57" s="470" t="str">
        <x:v>Process mining y gemelos organizacionales</x:v>
      </x:c>
      <x:c r="C57" s="470" t="str">
        <x:v>Emergente</x:v>
      </x:c>
      <x:c r="D57" s="470" t="str">
        <x:v>Mediano 2030–2035</x:v>
      </x:c>
      <x:c r="E57" s="470" t="str">
        <x:v>Media</x:v>
      </x:c>
      <x:c r="F57" s="470" t="str">
        <x:v>Probar con datos de calidad</x:v>
      </x:c>
      <x:c r="G57" s="470" t="str">
        <x:v>Permite observar procesos reales y simular cambios.</x:v>
      </x:c>
      <x:c r="H57" s="470" t="str">
        <x:v>Procesos, datos, BI, privacidad</x:v>
      </x:c>
      <x:c r="I57" s="470" t="str">
        <x:v>Confiabilidad del modelo y mejoras verificadas</x:v>
      </x:c>
      <x:c r="J57" s="470" t="str">
        <x:v>Semestral</x:v>
      </x:c>
      <x:c r="K57" s="470" t="str">
        <x:v>S06; S37; S52; S60</x:v>
      </x:c>
    </x:row>
    <x:row r="58" ht="60" customHeight="1">
      <x:c r="A58" s="427" t="str">
        <x:v>Bioinformática y salud digital</x:v>
      </x:c>
      <x:c r="B58" s="427" t="str">
        <x:v>Modelos fundacionales biomédicos</x:v>
      </x:c>
      <x:c r="C58" s="427" t="str">
        <x:v>Emergente</x:v>
      </x:c>
      <x:c r="D58" s="427" t="str">
        <x:v>Corto 2027–2029</x:v>
      </x:c>
      <x:c r="E58" s="427" t="str">
        <x:v>Media</x:v>
      </x:c>
      <x:c r="F58" s="427" t="str">
        <x:v>Investigar con validación</x:v>
      </x:c>
      <x:c r="G58" s="427" t="str">
        <x:v>Pueden integrar secuencias, texto, imagen y señales clínicas.</x:v>
      </x:c>
      <x:c r="H58" s="427" t="str">
        <x:v>Biología, medicina, ML, evaluación</x:v>
      </x:c>
      <x:c r="I58" s="427" t="str">
        <x:v>Validación externa, sesgo y utilidad clínica</x:v>
      </x:c>
      <x:c r="J58" s="427" t="str">
        <x:v>Trimestral</x:v>
      </x:c>
      <x:c r="K58" s="427" t="str">
        <x:v>S39; S40; S52; S55</x:v>
      </x:c>
    </x:row>
    <x:row r="59" ht="60" customHeight="1">
      <x:c r="A59" s="470" t="str">
        <x:v>Bioinformática y salud digital</x:v>
      </x:c>
      <x:c r="B59" s="470" t="str">
        <x:v>Multi-ómica y biología computacional integrativa</x:v>
      </x:c>
      <x:c r="C59" s="470" t="str">
        <x:v>Actual</x:v>
      </x:c>
      <x:c r="D59" s="470" t="str">
        <x:v>Corto 2027–2029</x:v>
      </x:c>
      <x:c r="E59" s="470" t="str">
        <x:v>Alta</x:v>
      </x:c>
      <x:c r="F59" s="470" t="str">
        <x:v>Adoptar en investigación</x:v>
      </x:c>
      <x:c r="G59" s="470" t="str">
        <x:v>Integra múltiples capas biológicas para mecanismos y biomarcadores.</x:v>
      </x:c>
      <x:c r="H59" s="470" t="str">
        <x:v>Genómica, estadística, pipelines</x:v>
      </x:c>
      <x:c r="I59" s="470" t="str">
        <x:v>Reproducibilidad y cohortes independientes</x:v>
      </x:c>
      <x:c r="J59" s="470" t="str">
        <x:v>Semestral</x:v>
      </x:c>
      <x:c r="K59" s="470" t="str">
        <x:v>S39; S52; S69</x:v>
      </x:c>
    </x:row>
    <x:row r="60" ht="60" customHeight="1">
      <x:c r="A60" s="427" t="str">
        <x:v>Bioinformática y salud digital</x:v>
      </x:c>
      <x:c r="B60" s="427" t="str">
        <x:v>Interfaces cerebro–computador</x:v>
      </x:c>
      <x:c r="C60" s="427" t="str">
        <x:v>Experimental</x:v>
      </x:c>
      <x:c r="D60" s="427" t="str">
        <x:v>Largo 2036–2045</x:v>
      </x:c>
      <x:c r="E60" s="427" t="str">
        <x:v>Baja-media</x:v>
      </x:c>
      <x:c r="F60" s="427" t="str">
        <x:v>Vigilar ética y TRL</x:v>
      </x:c>
      <x:c r="G60" s="427" t="str">
        <x:v>Puede ayudar en rehabilitación e interacción, con riesgos físicos y de privacidad.</x:v>
      </x:c>
      <x:c r="H60" s="427" t="str">
        <x:v>Neurociencia, señales, ML, ética</x:v>
      </x:c>
      <x:c r="I60" s="427" t="str">
        <x:v>Ensayos clínicos, seguridad y regulación</x:v>
      </x:c>
      <x:c r="J60" s="427" t="str">
        <x:v>Anual</x:v>
      </x:c>
      <x:c r="K60" s="427" t="str">
        <x:v>S40; S53; S54; S71</x:v>
      </x:c>
    </x:row>
    <x:row r="61" ht="60" customHeight="1">
      <x:c r="A61" s="470" t="str">
        <x:v>Computación cuántica</x:v>
      </x:c>
      <x:c r="B61" s="470" t="str">
        <x:v>Computación cuántica NISQ e híbrida</x:v>
      </x:c>
      <x:c r="C61" s="470" t="str">
        <x:v>Experimental</x:v>
      </x:c>
      <x:c r="D61" s="470" t="str">
        <x:v>Corto 2027–2029</x:v>
      </x:c>
      <x:c r="E61" s="470" t="str">
        <x:v>Media-baja</x:v>
      </x:c>
      <x:c r="F61" s="470" t="str">
        <x:v>Aprender y comparar</x:v>
      </x:c>
      <x:c r="G61" s="470" t="str">
        <x:v>Es accesible para experimentación, pero utilidad superior a métodos clásicos sigue limitada.</x:v>
      </x:c>
      <x:c r="H61" s="470" t="str">
        <x:v>Álgebra lineal, probabilidad, algoritmos</x:v>
      </x:c>
      <x:c r="I61" s="470" t="str">
        <x:v>Ventaja total reproducida contra mejores baselines</x:v>
      </x:c>
      <x:c r="J61" s="470" t="str">
        <x:v>Semestral</x:v>
      </x:c>
      <x:c r="K61" s="470" t="str">
        <x:v>S41; S42; S54</x:v>
      </x:c>
    </x:row>
    <x:row r="62" ht="60" customHeight="1">
      <x:c r="A62" s="427" t="str">
        <x:v>Computación cuántica</x:v>
      </x:c>
      <x:c r="B62" s="427" t="str">
        <x:v>Corrección de errores y cómputo tolerante a fallos</x:v>
      </x:c>
      <x:c r="C62" s="427" t="str">
        <x:v>Experimental</x:v>
      </x:c>
      <x:c r="D62" s="427" t="str">
        <x:v>Mediano 2030–2035</x:v>
      </x:c>
      <x:c r="E62" s="427" t="str">
        <x:v>Baja-media</x:v>
      </x:c>
      <x:c r="F62" s="427" t="str">
        <x:v>Vigilar hitos</x:v>
      </x:c>
      <x:c r="G62" s="427" t="str">
        <x:v>Es condición para algoritmos cuánticos grandes y confiables.</x:v>
      </x:c>
      <x:c r="H62" s="427" t="str">
        <x:v>Información cuántica, física, arquitectura</x:v>
      </x:c>
      <x:c r="I62" s="427" t="str">
        <x:v>Qubits lógicos, fidelidad y costo de corrección</x:v>
      </x:c>
      <x:c r="J62" s="427" t="str">
        <x:v>Semestral</x:v>
      </x:c>
      <x:c r="K62" s="427" t="str">
        <x:v>S41; S42; S54; S58</x:v>
      </x:c>
    </x:row>
    <x:row r="63" ht="60" customHeight="1">
      <x:c r="A63" s="470" t="str">
        <x:v>Computación cuántica</x:v>
      </x:c>
      <x:c r="B63" s="470" t="str">
        <x:v>Redes e Internet cuántica</x:v>
      </x:c>
      <x:c r="C63" s="470" t="str">
        <x:v>Especulativa</x:v>
      </x:c>
      <x:c r="D63" s="470" t="str">
        <x:v>Muy largo &gt;2045</x:v>
      </x:c>
      <x:c r="E63" s="470" t="str">
        <x:v>Baja</x:v>
      </x:c>
      <x:c r="F63" s="470" t="str">
        <x:v>Vigilar sin apostar la base</x:v>
      </x:c>
      <x:c r="G63" s="470" t="str">
        <x:v>Podría habilitar distribución cuántica y sistemas conectados, con grandes retos físicos.</x:v>
      </x:c>
      <x:c r="H63" s="470" t="str">
        <x:v>Óptica, comunicaciones, información cuántica</x:v>
      </x:c>
      <x:c r="I63" s="470" t="str">
        <x:v>Repetidores, memoria y enlaces escalables</x:v>
      </x:c>
      <x:c r="J63" s="470" t="str">
        <x:v>Anual</x:v>
      </x:c>
      <x:c r="K63" s="470" t="str">
        <x:v>S53; S54; S58</x:v>
      </x:c>
    </x:row>
    <x:row r="64" ht="60" customHeight="1">
      <x:c r="A64" s="427" t="str">
        <x:v>Investigación, profesión y capstones</x:v>
      </x:c>
      <x:c r="B64" s="427" t="str">
        <x:v>Ciencia asistida por IA y laboratorios autónomos</x:v>
      </x:c>
      <x:c r="C64" s="427" t="str">
        <x:v>Emergente</x:v>
      </x:c>
      <x:c r="D64" s="427" t="str">
        <x:v>Mediano 2030–2035</x:v>
      </x:c>
      <x:c r="E64" s="427" t="str">
        <x:v>Media</x:v>
      </x:c>
      <x:c r="F64" s="427" t="str">
        <x:v>Experimentar con reproducibilidad</x:v>
      </x:c>
      <x:c r="G64" s="427" t="str">
        <x:v>Automatiza búsqueda, diseño experimental y análisis, pero puede amplificar errores.</x:v>
      </x:c>
      <x:c r="H64" s="427" t="str">
        <x:v>Método científico, datos, automatización</x:v>
      </x:c>
      <x:c r="I64" s="427" t="str">
        <x:v>Replicación independiente y trazabilidad</x:v>
      </x:c>
      <x:c r="J64" s="427" t="str">
        <x:v>Trimestral</x:v>
      </x:c>
      <x:c r="K64" s="427" t="str">
        <x:v>S52; S54; S55; S63; S64</x:v>
      </x:c>
    </x:row>
    <x:row r="65" ht="60" customHeight="1">
      <x:c r="A65" s="470" t="str">
        <x:v>Investigación, profesión y capstones</x:v>
      </x:c>
      <x:c r="B65" s="470" t="str">
        <x:v>Inteligencia de patentes y estándares</x:v>
      </x:c>
      <x:c r="C65" s="470" t="str">
        <x:v>Actual</x:v>
      </x:c>
      <x:c r="D65" s="470" t="str">
        <x:v>Presente 2026</x:v>
      </x:c>
      <x:c r="E65" s="470" t="str">
        <x:v>Alta</x:v>
      </x:c>
      <x:c r="F65" s="470" t="str">
        <x:v>Adoptar</x:v>
      </x:c>
      <x:c r="G65" s="470" t="str">
        <x:v>Detecta dirección tecnológica antes de que aparezca en currículos y productos masivos.</x:v>
      </x:c>
      <x:c r="H65" s="470" t="str">
        <x:v>Búsqueda, clasificación, lectura técnica</x:v>
      </x:c>
      <x:c r="I65" s="470" t="str">
        <x:v>Familias de patentes, citación y madurez normativa</x:v>
      </x:c>
      <x:c r="J65" s="470" t="str">
        <x:v>Trimestral</x:v>
      </x:c>
      <x:c r="K65" s="470" t="str">
        <x:v>S61; S62; S67; S68; S72</x:v>
      </x:c>
    </x:row>
    <x:row r="66" ht="60" customHeight="1">
      <x:c r="A66" s="428" t="str">
        <x:v>Investigación, profesión y capstones</x:v>
      </x:c>
      <x:c r="B66" s="428" t="str">
        <x:v>Radar personal y pronóstico calibrado</x:v>
      </x:c>
      <x:c r="C66" s="428" t="str">
        <x:v>Actual</x:v>
      </x:c>
      <x:c r="D66" s="428" t="str">
        <x:v>Presente 2026</x:v>
      </x:c>
      <x:c r="E66" s="428" t="str">
        <x:v>Alta</x:v>
      </x:c>
      <x:c r="F66" s="428" t="str">
        <x:v>Adoptar</x:v>
      </x:c>
      <x:c r="G66" s="428" t="str">
        <x:v>Convierte señales dispersas en decisiones revisables con confianza explícita.</x:v>
      </x:c>
      <x:c r="H66" s="428" t="str">
        <x:v>Prospectiva, probabilidad, documentación</x:v>
      </x:c>
      <x:c r="I66" s="428" t="str">
        <x:v>Puntuación de pronósticos y decisiones reversibles</x:v>
      </x:c>
      <x:c r="J66" s="428" t="str">
        <x:v>Mensual</x:v>
      </x:c>
      <x:c r="K66" s="428" t="str">
        <x:v>S51; S52; S53</x:v>
      </x:c>
    </x:row>
  </x:sheetData>
  <x:mergeCells>
    <x:mergeCell ref="A1:K1"/>
    <x:mergeCell ref="A2:K2"/>
  </x:mergeCells>
  <x:conditionalFormatting sqref="C5:C66">
    <x:cfRule type="containsText" dxfId="8" priority="1" operator="containsText" text="Consolidada"/>
    <x:cfRule type="containsText" dxfId="9" priority="2" operator="containsText" text="Actual"/>
    <x:cfRule type="containsText" dxfId="10" priority="3" operator="containsText" text="Emergente"/>
    <x:cfRule type="containsText" dxfId="11" priority="4" operator="containsText" text="Experimental"/>
    <x:cfRule type="containsText" dxfId="12" priority="5" operator="containsText" text="Especulativa"/>
  </x:conditionalFormatting>
  <x:pageMargins left="0.7" right="0.7" top="0.75" bottom="0.75" header="0.3" footer="0.3"/>
  <x:drawing xmlns:r="http://schemas.openxmlformats.org/officeDocument/2006/relationships" r:id="R6191a502b63040a0"/>
  <x:tableParts count="1">
    <x:tablePart xmlns:r="http://schemas.openxmlformats.org/officeDocument/2006/relationships" r:id="R59704f62599848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38" hidden="0" customWidth="1"/>
    <x:col min="4" max="4" width="25" hidden="0" customWidth="1"/>
    <x:col min="5" max="5" width="52" hidden="0" customWidth="1"/>
    <x:col min="6" max="6" width="50" hidden="0" customWidth="1"/>
    <x:col min="7" max="7" width="48" hidden="0" customWidth="1"/>
    <x:col min="8" max="8" width="48" hidden="0" customWidth="1"/>
    <x:col min="9" max="9" width="14" hidden="0" customWidth="1"/>
    <x:col min="10" max="10" width="20" hidden="0" customWidth="1"/>
  </x:cols>
  <x:sheetData>
    <x:row r="1" ht="34" customHeight="1">
      <x:c r="A1" s="4" t="str">
        <x:v>ESCENARIOS TECNOLÓGICOS</x:v>
      </x:c>
      <x:c r="B1" s="4" t="str">
        <x:v>ESCENARIOS TECNOLÓGICOS</x:v>
      </x:c>
      <x:c r="C1" s="4" t="str">
        <x:v>ESCENARIOS TECNOLÓGICOS</x:v>
      </x:c>
      <x:c r="D1" s="4" t="str">
        <x:v>ESCENARIOS TECNOLÓGICOS</x:v>
      </x:c>
      <x:c r="E1" s="4" t="str">
        <x:v>ESCENARIOS TECNOLÓGICOS</x:v>
      </x:c>
      <x:c r="F1" s="4" t="str">
        <x:v>ESCENARIOS TECNOLÓGICOS</x:v>
      </x:c>
      <x:c r="G1" s="4" t="str">
        <x:v>ESCENARIOS TECNOLÓGICOS</x:v>
      </x:c>
      <x:c r="H1" s="4" t="str">
        <x:v>ESCENARIOS TECNOLÓGICOS</x:v>
      </x:c>
      <x:c r="I1" s="4" t="str">
        <x:v>ESCENARIOS TECNOLÓGICOS</x:v>
      </x:c>
      <x:c r="J1" s="4" t="str">
        <x:v>ESCENARIOS TECNOLÓGICOS</x:v>
      </x:c>
    </x:row>
    <x:row r="2" ht="30" customHeight="1">
      <x:c r="A2" s="8" t="str">
        <x:v>Cuatro horizontes y futuros alternativos. El objetivo es prepararte para varias trayectorias plausibles, no adivinar una sola.</x:v>
      </x:c>
      <x:c r="B2" s="8" t="str">
        <x:v>Cuatro horizontes y futuros alternativos. El objetivo es prepararte para varias trayectorias plausibles, no adivinar una sola.</x:v>
      </x:c>
      <x:c r="C2" s="8" t="str">
        <x:v>Cuatro horizontes y futuros alternativos. El objetivo es prepararte para varias trayectorias plausibles, no adivinar una sola.</x:v>
      </x:c>
      <x:c r="D2" s="8" t="str">
        <x:v>Cuatro horizontes y futuros alternativos. El objetivo es prepararte para varias trayectorias plausibles, no adivinar una sola.</x:v>
      </x:c>
      <x:c r="E2" s="8" t="str">
        <x:v>Cuatro horizontes y futuros alternativos. El objetivo es prepararte para varias trayectorias plausibles, no adivinar una sola.</x:v>
      </x:c>
      <x:c r="F2" s="8" t="str">
        <x:v>Cuatro horizontes y futuros alternativos. El objetivo es prepararte para varias trayectorias plausibles, no adivinar una sola.</x:v>
      </x:c>
      <x:c r="G2" s="8" t="str">
        <x:v>Cuatro horizontes y futuros alternativos. El objetivo es prepararte para varias trayectorias plausibles, no adivinar una sola.</x:v>
      </x:c>
      <x:c r="H2" s="8" t="str">
        <x:v>Cuatro horizontes y futuros alternativos. El objetivo es prepararte para varias trayectorias plausibles, no adivinar una sola.</x:v>
      </x:c>
      <x:c r="I2" s="8" t="str">
        <x:v>Cuatro horizontes y futuros alternativos. El objetivo es prepararte para varias trayectorias plausibles, no adivinar una sola.</x:v>
      </x:c>
      <x:c r="J2" s="8" t="str">
        <x:v>Cuatro horizontes y futuros alternativos. El objetivo es prepararte para varias trayectorias plausibles, no adivinar una sola.</x:v>
      </x:c>
    </x:row>
    <x:row r="4">
      <x:c r="A4" s="377" t="str">
        <x:v>Horizonte</x:v>
      </x:c>
      <x:c r="B4" s="377" t="str">
        <x:v>Periodo</x:v>
      </x:c>
      <x:c r="C4" s="377" t="str">
        <x:v>Escenario</x:v>
      </x:c>
      <x:c r="D4" s="377" t="str">
        <x:v>Tipo</x:v>
      </x:c>
      <x:c r="E4" s="377" t="str">
        <x:v>Supuestos y señales</x:v>
      </x:c>
      <x:c r="F4" s="377" t="str">
        <x:v>Impacto curricular</x:v>
      </x:c>
      <x:c r="G4" s="377" t="str">
        <x:v>Capacidades robustas</x:v>
      </x:c>
      <x:c r="H4" s="377" t="str">
        <x:v>Acción desde 2026</x:v>
      </x:c>
      <x:c r="I4" s="377" t="str">
        <x:v>Confianza</x:v>
      </x:c>
      <x:c r="J4" s="377" t="str">
        <x:v>Fuentes</x:v>
      </x:c>
    </x:row>
    <x:row r="5" ht="88" customHeight="1">
      <x:c r="A5" s="510" t="str">
        <x:v>Corto</x:v>
      </x:c>
      <x:c r="B5" s="510" t="str">
        <x:v>2027–2029</x:v>
      </x:c>
      <x:c r="C5" s="510" t="str">
        <x:v>IA cotidiana pero imperfecta</x:v>
      </x:c>
      <x:c r="D5" s="510" t="str">
        <x:v>Tendencia base</x:v>
      </x:c>
      <x:c r="E5" s="510" t="str">
        <x:v>Copilotos y agentes se integran al trabajo; persisten errores, costos y límites de confianza.</x:v>
      </x:c>
      <x:c r="F5" s="510" t="str">
        <x:v>Software, ofimática, datos, diseño, TI y ciberseguridad cambian de flujo más que de fundamentos.</x:v>
      </x:c>
      <x:c r="G5" s="510" t="str">
        <x:v>Programación, estadística, evaluación, seguridad, comunicación y conocimiento de dominio.</x:v>
      </x:c>
      <x:c r="H5" s="510" t="str">
        <x:v>Usar IA con métricas, trazabilidad, privacidad y revisión humana; producir portafolio sin dependencia ciega.</x:v>
      </x:c>
      <x:c r="I5" s="510" t="str">
        <x:v>Alta</x:v>
      </x:c>
      <x:c r="J5" s="510" t="str">
        <x:v>S52; S54; S55</x:v>
      </x:c>
    </x:row>
    <x:row r="6" ht="88" customHeight="1">
      <x:c r="A6" s="511" t="str">
        <x:v>Corto</x:v>
      </x:c>
      <x:c r="B6" s="511" t="str">
        <x:v>2027–2029</x:v>
      </x:c>
      <x:c r="C6" s="511" t="str">
        <x:v>Transición poscuántica acelerada</x:v>
      </x:c>
      <x:c r="D6" s="511" t="str">
        <x:v>Compromiso normativo</x:v>
      </x:c>
      <x:c r="E6" s="511" t="str">
        <x:v>Organizaciones inventarían criptografía y empiezan migración a FIPS 203/204/205.</x:v>
      </x:c>
      <x:c r="F6" s="511" t="str">
        <x:v>PKI, redes, cloud, firmware, auditoría y desarrollo seguro requieren crypto-agility.</x:v>
      </x:c>
      <x:c r="G6" s="511" t="str">
        <x:v>Criptografía aplicada, inventario, arquitectura, pruebas y gestión de cambio.</x:v>
      </x:c>
      <x:c r="H6" s="511" t="str">
        <x:v>Crear laboratorio de migración y mapa de dependencias criptográficas.</x:v>
      </x:c>
      <x:c r="I6" s="511" t="str">
        <x:v>Alta</x:v>
      </x:c>
      <x:c r="J6" s="511" t="str">
        <x:v>S56; S59</x:v>
      </x:c>
    </x:row>
    <x:row r="7" ht="88" customHeight="1">
      <x:c r="A7" s="511" t="str">
        <x:v>Corto</x:v>
      </x:c>
      <x:c r="B7" s="511" t="str">
        <x:v>2027–2029</x:v>
      </x:c>
      <x:c r="C7" s="511" t="str">
        <x:v>Edge, robots y sensores especializados</x:v>
      </x:c>
      <x:c r="D7" s="511" t="str">
        <x:v>Expansión sectorial</x:v>
      </x:c>
      <x:c r="E7" s="511" t="str">
        <x:v>Más IA local en industria, logística, salud y agricultura; no todos los robots son generalistas.</x:v>
      </x:c>
      <x:c r="F7" s="511" t="str">
        <x:v>Crece integración de embebidos, control, redes, nube, seguridad y gemelos digitales.</x:v>
      </x:c>
      <x:c r="G7" s="511" t="str">
        <x:v>Electrónica, señales, RTOS, control, ML, redes y seguridad funcional.</x:v>
      </x:c>
      <x:c r="H7" s="511" t="str">
        <x:v>Construir un sistema IoT/robot completo con observabilidad y plan de fallos.</x:v>
      </x:c>
      <x:c r="I7" s="511" t="str">
        <x:v>Media-alta</x:v>
      </x:c>
      <x:c r="J7" s="511" t="str">
        <x:v>S54; S58; S60</x:v>
      </x:c>
    </x:row>
    <x:row r="8" ht="88" customHeight="1">
      <x:c r="A8" s="511" t="str">
        <x:v>Corto</x:v>
      </x:c>
      <x:c r="B8" s="511" t="str">
        <x:v>2027–2029</x:v>
      </x:c>
      <x:c r="C8" s="511" t="str">
        <x:v>Fragmentación tecnológica y regulatoria</x:v>
      </x:c>
      <x:c r="D8" s="511" t="str">
        <x:v>Restricción</x:v>
      </x:c>
      <x:c r="E8" s="511" t="str">
        <x:v>Soberanía de datos, cadenas de suministro y regulación divergen por región.</x:v>
      </x:c>
      <x:c r="F8" s="511" t="str">
        <x:v>Aumenta valor de estándares abiertos, portabilidad, cumplimiento y arquitecturas multicloud/locales.</x:v>
      </x:c>
      <x:c r="G8" s="511" t="str">
        <x:v>Sistemas, derecho digital, interoperabilidad, idiomas y gestión de proveedores.</x:v>
      </x:c>
      <x:c r="H8" s="511" t="str">
        <x:v>Evitar dependencia de un proveedor; documentar exportación, respaldo y alternativas.</x:v>
      </x:c>
      <x:c r="I8" s="511" t="str">
        <x:v>Media-alta</x:v>
      </x:c>
      <x:c r="J8" s="511" t="str">
        <x:v>S51; S52; S71</x:v>
      </x:c>
    </x:row>
    <x:row r="9" ht="88" customHeight="1">
      <x:c r="A9" s="512" t="str">
        <x:v>Mediano</x:v>
      </x:c>
      <x:c r="B9" s="512" t="str">
        <x:v>2030–2035</x:v>
      </x:c>
      <x:c r="C9" s="512" t="str">
        <x:v>6G y computación ubicua selectiva</x:v>
      </x:c>
      <x:c r="D9" s="512" t="str">
        <x:v>Tendencia condicionada</x:v>
      </x:c>
      <x:c r="E9" s="512" t="str">
        <x:v>IMT-2030 entra en despliegue, combinado con edge y redes no terrestres.</x:v>
      </x:c>
      <x:c r="F9" s="512" t="str">
        <x:v>Nuevas aplicaciones ciberfísicas, pero limitadas por costo, espectro, energía y seguridad.</x:v>
      </x:c>
      <x:c r="G9" s="512" t="str">
        <x:v>RF, redes, sistemas distribuidos, edge, seguridad y sostenibilidad.</x:v>
      </x:c>
      <x:c r="H9" s="512" t="str">
        <x:v>Seguir ITU; aprender principios, no apostar por productos aún inexistentes.</x:v>
      </x:c>
      <x:c r="I9" s="512" t="str">
        <x:v>Media-alta</x:v>
      </x:c>
      <x:c r="J9" s="512" t="str">
        <x:v>S57; S58</x:v>
      </x:c>
    </x:row>
    <x:row r="10" ht="88" customHeight="1">
      <x:c r="A10" s="512" t="str">
        <x:v>Mediano</x:v>
      </x:c>
      <x:c r="B10" s="512" t="str">
        <x:v>2030–2035</x:v>
      </x:c>
      <x:c r="C10" s="512" t="str">
        <x:v>Agentes confiables en dominios acotados</x:v>
      </x:c>
      <x:c r="D10" s="512" t="str">
        <x:v>Aceleración</x:v>
      </x:c>
      <x:c r="E10" s="512" t="str">
        <x:v>Agentes completan flujos repetibles con supervisión, permisos y evidencia.</x:v>
      </x:c>
      <x:c r="F10" s="512" t="str">
        <x:v>Cambian desarrollo, soporte, BI, AIOps, auditoría y producción de medios.</x:v>
      </x:c>
      <x:c r="G10" s="512" t="str">
        <x:v>Diseño de sistemas, evaluación, control de acceso, observabilidad y rollback.</x:v>
      </x:c>
      <x:c r="H10" s="512" t="str">
        <x:v>Diseñar agentes con límites explícitos, pruebas adversarias y costo total medido.</x:v>
      </x:c>
      <x:c r="I10" s="512" t="str">
        <x:v>Media</x:v>
      </x:c>
      <x:c r="J10" s="512" t="str">
        <x:v>S52; S54; S55; S59</x:v>
      </x:c>
    </x:row>
    <x:row r="11" ht="88" customHeight="1">
      <x:c r="A11" s="512" t="str">
        <x:v>Mediano</x:v>
      </x:c>
      <x:c r="B11" s="512" t="str">
        <x:v>2030–2035</x:v>
      </x:c>
      <x:c r="C11" s="512" t="str">
        <x:v>Robótica útil antes que universal</x:v>
      </x:c>
      <x:c r="D11" s="512" t="str">
        <x:v>Adopción pragmática</x:v>
      </x:c>
      <x:c r="E11" s="512" t="str">
        <x:v>Robots se expanden en tareas con entorno estructurado y retorno claro.</x:v>
      </x:c>
      <x:c r="F11" s="512" t="str">
        <x:v>La integración, seguridad y mantenimiento valen tanto como el modelo de IA.</x:v>
      </x:c>
      <x:c r="G11" s="512" t="str">
        <x:v>Control, percepción, mecatrónica, HRI, seguridad y economía de operaciones.</x:v>
      </x:c>
      <x:c r="H11" s="512" t="str">
        <x:v>Priorizar tareas medibles y simulación; evitar promesas de generalidad sin evidencia.</x:v>
      </x:c>
      <x:c r="I11" s="512" t="str">
        <x:v>Media</x:v>
      </x:c>
      <x:c r="J11" s="512" t="str">
        <x:v>S24; S25; S54; S60</x:v>
      </x:c>
    </x:row>
    <x:row r="12" ht="88" customHeight="1">
      <x:c r="A12" s="512" t="str">
        <x:v>Mediano</x:v>
      </x:c>
      <x:c r="B12" s="512" t="str">
        <x:v>2030–2035</x:v>
      </x:c>
      <x:c r="C12" s="512" t="str">
        <x:v>Primeros nichos cuánticos o nueva demora</x:v>
      </x:c>
      <x:c r="D12" s="512" t="str">
        <x:v>Bifurcación</x:v>
      </x:c>
      <x:c r="E12" s="512" t="str">
        <x:v>Puede aparecer utilidad limitada con corrección de errores, o continuar sin ventaja económica amplia.</x:v>
      </x:c>
      <x:c r="F12" s="512" t="str">
        <x:v>Cuántica conserva valor científico, pero no reemplaza la computación clásica.</x:v>
      </x:c>
      <x:c r="G12" s="512" t="str">
        <x:v>Álgebra lineal, física, algoritmos y benchmarking honesto.</x:v>
      </x:c>
      <x:c r="H12" s="512" t="str">
        <x:v>Mantener cuántica como especialidad, comparar siempre contra mejores métodos clásicos.</x:v>
      </x:c>
      <x:c r="I12" s="512" t="str">
        <x:v>Baja-media</x:v>
      </x:c>
      <x:c r="J12" s="512" t="str">
        <x:v>S41; S42; S54; S58</x:v>
      </x:c>
    </x:row>
    <x:row r="13" ht="88" customHeight="1">
      <x:c r="A13" s="505" t="str">
        <x:v>Largo</x:v>
      </x:c>
      <x:c r="B13" s="505" t="str">
        <x:v>2036–2045</x:v>
      </x:c>
      <x:c r="C13" s="505" t="str">
        <x:v>Infraestructura heterogénea bajo límites energéticos</x:v>
      </x:c>
      <x:c r="D13" s="505" t="str">
        <x:v>Tendencia estructural</x:v>
      </x:c>
      <x:c r="E13" s="505" t="str">
        <x:v>CMOS coexiste con chiplets, aceleradores, fotónica o neuromórfica según carga.</x:v>
      </x:c>
      <x:c r="F13" s="505" t="str">
        <x:v>Arquitectura y software deben optimizar datos, energía, refrigeración y confiabilidad.</x:v>
      </x:c>
      <x:c r="G13" s="505" t="str">
        <x:v>Física, arquitectura, paralelismo, compiladores y medición.</x:v>
      </x:c>
      <x:c r="H13" s="505" t="str">
        <x:v>Profundizar fundamentos y aprender co-diseño; revisar IRDS anualmente.</x:v>
      </x:c>
      <x:c r="I13" s="505" t="str">
        <x:v>Media</x:v>
      </x:c>
      <x:c r="J13" s="505" t="str">
        <x:v>S53; S54; S58</x:v>
      </x:c>
    </x:row>
    <x:row r="14" ht="88" customHeight="1">
      <x:c r="A14" s="505" t="str">
        <x:v>Largo</x:v>
      </x:c>
      <x:c r="B14" s="505" t="str">
        <x:v>2036–2045</x:v>
      </x:c>
      <x:c r="C14" s="505" t="str">
        <x:v>Ciencia e ingeniería parcialmente automatizadas</x:v>
      </x:c>
      <x:c r="D14" s="505" t="str">
        <x:v>Aceleración</x:v>
      </x:c>
      <x:c r="E14" s="505" t="str">
        <x:v>Sistemas proponen experimentos, simulan y controlan laboratorios con auditoría.</x:v>
      </x:c>
      <x:c r="F14" s="505" t="str">
        <x:v>Aumenta velocidad de descubrimiento y riesgo de errores sistemáticos a escala.</x:v>
      </x:c>
      <x:c r="G14" s="505" t="str">
        <x:v>Método científico, causalidad, automatización, seguridad y reproducibilidad.</x:v>
      </x:c>
      <x:c r="H14" s="505" t="str">
        <x:v>Practicar replicación, datos FAIR, control de versiones y pronóstico calibrado.</x:v>
      </x:c>
      <x:c r="I14" s="505" t="str">
        <x:v>Media</x:v>
      </x:c>
      <x:c r="J14" s="505" t="str">
        <x:v>S51; S52; S54; S55</x:v>
      </x:c>
    </x:row>
    <x:row r="15" ht="88" customHeight="1">
      <x:c r="A15" s="505" t="str">
        <x:v>Largo</x:v>
      </x:c>
      <x:c r="B15" s="505" t="str">
        <x:v>2036–2045</x:v>
      </x:c>
      <x:c r="C15" s="505" t="str">
        <x:v>Interacción espacial y neural en nichos</x:v>
      </x:c>
      <x:c r="D15" s="505" t="str">
        <x:v>Discontinuidad condicionada</x:v>
      </x:c>
      <x:c r="E15" s="505" t="str">
        <x:v>XR, háptica o interfaces neurales alcanzan usos clínicos/profesionales, no necesariamente consumo masivo.</x:v>
      </x:c>
      <x:c r="F15" s="505" t="str">
        <x:v>Convergen gráficos, señales, neurociencia, hardware, privacidad y diseño.</x:v>
      </x:c>
      <x:c r="G15" s="505" t="str">
        <x:v>HCI, percepción, señales, ética, seguridad y accesibilidad.</x:v>
      </x:c>
      <x:c r="H15" s="505" t="str">
        <x:v>Exigir TRL y evidencia clínica/operativa antes de especializar recursos.</x:v>
      </x:c>
      <x:c r="I15" s="505" t="str">
        <x:v>Baja-media</x:v>
      </x:c>
      <x:c r="J15" s="505" t="str">
        <x:v>S40; S53; S54</x:v>
      </x:c>
    </x:row>
    <x:row r="16" ht="88" customHeight="1">
      <x:c r="A16" s="505" t="str">
        <x:v>Largo</x:v>
      </x:c>
      <x:c r="B16" s="505" t="str">
        <x:v>2036–2045</x:v>
      </x:c>
      <x:c r="C16" s="505" t="str">
        <x:v>Conflicto ciberfísico entre sistemas autónomos</x:v>
      </x:c>
      <x:c r="D16" s="505" t="str">
        <x:v>Riesgo</x:v>
      </x:c>
      <x:c r="E16" s="505" t="str">
        <x:v>Ataque y defensa automatizados afectan software, robots, vehículos, salud e industria.</x:v>
      </x:c>
      <x:c r="F16" s="505" t="str">
        <x:v>La seguridad funcional y resiliencia superan al enfoque puramente informático.</x:v>
      </x:c>
      <x:c r="G16" s="505" t="str">
        <x:v>Threat modeling, control, forense, recuperación, derecho y factores humanos.</x:v>
      </x:c>
      <x:c r="H16" s="505" t="str">
        <x:v>Diseñar modos degradados, apagado seguro, registros y ejercicios de incidente.</x:v>
      </x:c>
      <x:c r="I16" s="505" t="str">
        <x:v>Media</x:v>
      </x:c>
      <x:c r="J16" s="505" t="str">
        <x:v>S54; S59; S65; S66</x:v>
      </x:c>
    </x:row>
    <x:row r="17" ht="88" customHeight="1">
      <x:c r="A17" s="513" t="str">
        <x:v>Muy largo</x:v>
      </x:c>
      <x:c r="B17" s="513" t="str">
        <x:v>&gt;2045</x:v>
      </x:c>
      <x:c r="C17" s="513" t="str">
        <x:v>IA transformadora con gobierno efectivo</x:v>
      </x:c>
      <x:c r="D17" s="513" t="str">
        <x:v>Escenario de alta capacidad</x:v>
      </x:c>
      <x:c r="E17" s="513" t="str">
        <x:v>Sistemas muy capaces aceleran ciencia y productividad con controles institucionales suficientes.</x:v>
      </x:c>
      <x:c r="F17" s="513" t="str">
        <x:v>El trabajo humano se concentra en objetivos, valores, supervisión, relaciones y fronteras científicas.</x:v>
      </x:c>
      <x:c r="G17" s="513" t="str">
        <x:v>Fundamentos, ética, gobernanza, pensamiento sistémico y aprendizaje rápido.</x:v>
      </x:c>
      <x:c r="H17" s="513" t="str">
        <x:v>Mantener opciones abiertas, capacidades humanas y participación cívica; no tratarlo como pronóstico.</x:v>
      </x:c>
      <x:c r="I17" s="513" t="str">
        <x:v>Baja</x:v>
      </x:c>
      <x:c r="J17" s="513" t="str">
        <x:v>S51; S52; S54</x:v>
      </x:c>
    </x:row>
    <x:row r="18" ht="88" customHeight="1">
      <x:c r="A18" s="513" t="str">
        <x:v>Muy largo</x:v>
      </x:c>
      <x:c r="B18" s="513" t="str">
        <x:v>&gt;2045</x:v>
      </x:c>
      <x:c r="C18" s="513" t="str">
        <x:v>IA transformadora con concentración o fallo de control</x:v>
      </x:c>
      <x:c r="D18" s="513" t="str">
        <x:v>Escenario adverso</x:v>
      </x:c>
      <x:c r="E18" s="513" t="str">
        <x:v>Capacidad y poder se concentran o los sistemas actúan fuera de objetivos fiables.</x:v>
      </x:c>
      <x:c r="F18" s="513" t="str">
        <x:v>Riesgos sociales y de seguridad dominan beneficios técnicos.</x:v>
      </x:c>
      <x:c r="G18" s="513" t="str">
        <x:v>Gobernanza, seguridad, auditoría, resiliencia, derecho y cooperación.</x:v>
      </x:c>
      <x:c r="H18" s="513" t="str">
        <x:v>Estudiar riesgos y controles hoy; favorecer verificabilidad y distribución responsable.</x:v>
      </x:c>
      <x:c r="I18" s="513" t="str">
        <x:v>Baja</x:v>
      </x:c>
      <x:c r="J18" s="513" t="str">
        <x:v>S51; S52; S55; S59</x:v>
      </x:c>
    </x:row>
    <x:row r="19" ht="88" customHeight="1">
      <x:c r="A19" s="513" t="str">
        <x:v>Muy largo</x:v>
      </x:c>
      <x:c r="B19" s="513" t="str">
        <x:v>&gt;2045</x:v>
      </x:c>
      <x:c r="C19" s="513" t="str">
        <x:v>Computación cuántica, molecular o más allá de CMOS</x:v>
      </x:c>
      <x:c r="D19" s="513" t="str">
        <x:v>Discontinuidad tecnológica</x:v>
      </x:c>
      <x:c r="E19" s="513" t="str">
        <x:v>Uno o varios paradigmas nuevos alcanzan utilidad práctica amplia.</x:v>
      </x:c>
      <x:c r="F19" s="513" t="str">
        <x:v>Reescribe partes de arquitectura, algoritmos, seguridad, ciencia y fabricación.</x:v>
      </x:c>
      <x:c r="G19" s="513" t="str">
        <x:v>Matemática, física, teoría CS, electrónica y experimentación.</x:v>
      </x:c>
      <x:c r="H19" s="513" t="str">
        <x:v>Invertir primero en fundamentos transferibles; especializar solo tras señales de madurez.</x:v>
      </x:c>
      <x:c r="I19" s="513" t="str">
        <x:v>Baja</x:v>
      </x:c>
      <x:c r="J19" s="513" t="str">
        <x:v>S53; S54; S58</x:v>
      </x:c>
    </x:row>
    <x:row r="20" ht="88" customHeight="1">
      <x:c r="A20" s="514" t="str">
        <x:v>Muy largo</x:v>
      </x:c>
      <x:c r="B20" s="514" t="str">
        <x:v>&gt;2045</x:v>
      </x:c>
      <x:c r="C20" s="514" t="str">
        <x:v>Mundo fragmentado y resiliencia de baja dependencia</x:v>
      </x:c>
      <x:c r="D20" s="514" t="str">
        <x:v>Escenario de restricción</x:v>
      </x:c>
      <x:c r="E20" s="514" t="str">
        <x:v>Crisis geopolíticas, climáticas o energéticas reducen integración y disponibilidad tecnológica.</x:v>
      </x:c>
      <x:c r="F20" s="514" t="str">
        <x:v>Cobran valor sistemas reparables, locales, eficientes, abiertos y capaces de operar desconectados.</x:v>
      </x:c>
      <x:c r="G20" s="514" t="str">
        <x:v>Redes, hardware, energía, reparación, seguridad, producción local y cooperación.</x:v>
      </x:c>
      <x:c r="H20" s="514" t="str">
        <x:v>Aprender a construir y mantener sistemas simples, documentados y recuperables.</x:v>
      </x:c>
      <x:c r="I20" s="514" t="str">
        <x:v>Baja-media</x:v>
      </x:c>
      <x:c r="J20" s="514" t="str">
        <x:v>S51; S52; S58</x:v>
      </x:c>
    </x:row>
  </x:sheetData>
  <x:mergeCells>
    <x:mergeCell ref="A1:J1"/>
    <x:mergeCell ref="A2:J2"/>
  </x:mergeCells>
  <x:pageMargins left="0.7" right="0.7" top="0.75" bottom="0.75" header="0.3" footer="0.3"/>
  <x:tableParts count="1">
    <x:tablePart xmlns:r="http://schemas.openxmlformats.org/officeDocument/2006/relationships" r:id="R6fd15e8ac94941f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32" hidden="0" customWidth="1"/>
    <x:col min="4" max="4" width="64" hidden="0" customWidth="1"/>
    <x:col min="5" max="5" width="44" hidden="0" customWidth="1"/>
    <x:col min="6" max="6" width="14" hidden="0" customWidth="1"/>
    <x:col min="7" max="7" width="13" hidden="0" customWidth="1"/>
    <x:col min="8" max="8" width="40" hidden="0" customWidth="1"/>
    <x:col min="9" max="9" width="42" hidden="0" customWidth="1"/>
    <x:col min="10" max="10" width="38" hidden="0" customWidth="1"/>
    <x:col min="11" max="11" width="18" hidden="0" customWidth="1"/>
    <x:col min="12" max="12" width="15" hidden="0" customWidth="1"/>
    <x:col min="13" max="13" width="15" hidden="0" customWidth="1"/>
    <x:col min="14" max="14" width="18" hidden="0" customWidth="1"/>
  </x:cols>
  <x:sheetData>
    <x:row r="1" ht="34" customHeight="1">
      <x:c r="A1" s="4" t="str">
        <x:v>SISTEMA PERMANENTE DE VIGILANCIA</x:v>
      </x:c>
      <x:c r="B1" s="4" t="str">
        <x:v>SISTEMA PERMANENTE DE VIGILANCIA</x:v>
      </x:c>
      <x:c r="C1" s="4" t="str">
        <x:v>SISTEMA PERMANENTE DE VIGILANCIA</x:v>
      </x:c>
      <x:c r="D1" s="4" t="str">
        <x:v>SISTEMA PERMANENTE DE VIGILANCIA</x:v>
      </x:c>
      <x:c r="E1" s="4" t="str">
        <x:v>SISTEMA PERMANENTE DE VIGILANCIA</x:v>
      </x:c>
      <x:c r="F1" s="4" t="str">
        <x:v>SISTEMA PERMANENTE DE VIGILANCIA</x:v>
      </x:c>
      <x:c r="G1" s="4" t="str">
        <x:v>SISTEMA PERMANENTE DE VIGILANCIA</x:v>
      </x:c>
      <x:c r="H1" s="4" t="str">
        <x:v>SISTEMA PERMANENTE DE VIGILANCIA</x:v>
      </x:c>
      <x:c r="I1" s="4" t="str">
        <x:v>SISTEMA PERMANENTE DE VIGILANCIA</x:v>
      </x:c>
      <x:c r="J1" s="4" t="str">
        <x:v>SISTEMA PERMANENTE DE VIGILANCIA</x:v>
      </x:c>
      <x:c r="K1" s="4" t="str">
        <x:v>SISTEMA PERMANENTE DE VIGILANCIA</x:v>
      </x:c>
      <x:c r="L1" s="4" t="str">
        <x:v>SISTEMA PERMANENTE DE VIGILANCIA</x:v>
      </x:c>
      <x:c r="M1" s="4" t="str">
        <x:v>SISTEMA PERMANENTE DE VIGILANCIA</x:v>
      </x:c>
      <x:c r="N1" s="4" t="str">
        <x:v>SISTEMA PERMANENTE DE VIGILANCIA</x:v>
      </x:c>
    </x:row>
    <x:row r="2" ht="30" customHeight="1">
      <x:c r="A2" s="8" t="str">
        <x:v>Rutina para mantener la malla actualizada. Registra solo señales con fuente, evidencia, impacto y una decisión concreta.</x:v>
      </x:c>
      <x:c r="B2" s="8" t="str">
        <x:v>Rutina para mantener la malla actualizada. Registra solo señales con fuente, evidencia, impacto y una decisión concreta.</x:v>
      </x:c>
      <x:c r="C2" s="8" t="str">
        <x:v>Rutina para mantener la malla actualizada. Registra solo señales con fuente, evidencia, impacto y una decisión concreta.</x:v>
      </x:c>
      <x:c r="D2" s="8" t="str">
        <x:v>Rutina para mantener la malla actualizada. Registra solo señales con fuente, evidencia, impacto y una decisión concreta.</x:v>
      </x:c>
      <x:c r="E2" s="8" t="str">
        <x:v>Rutina para mantener la malla actualizada. Registra solo señales con fuente, evidencia, impacto y una decisión concreta.</x:v>
      </x:c>
      <x:c r="F2" s="8" t="str">
        <x:v>Rutina para mantener la malla actualizada. Registra solo señales con fuente, evidencia, impacto y una decisión concreta.</x:v>
      </x:c>
      <x:c r="G2" s="8" t="str">
        <x:v>Rutina para mantener la malla actualizada. Registra solo señales con fuente, evidencia, impacto y una decisión concreta.</x:v>
      </x:c>
      <x:c r="H2" s="8" t="str">
        <x:v>Rutina para mantener la malla actualizada. Registra solo señales con fuente, evidencia, impacto y una decisión concreta.</x:v>
      </x:c>
      <x:c r="I2" s="8" t="str">
        <x:v>Rutina para mantener la malla actualizada. Registra solo señales con fuente, evidencia, impacto y una decisión concreta.</x:v>
      </x:c>
      <x:c r="J2" s="8" t="str">
        <x:v>Rutina para mantener la malla actualizada. Registra solo señales con fuente, evidencia, impacto y una decisión concreta.</x:v>
      </x:c>
      <x:c r="K2" s="8" t="str">
        <x:v>Rutina para mantener la malla actualizada. Registra solo señales con fuente, evidencia, impacto y una decisión concreta.</x:v>
      </x:c>
      <x:c r="L2" s="8" t="str">
        <x:v>Rutina para mantener la malla actualizada. Registra solo señales con fuente, evidencia, impacto y una decisión concreta.</x:v>
      </x:c>
      <x:c r="M2" s="8" t="str">
        <x:v>Rutina para mantener la malla actualizada. Registra solo señales con fuente, evidencia, impacto y una decisión concreta.</x:v>
      </x:c>
      <x:c r="N2" s="8" t="str">
        <x:v>Rutina para mantener la malla actualizada. Registra solo señales con fuente, evidencia, impacto y una decisión concreta.</x:v>
      </x:c>
    </x:row>
    <x:row r="4">
      <x:c r="A4" s="377" t="str">
        <x:v>ID</x:v>
      </x:c>
      <x:c r="B4" s="377" t="str">
        <x:v>Dominio</x:v>
      </x:c>
      <x:c r="C4" s="377" t="str">
        <x:v>Fuente/canal</x:v>
      </x:c>
      <x:c r="D4" s="377" t="str">
        <x:v>URL</x:v>
      </x:c>
      <x:c r="E4" s="377" t="str">
        <x:v>Qué revisar</x:v>
      </x:c>
      <x:c r="F4" s="377" t="str">
        <x:v>Cadencia</x:v>
      </x:c>
      <x:c r="G4" s="377" t="str">
        <x:v>Intervalo días</x:v>
      </x:c>
      <x:c r="H4" s="377" t="str">
        <x:v>Evidencia a capturar</x:v>
      </x:c>
      <x:c r="I4" s="377" t="str">
        <x:v>Disparador</x:v>
      </x:c>
      <x:c r="J4" s="377" t="str">
        <x:v>Salida</x:v>
      </x:c>
      <x:c r="K4" s="377" t="str">
        <x:v>Fuentes</x:v>
      </x:c>
      <x:c r="L4" s="377" t="str">
        <x:v>Última revisión</x:v>
      </x:c>
      <x:c r="M4" s="377" t="str">
        <x:v>Próxima revisión</x:v>
      </x:c>
      <x:c r="N4" s="377" t="str">
        <x:v>Estado</x:v>
      </x:c>
    </x:row>
    <x:row r="5" ht="68" customHeight="1">
      <x:c r="A5" s="429" t="str">
        <x:v>W01</x:v>
      </x:c>
      <x:c r="B5" s="429" t="str">
        <x:v>Ciberseguridad global</x:v>
      </x:c>
      <x:c r="C5" s="429" t="str">
        <x:v>CISA KEV</x:v>
      </x:c>
      <x:c r="D5" s="429" t="str">
        <x:v>https://www.cisa.gov/known-exploited-vulnerabilities-catalog</x:v>
      </x:c>
      <x:c r="E5" s="429" t="str">
        <x:v>Nuevas vulnerabilidades con explotación activa y fechas de remediación.</x:v>
      </x:c>
      <x:c r="F5" s="429" t="str">
        <x:v>Diaria</x:v>
      </x:c>
      <x:c r="G5" s="429" t="n">
        <x:v>1</x:v>
      </x:c>
      <x:c r="H5" s="429" t="str">
        <x:v>CVE, producto, fecha, acción</x:v>
      </x:c>
      <x:c r="I5" s="429" t="str">
        <x:v>Afecta una tecnología que usas o estudias</x:v>
      </x:c>
      <x:c r="J5" s="429" t="str">
        <x:v>Prioridad de parche y laboratorio defensivo</x:v>
      </x:c>
      <x:c r="K5" s="429" t="str">
        <x:v>S65</x:v>
      </x:c>
      <x:c r="L5" s="524" t="n">
        <x:v>46232.666666666664</x:v>
      </x:c>
      <x:c r="M5" s="524" t="n">
        <x:f>L5+G5</x:f>
        <x:v>46233.666666666664</x:v>
      </x:c>
      <x:c r="N5" s="429" t="str">
        <x:v>Pendiente</x:v>
      </x:c>
    </x:row>
    <x:row r="6" ht="68" customHeight="1">
      <x:c r="A6" s="427" t="str">
        <x:v>W02</x:v>
      </x:c>
      <x:c r="B6" s="427" t="str">
        <x:v>Ciberseguridad global</x:v>
      </x:c>
      <x:c r="C6" s="427" t="str">
        <x:v>NIST NVD API</x:v>
      </x:c>
      <x:c r="D6" s="427" t="str">
        <x:v>https://nvd.nist.gov/developers/vulnerabilities</x:v>
      </x:c>
      <x:c r="E6" s="427" t="str">
        <x:v>CVE nuevos/cambiados, CVSS, CWE, CPE y referencias.</x:v>
      </x:c>
      <x:c r="F6" s="427" t="str">
        <x:v>Semanal</x:v>
      </x:c>
      <x:c r="G6" s="427" t="n">
        <x:v>7</x:v>
      </x:c>
      <x:c r="H6" s="427" t="str">
        <x:v>Cambio de severidad, activos y explotabilidad</x:v>
      </x:c>
      <x:c r="I6" s="427" t="str">
        <x:v>CVSS alto o cambio relevante de registro</x:v>
      </x:c>
      <x:c r="J6" s="427" t="str">
        <x:v>Nota técnica y actualización de inventario</x:v>
      </x:c>
      <x:c r="K6" s="427" t="str">
        <x:v>S66</x:v>
      </x:c>
      <x:c r="L6" s="522" t="n">
        <x:v>46232.666666666664</x:v>
      </x:c>
      <x:c r="M6" s="522" t="n">
        <x:f>L6+G6</x:f>
        <x:v>46239.666666666664</x:v>
      </x:c>
      <x:c r="N6" s="427" t="str">
        <x:v>Pendiente</x:v>
      </x:c>
    </x:row>
    <x:row r="7" ht="68" customHeight="1">
      <x:c r="A7" s="430" t="str">
        <x:v>W03</x:v>
      </x:c>
      <x:c r="B7" s="430" t="str">
        <x:v>Ciberseguridad Perú</x:v>
      </x:c>
      <x:c r="C7" s="430" t="str">
        <x:v>CNSD – alertas integradas</x:v>
      </x:c>
      <x:c r="D7" s="430" t="str">
        <x:v>https://www.gob.pe/institucion/pcm/colecciones/791-alerta-integrada-de-seguridad-digital-del-pecert</x:v>
      </x:c>
      <x:c r="E7" s="430" t="str">
        <x:v>Campañas, amenazas y recomendaciones con contexto peruano.</x:v>
      </x:c>
      <x:c r="F7" s="430" t="str">
        <x:v>Diaria</x:v>
      </x:c>
      <x:c r="G7" s="430" t="n">
        <x:v>1</x:v>
      </x:c>
      <x:c r="H7" s="430" t="str">
        <x:v>Amenaza, sector, indicador y mitigación</x:v>
      </x:c>
      <x:c r="I7" s="430" t="str">
        <x:v>Afecta Perú, educación, banca, móvil o proveedores usados</x:v>
      </x:c>
      <x:c r="J7" s="430" t="str">
        <x:v>Alerta local y práctica defensiva</x:v>
      </x:c>
      <x:c r="K7" s="430" t="str">
        <x:v>S70</x:v>
      </x:c>
      <x:c r="L7" s="525" t="n">
        <x:v>46232.666666666664</x:v>
      </x:c>
      <x:c r="M7" s="525" t="n">
        <x:f>L7+G7</x:f>
        <x:v>46233.666666666664</x:v>
      </x:c>
      <x:c r="N7" s="430" t="str">
        <x:v>Pendiente</x:v>
      </x:c>
    </x:row>
    <x:row r="8" ht="68" customHeight="1">
      <x:c r="A8" s="427" t="str">
        <x:v>W04</x:v>
      </x:c>
      <x:c r="B8" s="427" t="str">
        <x:v>IA</x:v>
      </x:c>
      <x:c r="C8" s="427" t="str">
        <x:v>NIST AI Resource Center</x:v>
      </x:c>
      <x:c r="D8" s="427" t="str">
        <x:v>https://airc.nist.gov/</x:v>
      </x:c>
      <x:c r="E8" s="427" t="str">
        <x:v>Perfiles, evaluaciones, riesgos y guías para IA confiable.</x:v>
      </x:c>
      <x:c r="F8" s="427" t="str">
        <x:v>Mensual</x:v>
      </x:c>
      <x:c r="G8" s="427" t="n">
        <x:v>30</x:v>
      </x:c>
      <x:c r="H8" s="427" t="str">
        <x:v>Nuevo perfil, métrica o informe</x:v>
      </x:c>
      <x:c r="I8" s="427" t="str">
        <x:v>Cambia evaluación o control de tus proyectos</x:v>
      </x:c>
      <x:c r="J8" s="427" t="str">
        <x:v>Actualización de checklist de IA</x:v>
      </x:c>
      <x:c r="K8" s="427" t="str">
        <x:v>S55</x:v>
      </x:c>
      <x:c r="L8" s="522" t="n">
        <x:v>46232.666666666664</x:v>
      </x:c>
      <x:c r="M8" s="522" t="n">
        <x:f>L8+G8</x:f>
        <x:v>46262.666666666664</x:v>
      </x:c>
      <x:c r="N8" s="427" t="str">
        <x:v>Pendiente</x:v>
      </x:c>
    </x:row>
    <x:row r="9" ht="68" customHeight="1">
      <x:c r="A9" s="430" t="str">
        <x:v>W05</x:v>
      </x:c>
      <x:c r="B9" s="430" t="str">
        <x:v>Criptografía</x:v>
      </x:c>
      <x:c r="C9" s="430" t="str">
        <x:v>NIST Post-Quantum Cryptography</x:v>
      </x:c>
      <x:c r="D9" s="430" t="str">
        <x:v>https://csrc.nist.gov/projects/post-quantum-cryptography</x:v>
      </x:c>
      <x:c r="E9" s="430" t="str">
        <x:v>Estándares, algoritmos adicionales y guías de transición.</x:v>
      </x:c>
      <x:c r="F9" s="430" t="str">
        <x:v>Trimestral</x:v>
      </x:c>
      <x:c r="G9" s="430" t="n">
        <x:v>90</x:v>
      </x:c>
      <x:c r="H9" s="430" t="str">
        <x:v>FIPS, borrador, transición y proveedor</x:v>
      </x:c>
      <x:c r="I9" s="430" t="str">
        <x:v>Nuevo estándar o fecha de retiro</x:v>
      </x:c>
      <x:c r="J9" s="430" t="str">
        <x:v>Mapa de migración criptográfica</x:v>
      </x:c>
      <x:c r="K9" s="430" t="str">
        <x:v>S56</x:v>
      </x:c>
      <x:c r="L9" s="525" t="n">
        <x:v>46232.666666666664</x:v>
      </x:c>
      <x:c r="M9" s="525" t="n">
        <x:f>L9+G9</x:f>
        <x:v>46322.666666666664</x:v>
      </x:c>
      <x:c r="N9" s="430" t="str">
        <x:v>Pendiente</x:v>
      </x:c>
    </x:row>
    <x:row r="10" ht="68" customHeight="1">
      <x:c r="A10" s="427" t="str">
        <x:v>W06</x:v>
      </x:c>
      <x:c r="B10" s="427" t="str">
        <x:v>Redes</x:v>
      </x:c>
      <x:c r="C10" s="427" t="str">
        <x:v>ITU IMT-2030</x:v>
      </x:c>
      <x:c r="D10" s="427" t="str">
        <x:v>https://www.itu.int/en/ITU-R/study-groups/rsg5/rwp5d/imt-2030/pages/default.aspx</x:v>
      </x:c>
      <x:c r="E10" s="427" t="str">
        <x:v>Requisitos, evaluación, propuestas y calendario de 6G.</x:v>
      </x:c>
      <x:c r="F10" s="427" t="str">
        <x:v>Trimestral</x:v>
      </x:c>
      <x:c r="G10" s="427" t="n">
        <x:v>90</x:v>
      </x:c>
      <x:c r="H10" s="427" t="str">
        <x:v>Recomendación, hito y capacidad</x:v>
      </x:c>
      <x:c r="I10" s="427" t="str">
        <x:v>Cambio del proceso o piloto verificable</x:v>
      </x:c>
      <x:c r="J10" s="427" t="str">
        <x:v>Actualización de radar 6G</x:v>
      </x:c>
      <x:c r="K10" s="427" t="str">
        <x:v>S57</x:v>
      </x:c>
      <x:c r="L10" s="522" t="n">
        <x:v>46232.666666666664</x:v>
      </x:c>
      <x:c r="M10" s="522" t="n">
        <x:f>L10+G10</x:f>
        <x:v>46322.666666666664</x:v>
      </x:c>
      <x:c r="N10" s="427" t="str">
        <x:v>Pendiente</x:v>
      </x:c>
    </x:row>
    <x:row r="11" ht="68" customHeight="1">
      <x:c r="A11" s="430" t="str">
        <x:v>W07</x:v>
      </x:c>
      <x:c r="B11" s="430" t="str">
        <x:v>Hardware</x:v>
      </x:c>
      <x:c r="C11" s="430" t="str">
        <x:v>IEEE IRDS</x:v>
      </x:c>
      <x:c r="D11" s="430" t="str">
        <x:v>https://irds.ieee.org/</x:v>
      </x:c>
      <x:c r="E11" s="430" t="str">
        <x:v>Roadmaps de dispositivos, sistemas, empaquetado, conectividad y autonomía.</x:v>
      </x:c>
      <x:c r="F11" s="430" t="str">
        <x:v>Anual</x:v>
      </x:c>
      <x:c r="G11" s="430" t="n">
        <x:v>365</x:v>
      </x:c>
      <x:c r="H11" s="430" t="str">
        <x:v>Cuello de botella, fecha y métrica</x:v>
      </x:c>
      <x:c r="I11" s="430" t="str">
        <x:v>Cambio de horizonte o madurez</x:v>
      </x:c>
      <x:c r="J11" s="430" t="str">
        <x:v>Revisión de ruta de arquitectura</x:v>
      </x:c>
      <x:c r="K11" s="430" t="str">
        <x:v>S58</x:v>
      </x:c>
      <x:c r="L11" s="525" t="n">
        <x:v>46232.666666666664</x:v>
      </x:c>
      <x:c r="M11" s="525" t="n">
        <x:f>L11+G11</x:f>
        <x:v>46597.666666666664</x:v>
      </x:c>
      <x:c r="N11" s="430" t="str">
        <x:v>Pendiente</x:v>
      </x:c>
    </x:row>
    <x:row r="12" ht="68" customHeight="1">
      <x:c r="A12" s="427" t="str">
        <x:v>W08</x:v>
      </x:c>
      <x:c r="B12" s="427" t="str">
        <x:v>Madurez tecnológica</x:v>
      </x:c>
      <x:c r="C12" s="427" t="str">
        <x:v>NASA TRL</x:v>
      </x:c>
      <x:c r="D12" s="427" t="str">
        <x:v>https://www.nasa.gov/directorates/somd/space-communications-navigation-program/technology-readiness-levels/</x:v>
      </x:c>
      <x:c r="E12" s="427" t="str">
        <x:v>Criterios TRL para no confundir demostración con producto maduro.</x:v>
      </x:c>
      <x:c r="F12" s="427" t="str">
        <x:v>Semestral</x:v>
      </x:c>
      <x:c r="G12" s="427" t="n">
        <x:v>180</x:v>
      </x:c>
      <x:c r="H12" s="427" t="str">
        <x:v>TRL declarado y evidencia de salida</x:v>
      </x:c>
      <x:c r="I12" s="427" t="str">
        <x:v>Tecnología del radar cambia de nivel</x:v>
      </x:c>
      <x:c r="J12" s="427" t="str">
        <x:v>Reclasificación del radar</x:v>
      </x:c>
      <x:c r="K12" s="427" t="str">
        <x:v>S53</x:v>
      </x:c>
      <x:c r="L12" s="522" t="n">
        <x:v>46232.666666666664</x:v>
      </x:c>
      <x:c r="M12" s="522" t="n">
        <x:f>L12+G12</x:f>
        <x:v>46412.666666666664</x:v>
      </x:c>
      <x:c r="N12" s="427" t="str">
        <x:v>Pendiente</x:v>
      </x:c>
    </x:row>
    <x:row r="13" ht="68" customHeight="1">
      <x:c r="A13" s="430" t="str">
        <x:v>W09</x:v>
      </x:c>
      <x:c r="B13" s="430" t="str">
        <x:v>Prospectiva</x:v>
      </x:c>
      <x:c r="C13" s="430" t="str">
        <x:v>JRC Strategic Foresight</x:v>
      </x:c>
      <x:c r="D13" s="430" t="str">
        <x:v>https://joint-research-centre.ec.europa.eu/strategic-foresight-eu_en</x:v>
      </x:c>
      <x:c r="E13" s="430" t="str">
        <x:v>Escenarios, megatendencias y métodos de prospectiva.</x:v>
      </x:c>
      <x:c r="F13" s="430" t="str">
        <x:v>Trimestral</x:v>
      </x:c>
      <x:c r="G13" s="430" t="n">
        <x:v>90</x:v>
      </x:c>
      <x:c r="H13" s="430" t="str">
        <x:v>Driver, escenario, incertidumbre</x:v>
      </x:c>
      <x:c r="I13" s="430" t="str">
        <x:v>Nueva discontinuidad o supuesto</x:v>
      </x:c>
      <x:c r="J13" s="430" t="str">
        <x:v>Actualización de escenarios</x:v>
      </x:c>
      <x:c r="K13" s="430" t="str">
        <x:v>S51</x:v>
      </x:c>
      <x:c r="L13" s="525" t="n">
        <x:v>46232.666666666664</x:v>
      </x:c>
      <x:c r="M13" s="525" t="n">
        <x:f>L13+G13</x:f>
        <x:v>46322.666666666664</x:v>
      </x:c>
      <x:c r="N13" s="430" t="str">
        <x:v>Pendiente</x:v>
      </x:c>
    </x:row>
    <x:row r="14" ht="68" customHeight="1">
      <x:c r="A14" s="427" t="str">
        <x:v>W10</x:v>
      </x:c>
      <x:c r="B14" s="427" t="str">
        <x:v>Prospectiva</x:v>
      </x:c>
      <x:c r="C14" s="427" t="str">
        <x:v>OECD STI Outlook</x:v>
      </x:c>
      <x:c r="D14" s="427" t="str">
        <x:v>https://www.oecd.org/en/publications/oecd-science-technology-and-innovation-outlook_25186167.html</x:v>
      </x:c>
      <x:c r="E14" s="427" t="str">
        <x:v>Cambios globales en ciencia, innovación y convergencia tecnológica.</x:v>
      </x:c>
      <x:c r="F14" s="427" t="str">
        <x:v>Anual</x:v>
      </x:c>
      <x:c r="G14" s="427" t="n">
        <x:v>365</x:v>
      </x:c>
      <x:c r="H14" s="427" t="str">
        <x:v>Tendencia, país, sector y evidencia</x:v>
      </x:c>
      <x:c r="I14" s="427" t="str">
        <x:v>Cambia política, inversión o cooperación</x:v>
      </x:c>
      <x:c r="J14" s="427" t="str">
        <x:v>Revisión estratégica anual</x:v>
      </x:c>
      <x:c r="K14" s="427" t="str">
        <x:v>S52</x:v>
      </x:c>
      <x:c r="L14" s="522" t="n">
        <x:v>46232.666666666664</x:v>
      </x:c>
      <x:c r="M14" s="522" t="n">
        <x:f>L14+G14</x:f>
        <x:v>46597.666666666664</x:v>
      </x:c>
      <x:c r="N14" s="427" t="str">
        <x:v>Pendiente</x:v>
      </x:c>
    </x:row>
    <x:row r="15" ht="68" customHeight="1">
      <x:c r="A15" s="430" t="str">
        <x:v>W11</x:v>
      </x:c>
      <x:c r="B15" s="430" t="str">
        <x:v>Investigación</x:v>
      </x:c>
      <x:c r="C15" s="430" t="str">
        <x:v>arXiv CS y API</x:v>
      </x:c>
      <x:c r="D15" s="430" t="str">
        <x:v>https://arxiv.org/category_taxonomy</x:v>
      </x:c>
      <x:c r="E15" s="430" t="str">
        <x:v>Preprints por categorías relevantes: cs.AI, cs.LG, cs.RO, cs.CR, cs.AR y otras.</x:v>
      </x:c>
      <x:c r="F15" s="430" t="str">
        <x:v>Semanal</x:v>
      </x:c>
      <x:c r="G15" s="430" t="n">
        <x:v>7</x:v>
      </x:c>
      <x:c r="H15" s="430" t="str">
        <x:v>Título, método, benchmark, limitación</x:v>
      </x:c>
      <x:c r="I15" s="430" t="str">
        <x:v>Tres grupos independientes muestran avance comparable</x:v>
      </x:c>
      <x:c r="J15" s="430" t="str">
        <x:v>Ficha de lectura; no elevar a tendencia por un solo paper</x:v>
      </x:c>
      <x:c r="K15" s="430" t="str">
        <x:v>S63</x:v>
      </x:c>
      <x:c r="L15" s="525" t="n">
        <x:v>46232.666666666664</x:v>
      </x:c>
      <x:c r="M15" s="525" t="n">
        <x:f>L15+G15</x:f>
        <x:v>46239.666666666664</x:v>
      </x:c>
      <x:c r="N15" s="430" t="str">
        <x:v>Pendiente</x:v>
      </x:c>
    </x:row>
    <x:row r="16" ht="68" customHeight="1">
      <x:c r="A16" s="427" t="str">
        <x:v>W12</x:v>
      </x:c>
      <x:c r="B16" s="427" t="str">
        <x:v>Investigación</x:v>
      </x:c>
      <x:c r="C16" s="427" t="str">
        <x:v>Crossref REST API</x:v>
      </x:c>
      <x:c r="D16" s="427" t="str">
        <x:v>https://www.crossref.org/documentation/retrieve-metadata/rest-api/</x:v>
      </x:c>
      <x:c r="E16" s="427" t="str">
        <x:v>Metadatos, DOI, publicaciones y seguimiento de literatura revisada.</x:v>
      </x:c>
      <x:c r="F16" s="427" t="str">
        <x:v>Mensual</x:v>
      </x:c>
      <x:c r="G16" s="427" t="n">
        <x:v>30</x:v>
      </x:c>
      <x:c r="H16" s="427" t="str">
        <x:v>DOI, revista, fecha, citas y replicación</x:v>
      </x:c>
      <x:c r="I16" s="427" t="str">
        <x:v>Revisión sistemática o consenso nuevo</x:v>
      </x:c>
      <x:c r="J16" s="427" t="str">
        <x:v>Bibliografía anotada</x:v>
      </x:c>
      <x:c r="K16" s="427" t="str">
        <x:v>S64</x:v>
      </x:c>
      <x:c r="L16" s="522" t="n">
        <x:v>46232.666666666664</x:v>
      </x:c>
      <x:c r="M16" s="522" t="n">
        <x:f>L16+G16</x:f>
        <x:v>46262.666666666664</x:v>
      </x:c>
      <x:c r="N16" s="427" t="str">
        <x:v>Pendiente</x:v>
      </x:c>
    </x:row>
    <x:row r="17" ht="68" customHeight="1">
      <x:c r="A17" s="430" t="str">
        <x:v>W13</x:v>
      </x:c>
      <x:c r="B17" s="430" t="str">
        <x:v>Investigación Perú</x:v>
      </x:c>
      <x:c r="C17" s="430" t="str">
        <x:v>CONCYTEC ALICIA</x:v>
      </x:c>
      <x:c r="D17" s="430" t="str">
        <x:v>https://alicia.concytec.gob.pe/vufind/</x:v>
      </x:c>
      <x:c r="E17" s="430" t="str">
        <x:v>Tesis, artículos y producción tecnológica peruana.</x:v>
      </x:c>
      <x:c r="F17" s="430" t="str">
        <x:v>Mensual</x:v>
      </x:c>
      <x:c r="G17" s="430" t="n">
        <x:v>30</x:v>
      </x:c>
      <x:c r="H17" s="430" t="str">
        <x:v>Institución, tema, método y acceso</x:v>
      </x:c>
      <x:c r="I17" s="430" t="str">
        <x:v>Trabajo relevante al contexto nacional</x:v>
      </x:c>
      <x:c r="J17" s="430" t="str">
        <x:v>Mapa de expertos y proyectos Perú</x:v>
      </x:c>
      <x:c r="K17" s="430" t="str">
        <x:v>S69</x:v>
      </x:c>
      <x:c r="L17" s="525" t="n">
        <x:v>46232.666666666664</x:v>
      </x:c>
      <x:c r="M17" s="525" t="n">
        <x:f>L17+G17</x:f>
        <x:v>46262.666666666664</x:v>
      </x:c>
      <x:c r="N17" s="430" t="str">
        <x:v>Pendiente</x:v>
      </x:c>
    </x:row>
    <x:row r="18" ht="68" customHeight="1">
      <x:c r="A18" s="427" t="str">
        <x:v>W14</x:v>
      </x:c>
      <x:c r="B18" s="427" t="str">
        <x:v>Patentes globales</x:v>
      </x:c>
      <x:c r="C18" s="427" t="str">
        <x:v>WIPO PATENTSCOPE</x:v>
      </x:c>
      <x:c r="D18" s="427" t="str">
        <x:v>https://www.wipo.int/en/web/patentscope</x:v>
      </x:c>
      <x:c r="E18" s="427" t="str">
        <x:v>Familias PCT, solicitantes, clasificación y tendencias de patentes.</x:v>
      </x:c>
      <x:c r="F18" s="427" t="str">
        <x:v>Trimestral</x:v>
      </x:c>
      <x:c r="G18" s="427" t="n">
        <x:v>90</x:v>
      </x:c>
      <x:c r="H18" s="427" t="str">
        <x:v>Familia, IPC, solicitante y prioridad</x:v>
      </x:c>
      <x:c r="I18" s="427" t="str">
        <x:v>Crecimiento sostenido y múltiples actores</x:v>
      </x:c>
      <x:c r="J18" s="427" t="str">
        <x:v>Landscape de patentes</x:v>
      </x:c>
      <x:c r="K18" s="427" t="str">
        <x:v>S62</x:v>
      </x:c>
      <x:c r="L18" s="522" t="n">
        <x:v>46232.666666666664</x:v>
      </x:c>
      <x:c r="M18" s="522" t="n">
        <x:f>L18+G18</x:f>
        <x:v>46322.666666666664</x:v>
      </x:c>
      <x:c r="N18" s="427" t="str">
        <x:v>Pendiente</x:v>
      </x:c>
    </x:row>
    <x:row r="19" ht="68" customHeight="1">
      <x:c r="A19" s="430" t="str">
        <x:v>W15</x:v>
      </x:c>
      <x:c r="B19" s="430" t="str">
        <x:v>Patentes EE. UU.</x:v>
      </x:c>
      <x:c r="C19" s="430" t="str">
        <x:v>USPTO Patent Public Search</x:v>
      </x:c>
      <x:c r="D19" s="430" t="str">
        <x:v>https://www.uspto.gov/patents/search/patent-public-search</x:v>
      </x:c>
      <x:c r="E19" s="430" t="str">
        <x:v>Patentes y solicitudes por palabras, campos y clasificación.</x:v>
      </x:c>
      <x:c r="F19" s="430" t="str">
        <x:v>Trimestral</x:v>
      </x:c>
      <x:c r="G19" s="430" t="n">
        <x:v>90</x:v>
      </x:c>
      <x:c r="H19" s="430" t="str">
        <x:v>Documento, claims, citas y familia</x:v>
      </x:c>
      <x:c r="I19" s="430" t="str">
        <x:v>Patente con implementación o licenciamiento</x:v>
      </x:c>
      <x:c r="J19" s="430" t="str">
        <x:v>Ficha de inteligencia técnica</x:v>
      </x:c>
      <x:c r="K19" s="430" t="str">
        <x:v>S61</x:v>
      </x:c>
      <x:c r="L19" s="525" t="n">
        <x:v>46232.666666666664</x:v>
      </x:c>
      <x:c r="M19" s="525" t="n">
        <x:f>L19+G19</x:f>
        <x:v>46322.666666666664</x:v>
      </x:c>
      <x:c r="N19" s="430" t="str">
        <x:v>Pendiente</x:v>
      </x:c>
    </x:row>
    <x:row r="20" ht="68" customHeight="1">
      <x:c r="A20" s="427" t="str">
        <x:v>W16</x:v>
      </x:c>
      <x:c r="B20" s="427" t="str">
        <x:v>Patentes Perú</x:v>
      </x:c>
      <x:c r="C20" s="427" t="str">
        <x:v>INDECOPI Gaceta</x:v>
      </x:c>
      <x:c r="D20" s="427" t="str">
        <x:v>https://pi.indecopi.gob.pe/gaceta/</x:v>
      </x:c>
      <x:c r="E20" s="427" t="str">
        <x:v>Solicitudes de patentes, modelos de utilidad, diseños y circuitos integrados.</x:v>
      </x:c>
      <x:c r="F20" s="427" t="str">
        <x:v>Mensual</x:v>
      </x:c>
      <x:c r="G20" s="427" t="n">
        <x:v>30</x:v>
      </x:c>
      <x:c r="H20" s="427" t="str">
        <x:v>Solicitante, tecnología, estado</x:v>
      </x:c>
      <x:c r="I20" s="427" t="str">
        <x:v>Actividad local relevante</x:v>
      </x:c>
      <x:c r="J20" s="427" t="str">
        <x:v>Mapa de innovación peruana</x:v>
      </x:c>
      <x:c r="K20" s="427" t="str">
        <x:v>S72</x:v>
      </x:c>
      <x:c r="L20" s="522" t="n">
        <x:v>46232.666666666664</x:v>
      </x:c>
      <x:c r="M20" s="522" t="n">
        <x:f>L20+G20</x:f>
        <x:v>46262.666666666664</x:v>
      </x:c>
      <x:c r="N20" s="427" t="str">
        <x:v>Pendiente</x:v>
      </x:c>
    </x:row>
    <x:row r="21" ht="68" customHeight="1">
      <x:c r="A21" s="430" t="str">
        <x:v>W17</x:v>
      </x:c>
      <x:c r="B21" s="430" t="str">
        <x:v>Estándares Internet</x:v>
      </x:c>
      <x:c r="C21" s="430" t="str">
        <x:v>IETF Datatracker</x:v>
      </x:c>
      <x:c r="D21" s="430" t="str">
        <x:v>https://datatracker.ietf.org/</x:v>
      </x:c>
      <x:c r="E21" s="430" t="str">
        <x:v>Internet-Drafts, grupos de trabajo, RFC y estado de protocolos.</x:v>
      </x:c>
      <x:c r="F21" s="430" t="str">
        <x:v>Semanal</x:v>
      </x:c>
      <x:c r="G21" s="430" t="n">
        <x:v>7</x:v>
      </x:c>
      <x:c r="H21" s="430" t="str">
        <x:v>Draft/RFC, estado, WG y cambios</x:v>
      </x:c>
      <x:c r="I21" s="430" t="str">
        <x:v>Pasa a Last Call, RFC o afecta tu stack</x:v>
      </x:c>
      <x:c r="J21" s="430" t="str">
        <x:v>Laboratorio de protocolo y nota</x:v>
      </x:c>
      <x:c r="K21" s="430" t="str">
        <x:v>S67</x:v>
      </x:c>
      <x:c r="L21" s="525" t="n">
        <x:v>46232.666666666664</x:v>
      </x:c>
      <x:c r="M21" s="525" t="n">
        <x:f>L21+G21</x:f>
        <x:v>46239.666666666664</x:v>
      </x:c>
      <x:c r="N21" s="430" t="str">
        <x:v>Pendiente</x:v>
      </x:c>
    </x:row>
    <x:row r="22" ht="68" customHeight="1">
      <x:c r="A22" s="427" t="str">
        <x:v>W18</x:v>
      </x:c>
      <x:c r="B22" s="427" t="str">
        <x:v>Estándares Web</x:v>
      </x:c>
      <x:c r="C22" s="427" t="str">
        <x:v>W3C Standards and Drafts</x:v>
      </x:c>
      <x:c r="D22" s="427" t="str">
        <x:v>https://www.w3.org/TR/</x:v>
      </x:c>
      <x:c r="E22" s="427" t="str">
        <x:v>Working Drafts, Candidate Recommendations y Recommendations.</x:v>
      </x:c>
      <x:c r="F22" s="427" t="str">
        <x:v>Mensual</x:v>
      </x:c>
      <x:c r="G22" s="427" t="n">
        <x:v>30</x:v>
      </x:c>
      <x:c r="H22" s="427" t="str">
        <x:v>Especificación, madurez y compatibilidad</x:v>
      </x:c>
      <x:c r="I22" s="427" t="str">
        <x:v>Cambio de estado o soporte amplio</x:v>
      </x:c>
      <x:c r="J22" s="427" t="str">
        <x:v>Prototipo web y actualización de curso</x:v>
      </x:c>
      <x:c r="K22" s="427" t="str">
        <x:v>S68</x:v>
      </x:c>
      <x:c r="L22" s="522" t="n">
        <x:v>46232.666666666664</x:v>
      </x:c>
      <x:c r="M22" s="522" t="n">
        <x:f>L22+G22</x:f>
        <x:v>46262.666666666664</x:v>
      </x:c>
      <x:c r="N22" s="427" t="str">
        <x:v>Pendiente</x:v>
      </x:c>
    </x:row>
    <x:row r="23" ht="68" customHeight="1">
      <x:c r="A23" s="430" t="str">
        <x:v>W19</x:v>
      </x:c>
      <x:c r="B23" s="430" t="str">
        <x:v>Currículos</x:v>
      </x:c>
      <x:c r="C23" s="430" t="str">
        <x:v>ACM Curricula Recommendations</x:v>
      </x:c>
      <x:c r="D23" s="430" t="str">
        <x:v>https://www.acm.org/education/curricula-recommendations</x:v>
      </x:c>
      <x:c r="E23" s="430" t="str">
        <x:v>Nuevos marcos, revisiones y competencias por disciplina.</x:v>
      </x:c>
      <x:c r="F23" s="430" t="str">
        <x:v>Semestral</x:v>
      </x:c>
      <x:c r="G23" s="430" t="n">
        <x:v>180</x:v>
      </x:c>
      <x:c r="H23" s="430" t="str">
        <x:v>Versión, área y resultado de aprendizaje</x:v>
      </x:c>
      <x:c r="I23" s="430" t="str">
        <x:v>Nueva edición o cambio de núcleo</x:v>
      </x:c>
      <x:c r="J23" s="430" t="str">
        <x:v>Cambio propuesto de malla</x:v>
      </x:c>
      <x:c r="K23" s="430" t="str">
        <x:v>S01; S02; S05</x:v>
      </x:c>
      <x:c r="L23" s="525" t="n">
        <x:v>46232.666666666664</x:v>
      </x:c>
      <x:c r="M23" s="525" t="n">
        <x:f>L23+G23</x:f>
        <x:v>46412.666666666664</x:v>
      </x:c>
      <x:c r="N23" s="430" t="str">
        <x:v>Pendiente</x:v>
      </x:c>
    </x:row>
    <x:row r="24" ht="68" customHeight="1">
      <x:c r="A24" s="427" t="str">
        <x:v>W20</x:v>
      </x:c>
      <x:c r="B24" s="427" t="str">
        <x:v>Acreditación</x:v>
      </x:c>
      <x:c r="C24" s="427" t="str">
        <x:v>ABET Criteria</x:v>
      </x:c>
      <x:c r="D24" s="427" t="str">
        <x:v>https://www.abet.org/accreditation/accreditation-criteria/</x:v>
      </x:c>
      <x:c r="E24" s="427" t="str">
        <x:v>Criterios de computación, ingeniería y tecnología.</x:v>
      </x:c>
      <x:c r="F24" s="427" t="str">
        <x:v>Anual</x:v>
      </x:c>
      <x:c r="G24" s="427" t="n">
        <x:v>365</x:v>
      </x:c>
      <x:c r="H24" s="427" t="str">
        <x:v>Criterio, ciclo y cambio</x:v>
      </x:c>
      <x:c r="I24" s="427" t="str">
        <x:v>Cambio en resultados o cobertura</x:v>
      </x:c>
      <x:c r="J24" s="427" t="str">
        <x:v>Revisión de resultados de aprendizaje</x:v>
      </x:c>
      <x:c r="K24" s="427" t="str">
        <x:v>S03; S04; S48</x:v>
      </x:c>
      <x:c r="L24" s="522" t="n">
        <x:v>46232.666666666664</x:v>
      </x:c>
      <x:c r="M24" s="522" t="n">
        <x:f>L24+G24</x:f>
        <x:v>46597.666666666664</x:v>
      </x:c>
      <x:c r="N24" s="427" t="str">
        <x:v>Pendiente</x:v>
      </x:c>
    </x:row>
    <x:row r="25" ht="68" customHeight="1">
      <x:c r="A25" s="430" t="str">
        <x:v>W21</x:v>
      </x:c>
      <x:c r="B25" s="430" t="str">
        <x:v>Universidades</x:v>
      </x:c>
      <x:c r="C25" s="430" t="str">
        <x:v>Panel mundial de 150 instituciones</x:v>
      </x:c>
      <x:c r="D25" s="430" t="str">
        <x:v>https://www.topuniversities.com/university-subject-rankings/computer-science-information-systems</x:v>
      </x:c>
      <x:c r="E25" s="430" t="str">
        <x:v>Cambios en planes, nuevos tracks, prerrequisitos y capstones.</x:v>
      </x:c>
      <x:c r="F25" s="430" t="str">
        <x:v>Anual</x:v>
      </x:c>
      <x:c r="G25" s="430" t="n">
        <x:v>365</x:v>
      </x:c>
      <x:c r="H25" s="430" t="str">
        <x:v>Institución, curso, requisito y fecha</x:v>
      </x:c>
      <x:c r="I25" s="430" t="str">
        <x:v>Aparece en varias anclas o marco oficial</x:v>
      </x:c>
      <x:c r="J25" s="430" t="str">
        <x:v>Deduplicación y actualización de Cursos</x:v>
      </x:c>
      <x:c r="K25" s="430" t="str">
        <x:v>S09; S10; S11; S12; S13; S14; S15; S16; S17; S18; S19; S20; S21; S22; S23</x:v>
      </x:c>
      <x:c r="L25" s="525" t="n">
        <x:v>46232.666666666664</x:v>
      </x:c>
      <x:c r="M25" s="525" t="n">
        <x:f>L25+G25</x:f>
        <x:v>46597.666666666664</x:v>
      </x:c>
      <x:c r="N25" s="430" t="str">
        <x:v>Pendiente</x:v>
      </x:c>
    </x:row>
    <x:row r="26" ht="68" customHeight="1">
      <x:c r="A26" s="427" t="str">
        <x:v>W22</x:v>
      </x:c>
      <x:c r="B26" s="427" t="str">
        <x:v>Nube y redes</x:v>
      </x:c>
      <x:c r="C26" s="427" t="str">
        <x:v>Guías oficiales AWS, Azure, Cisco, Red Hat y Linux Foundation</x:v>
      </x:c>
      <x:c r="D26" s="427" t="str">
        <x:v>https://docs.aws.amazon.com/aws-certification/latest/examguides/aws-certification-exam-guides.html</x:v>
      </x:c>
      <x:c r="E26" s="427" t="str">
        <x:v>Cambios de servicios, objetivos, versiones y habilidades operativas.</x:v>
      </x:c>
      <x:c r="F26" s="427" t="str">
        <x:v>Trimestral</x:v>
      </x:c>
      <x:c r="G26" s="427" t="n">
        <x:v>90</x:v>
      </x:c>
      <x:c r="H26" s="427" t="str">
        <x:v>Objetivo, versión y servicio</x:v>
      </x:c>
      <x:c r="I26" s="427" t="str">
        <x:v>Cambio mayor de arquitectura o examen</x:v>
      </x:c>
      <x:c r="J26" s="427" t="str">
        <x:v>Actualizar laboratorios de infraestructura</x:v>
      </x:c>
      <x:c r="K26" s="427" t="str">
        <x:v>S27; S28; S29; S30; S31</x:v>
      </x:c>
      <x:c r="L26" s="522" t="n">
        <x:v>46232.666666666664</x:v>
      </x:c>
      <x:c r="M26" s="522" t="n">
        <x:f>L26+G26</x:f>
        <x:v>46322.666666666664</x:v>
      </x:c>
      <x:c r="N26" s="427" t="str">
        <x:v>Pendiente</x:v>
      </x:c>
    </x:row>
    <x:row r="27" ht="68" customHeight="1">
      <x:c r="A27" s="430" t="str">
        <x:v>W23</x:v>
      </x:c>
      <x:c r="B27" s="430" t="str">
        <x:v>Reparación</x:v>
      </x:c>
      <x:c r="C27" s="430" t="str">
        <x:v>Manuales y programas oficiales de reparación</x:v>
      </x:c>
      <x:c r="D27" s="430" t="str">
        <x:v>https://support.apple.com/self-service-repair</x:v>
      </x:c>
      <x:c r="E27" s="430" t="str">
        <x:v>Modelos soportados, seguridad, piezas, herramientas y procedimientos.</x:v>
      </x:c>
      <x:c r="F27" s="430" t="str">
        <x:v>Trimestral</x:v>
      </x:c>
      <x:c r="G27" s="430" t="n">
        <x:v>90</x:v>
      </x:c>
      <x:c r="H27" s="430" t="str">
        <x:v>Modelo, manual, pieza y precaución</x:v>
      </x:c>
      <x:c r="I27" s="430" t="str">
        <x:v>Nuevo diseño o procedimiento</x:v>
      </x:c>
      <x:c r="J27" s="430" t="str">
        <x:v>Actualizar banco de prácticas</x:v>
      </x:c>
      <x:c r="K27" s="430" t="str">
        <x:v>S47; S48</x:v>
      </x:c>
      <x:c r="L27" s="525" t="n">
        <x:v>46232.666666666664</x:v>
      </x:c>
      <x:c r="M27" s="525" t="n">
        <x:f>L27+G27</x:f>
        <x:v>46322.666666666664</x:v>
      </x:c>
      <x:c r="N27" s="430" t="str">
        <x:v>Pendiente</x:v>
      </x:c>
    </x:row>
    <x:row r="28" ht="68" customHeight="1">
      <x:c r="A28" s="428" t="str">
        <x:v>W24</x:v>
      </x:c>
      <x:c r="B28" s="428" t="str">
        <x:v>Derecho digital Perú</x:v>
      </x:c>
      <x:c r="C28" s="428" t="str">
        <x:v>ANPD</x:v>
      </x:c>
      <x:c r="D28" s="428" t="str">
        <x:v>https://www.gob.pe/autoridad-nacional-de-proteccion-de-datos-personales</x:v>
      </x:c>
      <x:c r="E28" s="428" t="str">
        <x:v>Normativa, reglamento, criterios, sanciones y guías de datos personales.</x:v>
      </x:c>
      <x:c r="F28" s="428" t="str">
        <x:v>Mensual</x:v>
      </x:c>
      <x:c r="G28" s="428" t="n">
        <x:v>30</x:v>
      </x:c>
      <x:c r="H28" s="428" t="str">
        <x:v>Norma, criterio, fecha e impacto</x:v>
      </x:c>
      <x:c r="I28" s="428" t="str">
        <x:v>Cambia obligación para datos o IA</x:v>
      </x:c>
      <x:c r="J28" s="428" t="str">
        <x:v>Actualizar checklist legal</x:v>
      </x:c>
      <x:c r="K28" s="428" t="str">
        <x:v>S71</x:v>
      </x:c>
      <x:c r="L28" s="523" t="n">
        <x:v>46232.666666666664</x:v>
      </x:c>
      <x:c r="M28" s="523" t="n">
        <x:f>L28+G28</x:f>
        <x:v>46262.666666666664</x:v>
      </x:c>
      <x:c r="N28" s="428" t="str">
        <x:v>Pendiente</x:v>
      </x:c>
    </x:row>
  </x:sheetData>
  <x:mergeCells>
    <x:mergeCell ref="A1:N1"/>
    <x:mergeCell ref="A2:N2"/>
  </x:mergeCells>
  <x:conditionalFormatting sqref="N5:N28">
    <x:cfRule type="containsText" dxfId="13" priority="1" operator="containsText" text="Acción requerida"/>
    <x:cfRule type="containsText" dxfId="14" priority="2" operator="containsText" text="Revisado"/>
  </x:conditionalFormatting>
  <x:dataValidations count="1">
    <x:dataValidation type="list" sqref="N5:N28">
      <x:formula1>"Pendiente,Revisado,Acción requerida,Sin cambios"</x:formula1>
    </x:dataValidation>
  </x:dataValidations>
  <x:pageMargins left="0.7" right="0.7" top="0.75" bottom="0.75" header="0.3" footer="0.3"/>
  <x:tableParts count="1">
    <x:tablePart xmlns:r="http://schemas.openxmlformats.org/officeDocument/2006/relationships" r:id="R91cf6b0b076d4ed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2" hidden="0" customWidth="1"/>
    <x:col min="4" max="4" width="50" hidden="0" customWidth="1"/>
    <x:col min="5" max="5" width="30" hidden="0" customWidth="1"/>
    <x:col min="6" max="6" width="23" hidden="0" customWidth="1"/>
    <x:col min="7" max="7" width="18" hidden="0" customWidth="1"/>
    <x:col min="8" max="8" width="48" hidden="0" customWidth="1"/>
    <x:col min="9" max="9" width="16" hidden="0" customWidth="1"/>
    <x:col min="10" max="10" width="50" hidden="0" customWidth="1"/>
    <x:col min="11" max="11" width="16" hidden="0" customWidth="1"/>
  </x:cols>
  <x:sheetData>
    <x:row r="1" ht="34" customHeight="1">
      <x:c r="A1" s="4" t="str">
        <x:v>BITÁCORA DE SEÑALES Y DECISIONES</x:v>
      </x:c>
      <x:c r="B1" s="4" t="str">
        <x:v>BITÁCORA DE SEÑALES Y DECISIONES</x:v>
      </x:c>
      <x:c r="C1" s="4" t="str">
        <x:v>BITÁCORA DE SEÑALES Y DECISIONES</x:v>
      </x:c>
      <x:c r="D1" s="4" t="str">
        <x:v>BITÁCORA DE SEÑALES Y DECISIONES</x:v>
      </x:c>
      <x:c r="E1" s="4" t="str">
        <x:v>BITÁCORA DE SEÑALES Y DECISIONES</x:v>
      </x:c>
      <x:c r="F1" s="4" t="str">
        <x:v>BITÁCORA DE SEÑALES Y DECISIONES</x:v>
      </x:c>
      <x:c r="G1" s="4" t="str">
        <x:v>BITÁCORA DE SEÑALES Y DECISIONES</x:v>
      </x:c>
      <x:c r="H1" s="4" t="str">
        <x:v>BITÁCORA DE SEÑALES Y DECISIONES</x:v>
      </x:c>
      <x:c r="I1" s="4" t="str">
        <x:v>BITÁCORA DE SEÑALES Y DECISIONES</x:v>
      </x:c>
      <x:c r="J1" s="4" t="str">
        <x:v>BITÁCORA DE SEÑALES Y DECISIONES</x:v>
      </x:c>
      <x:c r="K1" s="4" t="str">
        <x:v>BITÁCORA DE SEÑALES Y DECISIONES</x:v>
      </x:c>
    </x:row>
    <x:row r="2" ht="30" customHeight="1">
      <x:c r="A2" s="8" t="str">
        <x:v>Una señal útil cambia una probabilidad o una acción. Registra también señales negativas y predicciones que no se cumplieron.</x:v>
      </x:c>
      <x:c r="B2" s="8" t="str">
        <x:v>Una señal útil cambia una probabilidad o una acción. Registra también señales negativas y predicciones que no se cumplieron.</x:v>
      </x:c>
      <x:c r="C2" s="8" t="str">
        <x:v>Una señal útil cambia una probabilidad o una acción. Registra también señales negativas y predicciones que no se cumplieron.</x:v>
      </x:c>
      <x:c r="D2" s="8" t="str">
        <x:v>Una señal útil cambia una probabilidad o una acción. Registra también señales negativas y predicciones que no se cumplieron.</x:v>
      </x:c>
      <x:c r="E2" s="8" t="str">
        <x:v>Una señal útil cambia una probabilidad o una acción. Registra también señales negativas y predicciones que no se cumplieron.</x:v>
      </x:c>
      <x:c r="F2" s="8" t="str">
        <x:v>Una señal útil cambia una probabilidad o una acción. Registra también señales negativas y predicciones que no se cumplieron.</x:v>
      </x:c>
      <x:c r="G2" s="8" t="str">
        <x:v>Una señal útil cambia una probabilidad o una acción. Registra también señales negativas y predicciones que no se cumplieron.</x:v>
      </x:c>
      <x:c r="H2" s="8" t="str">
        <x:v>Una señal útil cambia una probabilidad o una acción. Registra también señales negativas y predicciones que no se cumplieron.</x:v>
      </x:c>
      <x:c r="I2" s="8" t="str">
        <x:v>Una señal útil cambia una probabilidad o una acción. Registra también señales negativas y predicciones que no se cumplieron.</x:v>
      </x:c>
      <x:c r="J2" s="8" t="str">
        <x:v>Una señal útil cambia una probabilidad o una acción. Registra también señales negativas y predicciones que no se cumplieron.</x:v>
      </x:c>
      <x:c r="K2" s="8" t="str">
        <x:v>Una señal útil cambia una probabilidad o una acción. Registra también señales negativas y predicciones que no se cumplieron.</x:v>
      </x:c>
    </x:row>
    <x:row r="4">
      <x:c r="A4" s="377" t="str">
        <x:v>Fecha</x:v>
      </x:c>
      <x:c r="B4" s="377" t="str">
        <x:v>Fuente</x:v>
      </x:c>
      <x:c r="C4" s="377" t="str">
        <x:v>URL</x:v>
      </x:c>
      <x:c r="D4" s="377" t="str">
        <x:v>Señal observada</x:v>
      </x:c>
      <x:c r="E4" s="377" t="str">
        <x:v>Ruta</x:v>
      </x:c>
      <x:c r="F4" s="377" t="str">
        <x:v>Horizonte</x:v>
      </x:c>
      <x:c r="G4" s="377" t="str">
        <x:v>Madurez / TRL</x:v>
      </x:c>
      <x:c r="H4" s="377" t="str">
        <x:v>Evidencia y limitaciones</x:v>
      </x:c>
      <x:c r="I4" s="377" t="str">
        <x:v>Confianza</x:v>
      </x:c>
      <x:c r="J4" s="377" t="str">
        <x:v>Impacto / decisión</x:v>
      </x:c>
      <x:c r="K4" s="377" t="str">
        <x:v>Próxima revisión</x:v>
      </x:c>
    </x:row>
    <x:row r="5" ht="58" customHeight="1">
      <x:c r="A5" s="526"/>
      <x:c r="B5" s="469"/>
      <x:c r="C5" s="469"/>
      <x:c r="D5" s="469"/>
      <x:c r="E5" s="469"/>
      <x:c r="F5" s="469"/>
      <x:c r="G5" s="469"/>
      <x:c r="H5" s="469"/>
      <x:c r="I5" s="469"/>
      <x:c r="J5" s="469"/>
      <x:c r="K5" s="526"/>
    </x:row>
    <x:row r="6" ht="58" customHeight="1">
      <x:c r="A6" s="522"/>
      <x:c r="B6" s="427"/>
      <x:c r="C6" s="427"/>
      <x:c r="D6" s="427"/>
      <x:c r="E6" s="427"/>
      <x:c r="F6" s="427"/>
      <x:c r="G6" s="427"/>
      <x:c r="H6" s="427"/>
      <x:c r="I6" s="427"/>
      <x:c r="J6" s="427"/>
      <x:c r="K6" s="522"/>
    </x:row>
    <x:row r="7" ht="58" customHeight="1">
      <x:c r="A7" s="527"/>
      <x:c r="B7" s="470"/>
      <x:c r="C7" s="470"/>
      <x:c r="D7" s="470"/>
      <x:c r="E7" s="470"/>
      <x:c r="F7" s="470"/>
      <x:c r="G7" s="470"/>
      <x:c r="H7" s="470"/>
      <x:c r="I7" s="470"/>
      <x:c r="J7" s="470"/>
      <x:c r="K7" s="527"/>
    </x:row>
    <x:row r="8" ht="58" customHeight="1">
      <x:c r="A8" s="522"/>
      <x:c r="B8" s="427"/>
      <x:c r="C8" s="427"/>
      <x:c r="D8" s="427"/>
      <x:c r="E8" s="427"/>
      <x:c r="F8" s="427"/>
      <x:c r="G8" s="427"/>
      <x:c r="H8" s="427"/>
      <x:c r="I8" s="427"/>
      <x:c r="J8" s="427"/>
      <x:c r="K8" s="522"/>
    </x:row>
    <x:row r="9" ht="58" customHeight="1">
      <x:c r="A9" s="527"/>
      <x:c r="B9" s="470"/>
      <x:c r="C9" s="470"/>
      <x:c r="D9" s="470"/>
      <x:c r="E9" s="470"/>
      <x:c r="F9" s="470"/>
      <x:c r="G9" s="470"/>
      <x:c r="H9" s="470"/>
      <x:c r="I9" s="470"/>
      <x:c r="J9" s="470"/>
      <x:c r="K9" s="527"/>
    </x:row>
    <x:row r="10" ht="58" customHeight="1">
      <x:c r="A10" s="522"/>
      <x:c r="B10" s="427"/>
      <x:c r="C10" s="427"/>
      <x:c r="D10" s="427"/>
      <x:c r="E10" s="427"/>
      <x:c r="F10" s="427"/>
      <x:c r="G10" s="427"/>
      <x:c r="H10" s="427"/>
      <x:c r="I10" s="427"/>
      <x:c r="J10" s="427"/>
      <x:c r="K10" s="522"/>
    </x:row>
    <x:row r="11" ht="58" customHeight="1">
      <x:c r="A11" s="527"/>
      <x:c r="B11" s="470"/>
      <x:c r="C11" s="470"/>
      <x:c r="D11" s="470"/>
      <x:c r="E11" s="470"/>
      <x:c r="F11" s="470"/>
      <x:c r="G11" s="470"/>
      <x:c r="H11" s="470"/>
      <x:c r="I11" s="470"/>
      <x:c r="J11" s="470"/>
      <x:c r="K11" s="527"/>
    </x:row>
    <x:row r="12" ht="58" customHeight="1">
      <x:c r="A12" s="522"/>
      <x:c r="B12" s="427"/>
      <x:c r="C12" s="427"/>
      <x:c r="D12" s="427"/>
      <x:c r="E12" s="427"/>
      <x:c r="F12" s="427"/>
      <x:c r="G12" s="427"/>
      <x:c r="H12" s="427"/>
      <x:c r="I12" s="427"/>
      <x:c r="J12" s="427"/>
      <x:c r="K12" s="522"/>
    </x:row>
    <x:row r="13" ht="58" customHeight="1">
      <x:c r="A13" s="527"/>
      <x:c r="B13" s="470"/>
      <x:c r="C13" s="470"/>
      <x:c r="D13" s="470"/>
      <x:c r="E13" s="470"/>
      <x:c r="F13" s="470"/>
      <x:c r="G13" s="470"/>
      <x:c r="H13" s="470"/>
      <x:c r="I13" s="470"/>
      <x:c r="J13" s="470"/>
      <x:c r="K13" s="527"/>
    </x:row>
    <x:row r="14" ht="58" customHeight="1">
      <x:c r="A14" s="522"/>
      <x:c r="B14" s="427"/>
      <x:c r="C14" s="427"/>
      <x:c r="D14" s="427"/>
      <x:c r="E14" s="427"/>
      <x:c r="F14" s="427"/>
      <x:c r="G14" s="427"/>
      <x:c r="H14" s="427"/>
      <x:c r="I14" s="427"/>
      <x:c r="J14" s="427"/>
      <x:c r="K14" s="522"/>
    </x:row>
    <x:row r="15" ht="58" customHeight="1">
      <x:c r="A15" s="527"/>
      <x:c r="B15" s="470"/>
      <x:c r="C15" s="470"/>
      <x:c r="D15" s="470"/>
      <x:c r="E15" s="470"/>
      <x:c r="F15" s="470"/>
      <x:c r="G15" s="470"/>
      <x:c r="H15" s="470"/>
      <x:c r="I15" s="470"/>
      <x:c r="J15" s="470"/>
      <x:c r="K15" s="527"/>
    </x:row>
    <x:row r="16" ht="58" customHeight="1">
      <x:c r="A16" s="522"/>
      <x:c r="B16" s="427"/>
      <x:c r="C16" s="427"/>
      <x:c r="D16" s="427"/>
      <x:c r="E16" s="427"/>
      <x:c r="F16" s="427"/>
      <x:c r="G16" s="427"/>
      <x:c r="H16" s="427"/>
      <x:c r="I16" s="427"/>
      <x:c r="J16" s="427"/>
      <x:c r="K16" s="522"/>
    </x:row>
    <x:row r="17" ht="58" customHeight="1">
      <x:c r="A17" s="527"/>
      <x:c r="B17" s="470"/>
      <x:c r="C17" s="470"/>
      <x:c r="D17" s="470"/>
      <x:c r="E17" s="470"/>
      <x:c r="F17" s="470"/>
      <x:c r="G17" s="470"/>
      <x:c r="H17" s="470"/>
      <x:c r="I17" s="470"/>
      <x:c r="J17" s="470"/>
      <x:c r="K17" s="527"/>
    </x:row>
    <x:row r="18" ht="58" customHeight="1">
      <x:c r="A18" s="522"/>
      <x:c r="B18" s="427"/>
      <x:c r="C18" s="427"/>
      <x:c r="D18" s="427"/>
      <x:c r="E18" s="427"/>
      <x:c r="F18" s="427"/>
      <x:c r="G18" s="427"/>
      <x:c r="H18" s="427"/>
      <x:c r="I18" s="427"/>
      <x:c r="J18" s="427"/>
      <x:c r="K18" s="522"/>
    </x:row>
    <x:row r="19" ht="58" customHeight="1">
      <x:c r="A19" s="527"/>
      <x:c r="B19" s="470"/>
      <x:c r="C19" s="470"/>
      <x:c r="D19" s="470"/>
      <x:c r="E19" s="470"/>
      <x:c r="F19" s="470"/>
      <x:c r="G19" s="470"/>
      <x:c r="H19" s="470"/>
      <x:c r="I19" s="470"/>
      <x:c r="J19" s="470"/>
      <x:c r="K19" s="527"/>
    </x:row>
    <x:row r="20" ht="58" customHeight="1">
      <x:c r="A20" s="522"/>
      <x:c r="B20" s="427"/>
      <x:c r="C20" s="427"/>
      <x:c r="D20" s="427"/>
      <x:c r="E20" s="427"/>
      <x:c r="F20" s="427"/>
      <x:c r="G20" s="427"/>
      <x:c r="H20" s="427"/>
      <x:c r="I20" s="427"/>
      <x:c r="J20" s="427"/>
      <x:c r="K20" s="522"/>
    </x:row>
    <x:row r="21" ht="58" customHeight="1">
      <x:c r="A21" s="527"/>
      <x:c r="B21" s="470"/>
      <x:c r="C21" s="470"/>
      <x:c r="D21" s="470"/>
      <x:c r="E21" s="470"/>
      <x:c r="F21" s="470"/>
      <x:c r="G21" s="470"/>
      <x:c r="H21" s="470"/>
      <x:c r="I21" s="470"/>
      <x:c r="J21" s="470"/>
      <x:c r="K21" s="527"/>
    </x:row>
    <x:row r="22" ht="58" customHeight="1">
      <x:c r="A22" s="522"/>
      <x:c r="B22" s="427"/>
      <x:c r="C22" s="427"/>
      <x:c r="D22" s="427"/>
      <x:c r="E22" s="427"/>
      <x:c r="F22" s="427"/>
      <x:c r="G22" s="427"/>
      <x:c r="H22" s="427"/>
      <x:c r="I22" s="427"/>
      <x:c r="J22" s="427"/>
      <x:c r="K22" s="522"/>
    </x:row>
    <x:row r="23" ht="58" customHeight="1">
      <x:c r="A23" s="527"/>
      <x:c r="B23" s="470"/>
      <x:c r="C23" s="470"/>
      <x:c r="D23" s="470"/>
      <x:c r="E23" s="470"/>
      <x:c r="F23" s="470"/>
      <x:c r="G23" s="470"/>
      <x:c r="H23" s="470"/>
      <x:c r="I23" s="470"/>
      <x:c r="J23" s="470"/>
      <x:c r="K23" s="527"/>
    </x:row>
    <x:row r="24" ht="58" customHeight="1">
      <x:c r="A24" s="522"/>
      <x:c r="B24" s="427"/>
      <x:c r="C24" s="427"/>
      <x:c r="D24" s="427"/>
      <x:c r="E24" s="427"/>
      <x:c r="F24" s="427"/>
      <x:c r="G24" s="427"/>
      <x:c r="H24" s="427"/>
      <x:c r="I24" s="427"/>
      <x:c r="J24" s="427"/>
      <x:c r="K24" s="522"/>
    </x:row>
    <x:row r="25" ht="58" customHeight="1">
      <x:c r="A25" s="527"/>
      <x:c r="B25" s="470"/>
      <x:c r="C25" s="470"/>
      <x:c r="D25" s="470"/>
      <x:c r="E25" s="470"/>
      <x:c r="F25" s="470"/>
      <x:c r="G25" s="470"/>
      <x:c r="H25" s="470"/>
      <x:c r="I25" s="470"/>
      <x:c r="J25" s="470"/>
      <x:c r="K25" s="527"/>
    </x:row>
    <x:row r="26" ht="58" customHeight="1">
      <x:c r="A26" s="522"/>
      <x:c r="B26" s="427"/>
      <x:c r="C26" s="427"/>
      <x:c r="D26" s="427"/>
      <x:c r="E26" s="427"/>
      <x:c r="F26" s="427"/>
      <x:c r="G26" s="427"/>
      <x:c r="H26" s="427"/>
      <x:c r="I26" s="427"/>
      <x:c r="J26" s="427"/>
      <x:c r="K26" s="522"/>
    </x:row>
    <x:row r="27" ht="58" customHeight="1">
      <x:c r="A27" s="527"/>
      <x:c r="B27" s="470"/>
      <x:c r="C27" s="470"/>
      <x:c r="D27" s="470"/>
      <x:c r="E27" s="470"/>
      <x:c r="F27" s="470"/>
      <x:c r="G27" s="470"/>
      <x:c r="H27" s="470"/>
      <x:c r="I27" s="470"/>
      <x:c r="J27" s="470"/>
      <x:c r="K27" s="527"/>
    </x:row>
    <x:row r="28" ht="58" customHeight="1">
      <x:c r="A28" s="522"/>
      <x:c r="B28" s="427"/>
      <x:c r="C28" s="427"/>
      <x:c r="D28" s="427"/>
      <x:c r="E28" s="427"/>
      <x:c r="F28" s="427"/>
      <x:c r="G28" s="427"/>
      <x:c r="H28" s="427"/>
      <x:c r="I28" s="427"/>
      <x:c r="J28" s="427"/>
      <x:c r="K28" s="522"/>
    </x:row>
    <x:row r="29" ht="58" customHeight="1">
      <x:c r="A29" s="527"/>
      <x:c r="B29" s="470"/>
      <x:c r="C29" s="470"/>
      <x:c r="D29" s="470"/>
      <x:c r="E29" s="470"/>
      <x:c r="F29" s="470"/>
      <x:c r="G29" s="470"/>
      <x:c r="H29" s="470"/>
      <x:c r="I29" s="470"/>
      <x:c r="J29" s="470"/>
      <x:c r="K29" s="527"/>
    </x:row>
    <x:row r="30" ht="58" customHeight="1">
      <x:c r="A30" s="522"/>
      <x:c r="B30" s="427"/>
      <x:c r="C30" s="427"/>
      <x:c r="D30" s="427"/>
      <x:c r="E30" s="427"/>
      <x:c r="F30" s="427"/>
      <x:c r="G30" s="427"/>
      <x:c r="H30" s="427"/>
      <x:c r="I30" s="427"/>
      <x:c r="J30" s="427"/>
      <x:c r="K30" s="522"/>
    </x:row>
    <x:row r="31" ht="58" customHeight="1">
      <x:c r="A31" s="527"/>
      <x:c r="B31" s="470"/>
      <x:c r="C31" s="470"/>
      <x:c r="D31" s="470"/>
      <x:c r="E31" s="470"/>
      <x:c r="F31" s="470"/>
      <x:c r="G31" s="470"/>
      <x:c r="H31" s="470"/>
      <x:c r="I31" s="470"/>
      <x:c r="J31" s="470"/>
      <x:c r="K31" s="527"/>
    </x:row>
    <x:row r="32" ht="58" customHeight="1">
      <x:c r="A32" s="522"/>
      <x:c r="B32" s="427"/>
      <x:c r="C32" s="427"/>
      <x:c r="D32" s="427"/>
      <x:c r="E32" s="427"/>
      <x:c r="F32" s="427"/>
      <x:c r="G32" s="427"/>
      <x:c r="H32" s="427"/>
      <x:c r="I32" s="427"/>
      <x:c r="J32" s="427"/>
      <x:c r="K32" s="522"/>
    </x:row>
    <x:row r="33" ht="58" customHeight="1">
      <x:c r="A33" s="527"/>
      <x:c r="B33" s="470"/>
      <x:c r="C33" s="470"/>
      <x:c r="D33" s="470"/>
      <x:c r="E33" s="470"/>
      <x:c r="F33" s="470"/>
      <x:c r="G33" s="470"/>
      <x:c r="H33" s="470"/>
      <x:c r="I33" s="470"/>
      <x:c r="J33" s="470"/>
      <x:c r="K33" s="527"/>
    </x:row>
    <x:row r="34" ht="58" customHeight="1">
      <x:c r="A34" s="523"/>
      <x:c r="B34" s="428"/>
      <x:c r="C34" s="428"/>
      <x:c r="D34" s="428"/>
      <x:c r="E34" s="428"/>
      <x:c r="F34" s="428"/>
      <x:c r="G34" s="428"/>
      <x:c r="H34" s="428"/>
      <x:c r="I34" s="428"/>
      <x:c r="J34" s="428"/>
      <x:c r="K34" s="523"/>
    </x:row>
  </x:sheetData>
  <x:mergeCells>
    <x:mergeCell ref="A1:K1"/>
    <x:mergeCell ref="A2:K2"/>
  </x:mergeCells>
  <x:dataValidations count="3">
    <x:dataValidation type="list" sqref="E5:E34">
      <x:formula1>'Rutas'!$A$5:$A$21</x:formula1>
    </x:dataValidation>
    <x:dataValidation type="list" sqref="F5:F34">
      <x:formula1>"Presente 2026,Corto 2027–2029,Mediano 2030–2035,Largo 2036–2045,Muy largo &gt;2045"</x:formula1>
    </x:dataValidation>
    <x:dataValidation type="list" sqref="I5:I34">
      <x:formula1>"Alta,Media-alta,Media,Media-baja,Baja"</x:formula1>
    </x:dataValidation>
  </x:dataValidations>
  <x:pageMargins left="0.7" right="0.7" top="0.75" bottom="0.75" header="0.3" footer="0.3"/>
  <x:tableParts count="1">
    <x:tablePart xmlns:r="http://schemas.openxmlformats.org/officeDocument/2006/relationships" r:id="R547fdfe6218747b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8" hidden="0" customWidth="1"/>
    <x:col min="2" max="2" width="23" hidden="0" customWidth="1"/>
    <x:col min="3" max="3" width="38" hidden="0" customWidth="1"/>
    <x:col min="4" max="4" width="20" hidden="0" customWidth="1"/>
    <x:col min="5" max="5" width="18" hidden="0" customWidth="1"/>
    <x:col min="6" max="6" width="10" hidden="0" customWidth="1"/>
    <x:col min="7" max="7" width="64" hidden="0" customWidth="1"/>
    <x:col min="8" max="8" width="58" hidden="0" customWidth="1"/>
    <x:col min="9" max="9" width="66" hidden="0" customWidth="1"/>
    <x:col min="10" max="10" width="10" hidden="0" customWidth="1"/>
    <x:col min="11" max="11" width="34" hidden="0" customWidth="1"/>
    <x:col min="12" max="12" width="14" hidden="0" customWidth="1"/>
    <x:col min="13" max="13" width="12" hidden="0" customWidth="1"/>
  </x:cols>
  <x:sheetData>
    <x:row r="1" ht="34" customHeight="1">
      <x:c r="A1" s="4" t="str">
        <x:v>PANEL MUNDIAL AUDITADO: 150 INSTITUCIONES</x:v>
      </x:c>
      <x:c r="B1" s="4" t="str">
        <x:v>PANEL MUNDIAL AUDITADO: 150 INSTITUCIONES</x:v>
      </x:c>
      <x:c r="C1" s="4" t="str">
        <x:v>PANEL MUNDIAL AUDITADO: 150 INSTITUCIONES</x:v>
      </x:c>
      <x:c r="D1" s="4" t="str">
        <x:v>PANEL MUNDIAL AUDITADO: 150 INSTITUCIONES</x:v>
      </x:c>
      <x:c r="E1" s="4" t="str">
        <x:v>PANEL MUNDIAL AUDITADO: 150 INSTITUCIONES</x:v>
      </x:c>
      <x:c r="F1" s="4" t="str">
        <x:v>PANEL MUNDIAL AUDITADO: 150 INSTITUCIONES</x:v>
      </x:c>
      <x:c r="G1" s="4" t="str">
        <x:v>PANEL MUNDIAL AUDITADO: 150 INSTITUCIONES</x:v>
      </x:c>
      <x:c r="H1" s="4" t="str">
        <x:v>PANEL MUNDIAL AUDITADO: 150 INSTITUCIONES</x:v>
      </x:c>
      <x:c r="I1" s="4" t="str">
        <x:v>PANEL MUNDIAL AUDITADO: 150 INSTITUCIONES</x:v>
      </x:c>
      <x:c r="J1" s="4" t="str">
        <x:v>PANEL MUNDIAL AUDITADO: 150 INSTITUCIONES</x:v>
      </x:c>
      <x:c r="K1" s="4" t="str">
        <x:v>PANEL MUNDIAL AUDITADO: 150 INSTITUCIONES</x:v>
      </x:c>
      <x:c r="L1" s="4" t="str">
        <x:v>PANEL MUNDIAL AUDITADO: 150 INSTITUCIONES</x:v>
      </x:c>
      <x:c r="M1" s="4" t="str">
        <x:v>PANEL MUNDIAL AUDITADO: 150 INSTITUCIONES</x:v>
      </x:c>
    </x:row>
    <x:row r="2" ht="30" customHeight="1">
      <x:c r="A2" s="8" t="str">
        <x:v>100 líderes globales + 30 especialistas + 20 referentes regionales. Orden del panel, no ranking. Cada fila conserva una fuente oficial y el nivel real de evidencia.</x:v>
      </x:c>
      <x:c r="B2" s="8" t="str">
        <x:v>100 líderes globales + 30 especialistas + 20 referentes regionales. Orden del panel, no ranking. Cada fila conserva una fuente oficial y el nivel real de evidencia.</x:v>
      </x:c>
      <x:c r="C2" s="8" t="str">
        <x:v>100 líderes globales + 30 especialistas + 20 referentes regionales. Orden del panel, no ranking. Cada fila conserva una fuente oficial y el nivel real de evidencia.</x:v>
      </x:c>
      <x:c r="D2" s="8" t="str">
        <x:v>100 líderes globales + 30 especialistas + 20 referentes regionales. Orden del panel, no ranking. Cada fila conserva una fuente oficial y el nivel real de evidencia.</x:v>
      </x:c>
      <x:c r="E2" s="8" t="str">
        <x:v>100 líderes globales + 30 especialistas + 20 referentes regionales. Orden del panel, no ranking. Cada fila conserva una fuente oficial y el nivel real de evidencia.</x:v>
      </x:c>
      <x:c r="F2" s="8" t="str">
        <x:v>100 líderes globales + 30 especialistas + 20 referentes regionales. Orden del panel, no ranking. Cada fila conserva una fuente oficial y el nivel real de evidencia.</x:v>
      </x:c>
      <x:c r="G2" s="8" t="str">
        <x:v>100 líderes globales + 30 especialistas + 20 referentes regionales. Orden del panel, no ranking. Cada fila conserva una fuente oficial y el nivel real de evidencia.</x:v>
      </x:c>
      <x:c r="H2" s="8" t="str">
        <x:v>100 líderes globales + 30 especialistas + 20 referentes regionales. Orden del panel, no ranking. Cada fila conserva una fuente oficial y el nivel real de evidencia.</x:v>
      </x:c>
      <x:c r="I2" s="8" t="str">
        <x:v>100 líderes globales + 30 especialistas + 20 referentes regionales. Orden del panel, no ranking. Cada fila conserva una fuente oficial y el nivel real de evidencia.</x:v>
      </x:c>
      <x:c r="J2" s="8" t="str">
        <x:v>100 líderes globales + 30 especialistas + 20 referentes regionales. Orden del panel, no ranking. Cada fila conserva una fuente oficial y el nivel real de evidencia.</x:v>
      </x:c>
      <x:c r="K2" s="8" t="str">
        <x:v>100 líderes globales + 30 especialistas + 20 referentes regionales. Orden del panel, no ranking. Cada fila conserva una fuente oficial y el nivel real de evidencia.</x:v>
      </x:c>
      <x:c r="L2" s="8" t="str">
        <x:v>100 líderes globales + 30 especialistas + 20 referentes regionales. Orden del panel, no ranking. Cada fila conserva una fuente oficial y el nivel real de evidencia.</x:v>
      </x:c>
      <x:c r="M2" s="8" t="str">
        <x:v>100 líderes globales + 30 especialistas + 20 referentes regionales. Orden del panel, no ranking. Cada fila conserva una fuente oficial y el nivel real de evidencia.</x:v>
      </x:c>
    </x:row>
    <x:row r="4">
      <x:c r="A4" s="433" t="str">
        <x:v>Orden</x:v>
      </x:c>
      <x:c r="B4" s="433" t="str">
        <x:v>Segmento</x:v>
      </x:c>
      <x:c r="C4" s="433" t="str">
        <x:v>Institución</x:v>
      </x:c>
      <x:c r="D4" s="433" t="str">
        <x:v>País</x:v>
      </x:c>
      <x:c r="E4" s="433" t="str">
        <x:v>Región</x:v>
      </x:c>
      <x:c r="F4" s="433" t="str">
        <x:v>Evidencia</x:v>
      </x:c>
      <x:c r="G4" s="433" t="str">
        <x:v>Fuente oficial</x:v>
      </x:c>
      <x:c r="H4" s="433" t="str">
        <x:v>Familias de programas normalizadas</x:v>
      </x:c>
      <x:c r="I4" s="433" t="str">
        <x:v>Rutas cubiertas</x:v>
      </x:c>
      <x:c r="J4" s="433" t="str">
        <x:v>N.º rutas</x:v>
      </x:c>
      <x:c r="K4" s="433" t="str">
        <x:v>Foco distintivo</x:v>
      </x:c>
      <x:c r="L4" s="433" t="str">
        <x:v>Consulta</x:v>
      </x:c>
      <x:c r="M4" s="433" t="str">
        <x:v>Estado</x:v>
      </x:c>
    </x:row>
    <x:row r="5" ht="58" customHeight="1">
      <x:c r="A5" s="444" t="n">
        <x:v>1</x:v>
      </x:c>
      <x:c r="B5" s="444" t="str">
        <x:v>100 líderes globales</x:v>
      </x:c>
      <x:c r="C5" s="444" t="str">
        <x:v>Massachusetts Institute of Technology (MIT)</x:v>
      </x:c>
      <x:c r="D5" s="444" t="str">
        <x:v>Estados Unidos</x:v>
      </x:c>
      <x:c r="E5" s="444" t="str">
        <x:v>Norteamérica</x:v>
      </x:c>
      <x:c r="F5" s="444" t="str">
        <x:v>A</x:v>
      </x:c>
      <x:c r="G5" s="444" t="str">
        <x:v>https://catalog.mit.edu/degree-charts/computer-science-engineering-course-6-3/</x:v>
      </x:c>
      <x:c r="H5" s="444" t="str">
        <x:v>Computer Science and Engineering; Electrical Engineering; AI; sistemas; cuántica</x:v>
      </x:c>
      <x:c r="I5" s="444"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5" s="444" t="n">
        <x:v>12</x:v>
      </x:c>
      <x:c r="K5" s="444" t="str">
        <x:v>Computación e ingeniería de frontera</x:v>
      </x:c>
      <x:c r="L5" s="444" t="str">
        <x:v>2026-07-29</x:v>
      </x:c>
      <x:c r="M5" s="444" t="str">
        <x:v>Revisada</x:v>
      </x:c>
    </x:row>
    <x:row r="6" ht="58" customHeight="1">
      <x:c r="A6" s="442" t="n">
        <x:v>2</x:v>
      </x:c>
      <x:c r="B6" s="442" t="str">
        <x:v>100 líderes globales</x:v>
      </x:c>
      <x:c r="C6" s="442" t="str">
        <x:v>Stanford University</x:v>
      </x:c>
      <x:c r="D6" s="442" t="str">
        <x:v>Estados Unidos</x:v>
      </x:c>
      <x:c r="E6" s="442" t="str">
        <x:v>Norteamérica</x:v>
      </x:c>
      <x:c r="F6" s="442" t="str">
        <x:v>A</x:v>
      </x:c>
      <x:c r="G6" s="442" t="str">
        <x:v>https://www.cs.stanford.edu/bs-degree-requirements</x:v>
      </x:c>
      <x:c r="H6" s="442" t="str">
        <x:v>Computer Science; Computer Engineering; AI; HCI; sistemas; teoría</x:v>
      </x:c>
      <x:c r="I6"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6" s="442" t="n">
        <x:v>13</x:v>
      </x:c>
      <x:c r="K6" s="442" t="str">
        <x:v>CS flexible por tracks</x:v>
      </x:c>
      <x:c r="L6" s="442" t="str">
        <x:v>2026-07-29</x:v>
      </x:c>
      <x:c r="M6" s="442" t="str">
        <x:v>Revisada</x:v>
      </x:c>
    </x:row>
    <x:row r="7" ht="58" customHeight="1">
      <x:c r="A7" s="445" t="n">
        <x:v>3</x:v>
      </x:c>
      <x:c r="B7" s="445" t="str">
        <x:v>100 líderes globales</x:v>
      </x:c>
      <x:c r="C7" s="445" t="str">
        <x:v>Carnegie Mellon University</x:v>
      </x:c>
      <x:c r="D7" s="445" t="str">
        <x:v>Estados Unidos</x:v>
      </x:c>
      <x:c r="E7" s="445" t="str">
        <x:v>Norteamérica</x:v>
      </x:c>
      <x:c r="F7" s="445" t="str">
        <x:v>A</x:v>
      </x:c>
      <x:c r="G7" s="445" t="str">
        <x:v>https://www.cs.cmu.edu/education/undergraduate/index</x:v>
      </x:c>
      <x:c r="H7" s="445" t="str">
        <x:v>Computer Science; AI; Robotics; HCI; Computational Biology; Information Systems</x:v>
      </x:c>
      <x:c r="I7" s="445"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Investigación, profesión y capstones</x:v>
      </x:c>
      <x:c r="J7" s="445" t="n">
        <x:v>13</x:v>
      </x:c>
      <x:c r="K7" s="445" t="str">
        <x:v>Portafolio computacional especializado</x:v>
      </x:c>
      <x:c r="L7" s="445" t="str">
        <x:v>2026-07-29</x:v>
      </x:c>
      <x:c r="M7" s="445" t="str">
        <x:v>Revisada</x:v>
      </x:c>
    </x:row>
    <x:row r="8" ht="58" customHeight="1">
      <x:c r="A8" s="442" t="n">
        <x:v>4</x:v>
      </x:c>
      <x:c r="B8" s="442" t="str">
        <x:v>100 líderes globales</x:v>
      </x:c>
      <x:c r="C8" s="442" t="str">
        <x:v>University of California, Berkeley</x:v>
      </x:c>
      <x:c r="D8" s="442" t="str">
        <x:v>Estados Unidos</x:v>
      </x:c>
      <x:c r="E8" s="442" t="str">
        <x:v>Norteamérica</x:v>
      </x:c>
      <x:c r="F8" s="442" t="str">
        <x:v>A</x:v>
      </x:c>
      <x:c r="G8" s="442" t="str">
        <x:v>https://eecs.berkeley.edu/academics/undergraduate/eecs-bs/</x:v>
      </x:c>
      <x:c r="H8" s="442" t="str">
        <x:v>EECS; Computer Science; Data Science; Electrical Engineering</x:v>
      </x:c>
      <x:c r="I8"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8" s="442" t="n">
        <x:v>13</x:v>
      </x:c>
      <x:c r="K8" s="442" t="str">
        <x:v>Integración hardware-software</x:v>
      </x:c>
      <x:c r="L8" s="442" t="str">
        <x:v>2026-07-29</x:v>
      </x:c>
      <x:c r="M8" s="442" t="str">
        <x:v>Revisada</x:v>
      </x:c>
    </x:row>
    <x:row r="9" ht="58" customHeight="1">
      <x:c r="A9" s="445" t="n">
        <x:v>5</x:v>
      </x:c>
      <x:c r="B9" s="445" t="str">
        <x:v>100 líderes globales</x:v>
      </x:c>
      <x:c r="C9" s="445" t="str">
        <x:v>Harvard University</x:v>
      </x:c>
      <x:c r="D9" s="445" t="str">
        <x:v>Estados Unidos</x:v>
      </x:c>
      <x:c r="E9" s="445" t="str">
        <x:v>Norteamérica</x:v>
      </x:c>
      <x:c r="F9" s="445" t="str">
        <x:v>B</x:v>
      </x:c>
      <x:c r="G9" s="445" t="str">
        <x:v>https://seas.harvard.edu/computer-science</x:v>
      </x:c>
      <x:c r="H9" s="445" t="str">
        <x:v>Computer Science; Electrical Engineering; Data Science; Computational Science</x:v>
      </x:c>
      <x:c r="I9" s="445" t="str">
        <x:v>Matemática y ciencias; Programación y teoría CS; Sistemas y arquitectura; Ingeniería de software; Datos, BI e IA; Ciberseguridad, forense y auditoría; Electrónica, embebidos e IoT; Robótica y mecatrónica; Bioinformática y salud digital; Computación cuántica; Investigación, profesión y capstones</x:v>
      </x:c>
      <x:c r="J9" s="445" t="n">
        <x:v>11</x:v>
      </x:c>
      <x:c r="K9" s="445" t="str">
        <x:v>Computación interdisciplinaria</x:v>
      </x:c>
      <x:c r="L9" s="445" t="str">
        <x:v>2026-07-29</x:v>
      </x:c>
      <x:c r="M9" s="445" t="str">
        <x:v>Revisada</x:v>
      </x:c>
    </x:row>
    <x:row r="10" ht="58" customHeight="1">
      <x:c r="A10" s="442" t="n">
        <x:v>6</x:v>
      </x:c>
      <x:c r="B10" s="442" t="str">
        <x:v>100 líderes globales</x:v>
      </x:c>
      <x:c r="C10" s="442" t="str">
        <x:v>Princeton University</x:v>
      </x:c>
      <x:c r="D10" s="442" t="str">
        <x:v>Estados Unidos</x:v>
      </x:c>
      <x:c r="E10" s="442" t="str">
        <x:v>Norteamérica</x:v>
      </x:c>
      <x:c r="F10" s="442" t="str">
        <x:v>B</x:v>
      </x:c>
      <x:c r="G10" s="442" t="str">
        <x:v>https://www.cs.princeton.edu/ugrad</x:v>
      </x:c>
      <x:c r="H10" s="442" t="str">
        <x:v>Computer Science; Computer Engineering; Robotics; Quantitative and Computational Biology</x:v>
      </x:c>
      <x:c r="I10"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0" s="442" t="n">
        <x:v>12</x:v>
      </x:c>
      <x:c r="K10" s="442" t="str">
        <x:v>Teoría, sistemas y autonomía</x:v>
      </x:c>
      <x:c r="L10" s="442" t="str">
        <x:v>2026-07-29</x:v>
      </x:c>
      <x:c r="M10" s="442" t="str">
        <x:v>Revisada</x:v>
      </x:c>
    </x:row>
    <x:row r="11" ht="58" customHeight="1">
      <x:c r="A11" s="445" t="n">
        <x:v>7</x:v>
      </x:c>
      <x:c r="B11" s="445" t="str">
        <x:v>100 líderes globales</x:v>
      </x:c>
      <x:c r="C11" s="445" t="str">
        <x:v>Cornell University</x:v>
      </x:c>
      <x:c r="D11" s="445" t="str">
        <x:v>Estados Unidos</x:v>
      </x:c>
      <x:c r="E11" s="445" t="str">
        <x:v>Norteamérica</x:v>
      </x:c>
      <x:c r="F11" s="445" t="str">
        <x:v>B</x:v>
      </x:c>
      <x:c r="G11" s="445" t="str">
        <x:v>https://www.cs.cornell.edu/undergrad</x:v>
      </x:c>
      <x:c r="H11" s="445" t="str">
        <x:v>Computer Science; Information Science; ECE; Operations Research</x:v>
      </x:c>
      <x:c r="I11" s="445"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11" s="445" t="n">
        <x:v>14</x:v>
      </x:c>
      <x:c r="K11" s="445" t="str">
        <x:v>Computación e información</x:v>
      </x:c>
      <x:c r="L11" s="445" t="str">
        <x:v>2026-07-29</x:v>
      </x:c>
      <x:c r="M11" s="445" t="str">
        <x:v>Revisada</x:v>
      </x:c>
    </x:row>
    <x:row r="12" ht="58" customHeight="1">
      <x:c r="A12" s="442" t="n">
        <x:v>8</x:v>
      </x:c>
      <x:c r="B12" s="442" t="str">
        <x:v>100 líderes globales</x:v>
      </x:c>
      <x:c r="C12" s="442" t="str">
        <x:v>University of Illinois Urbana-Champaign</x:v>
      </x:c>
      <x:c r="D12" s="442" t="str">
        <x:v>Estados Unidos</x:v>
      </x:c>
      <x:c r="E12" s="442" t="str">
        <x:v>Norteamérica</x:v>
      </x:c>
      <x:c r="F12" s="442" t="str">
        <x:v>B</x:v>
      </x:c>
      <x:c r="G12" s="442" t="str">
        <x:v>https://cs.illinois.edu/academics/undergraduate</x:v>
      </x:c>
      <x:c r="H12" s="442" t="str">
        <x:v>Computer Science; CS+X; Computer Engineering; Information Sciences</x:v>
      </x:c>
      <x:c r="I12" s="442"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12" s="442" t="n">
        <x:v>14</x:v>
      </x:c>
      <x:c r="K12" s="442" t="str">
        <x:v>CS+X y sistemas</x:v>
      </x:c>
      <x:c r="L12" s="442" t="str">
        <x:v>2026-07-29</x:v>
      </x:c>
      <x:c r="M12" s="442" t="str">
        <x:v>Revisada</x:v>
      </x:c>
    </x:row>
    <x:row r="13" ht="58" customHeight="1">
      <x:c r="A13" s="445" t="n">
        <x:v>9</x:v>
      </x:c>
      <x:c r="B13" s="445" t="str">
        <x:v>100 líderes globales</x:v>
      </x:c>
      <x:c r="C13" s="445" t="str">
        <x:v>Georgia Institute of Technology</x:v>
      </x:c>
      <x:c r="D13" s="445" t="str">
        <x:v>Estados Unidos</x:v>
      </x:c>
      <x:c r="E13" s="445" t="str">
        <x:v>Norteamérica</x:v>
      </x:c>
      <x:c r="F13" s="445" t="str">
        <x:v>B</x:v>
      </x:c>
      <x:c r="G13" s="445" t="str">
        <x:v>https://www.cc.gatech.edu/degree-programs</x:v>
      </x:c>
      <x:c r="H13" s="445" t="str">
        <x:v>Computer Science; Computational Media; Computer Engineering; Cybersecurity</x:v>
      </x:c>
      <x:c r="I13"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Sistemas de información y gestión TI; Investigación, profesión y capstones</x:v>
      </x:c>
      <x:c r="J13" s="445" t="n">
        <x:v>13</x:v>
      </x:c>
      <x:c r="K13" s="445" t="str">
        <x:v>Threads y medios computacionales</x:v>
      </x:c>
      <x:c r="L13" s="445" t="str">
        <x:v>2026-07-29</x:v>
      </x:c>
      <x:c r="M13" s="445" t="str">
        <x:v>Revisada</x:v>
      </x:c>
    </x:row>
    <x:row r="14" ht="58" customHeight="1">
      <x:c r="A14" s="442" t="n">
        <x:v>10</x:v>
      </x:c>
      <x:c r="B14" s="442" t="str">
        <x:v>100 líderes globales</x:v>
      </x:c>
      <x:c r="C14" s="442" t="str">
        <x:v>University of Washington</x:v>
      </x:c>
      <x:c r="D14" s="442" t="str">
        <x:v>Estados Unidos</x:v>
      </x:c>
      <x:c r="E14" s="442" t="str">
        <x:v>Norteamérica</x:v>
      </x:c>
      <x:c r="F14" s="442" t="str">
        <x:v>B</x:v>
      </x:c>
      <x:c r="G14" s="442" t="str">
        <x:v>https://www.cs.washington.edu/academics/ugrad</x:v>
      </x:c>
      <x:c r="H14" s="442" t="str">
        <x:v>Computer Science; Computer Engineering; Informatics; Human-Centered Design</x:v>
      </x:c>
      <x:c r="I14" s="442"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Investigación, profesión y capstones</x:v>
      </x:c>
      <x:c r="J14" s="442" t="n">
        <x:v>13</x:v>
      </x:c>
      <x:c r="K14" s="442" t="str">
        <x:v>Sistemas, IA y HCI</x:v>
      </x:c>
      <x:c r="L14" s="442" t="str">
        <x:v>2026-07-29</x:v>
      </x:c>
      <x:c r="M14" s="442" t="str">
        <x:v>Revisada</x:v>
      </x:c>
    </x:row>
    <x:row r="15" ht="58" customHeight="1">
      <x:c r="A15" s="445" t="n">
        <x:v>11</x:v>
      </x:c>
      <x:c r="B15" s="445" t="str">
        <x:v>100 líderes globales</x:v>
      </x:c>
      <x:c r="C15" s="445" t="str">
        <x:v>University of Texas at Austin</x:v>
      </x:c>
      <x:c r="D15" s="445" t="str">
        <x:v>Estados Unidos</x:v>
      </x:c>
      <x:c r="E15" s="445" t="str">
        <x:v>Norteamérica</x:v>
      </x:c>
      <x:c r="F15" s="445" t="str">
        <x:v>B</x:v>
      </x:c>
      <x:c r="G15" s="445" t="str">
        <x:v>https://www.cs.utexas.edu/undergraduate-program</x:v>
      </x:c>
      <x:c r="H15" s="445" t="str">
        <x:v>Computer Science; Electrical and Computer Engineering; Robotics; Data Science</x:v>
      </x:c>
      <x:c r="I15"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15" s="445" t="n">
        <x:v>13</x:v>
      </x:c>
      <x:c r="K15" s="445" t="str">
        <x:v>CS, ECE y robótica</x:v>
      </x:c>
      <x:c r="L15" s="445" t="str">
        <x:v>2026-07-29</x:v>
      </x:c>
      <x:c r="M15" s="445" t="str">
        <x:v>Revisada</x:v>
      </x:c>
    </x:row>
    <x:row r="16" ht="58" customHeight="1">
      <x:c r="A16" s="442" t="n">
        <x:v>12</x:v>
      </x:c>
      <x:c r="B16" s="442" t="str">
        <x:v>100 líderes globales</x:v>
      </x:c>
      <x:c r="C16" s="442" t="str">
        <x:v>University of Michigan</x:v>
      </x:c>
      <x:c r="D16" s="442" t="str">
        <x:v>Estados Unidos</x:v>
      </x:c>
      <x:c r="E16" s="442" t="str">
        <x:v>Norteamérica</x:v>
      </x:c>
      <x:c r="F16" s="442" t="str">
        <x:v>B</x:v>
      </x:c>
      <x:c r="G16" s="442" t="str">
        <x:v>https://cse.engin.umich.edu/academics/undergraduate/</x:v>
      </x:c>
      <x:c r="H16" s="442" t="str">
        <x:v>Computer Science; Computer Engineering; Data Science; Robotics</x:v>
      </x:c>
      <x:c r="I16"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16" s="442" t="n">
        <x:v>13</x:v>
      </x:c>
      <x:c r="K16" s="442" t="str">
        <x:v>Computación y robótica</x:v>
      </x:c>
      <x:c r="L16" s="442" t="str">
        <x:v>2026-07-29</x:v>
      </x:c>
      <x:c r="M16" s="442" t="str">
        <x:v>Revisada</x:v>
      </x:c>
    </x:row>
    <x:row r="17" ht="58" customHeight="1">
      <x:c r="A17" s="445" t="n">
        <x:v>13</x:v>
      </x:c>
      <x:c r="B17" s="445" t="str">
        <x:v>100 líderes globales</x:v>
      </x:c>
      <x:c r="C17" s="445" t="str">
        <x:v>University of California, Los Angeles</x:v>
      </x:c>
      <x:c r="D17" s="445" t="str">
        <x:v>Estados Unidos</x:v>
      </x:c>
      <x:c r="E17" s="445" t="str">
        <x:v>Norteamérica</x:v>
      </x:c>
      <x:c r="F17" s="445" t="str">
        <x:v>B</x:v>
      </x:c>
      <x:c r="G17" s="445" t="str">
        <x:v>https://www.cs.ucla.edu/undergraduate-program/</x:v>
      </x:c>
      <x:c r="H17" s="445" t="str">
        <x:v>Computer Science; Computer Engineering; Computational Systems Biology</x:v>
      </x:c>
      <x:c r="I17"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17" s="445" t="n">
        <x:v>13</x:v>
      </x:c>
      <x:c r="K17" s="445" t="str">
        <x:v>CS y sistemas</x:v>
      </x:c>
      <x:c r="L17" s="445" t="str">
        <x:v>2026-07-29</x:v>
      </x:c>
      <x:c r="M17" s="445" t="str">
        <x:v>Revisada</x:v>
      </x:c>
    </x:row>
    <x:row r="18" ht="58" customHeight="1">
      <x:c r="A18" s="442" t="n">
        <x:v>14</x:v>
      </x:c>
      <x:c r="B18" s="442" t="str">
        <x:v>100 líderes globales</x:v>
      </x:c>
      <x:c r="C18" s="442" t="str">
        <x:v>University of California, San Diego</x:v>
      </x:c>
      <x:c r="D18" s="442" t="str">
        <x:v>Estados Unidos</x:v>
      </x:c>
      <x:c r="E18" s="442" t="str">
        <x:v>Norteamérica</x:v>
      </x:c>
      <x:c r="F18" s="442" t="str">
        <x:v>B</x:v>
      </x:c>
      <x:c r="G18" s="442" t="str">
        <x:v>https://cse.ucsd.edu/undergraduate</x:v>
      </x:c>
      <x:c r="H18" s="442" t="str">
        <x:v>Computer Science; Computer Engineering; Bioinformatics; Data Science</x:v>
      </x:c>
      <x:c r="I18"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18" s="442" t="n">
        <x:v>13</x:v>
      </x:c>
      <x:c r="K18" s="442" t="str">
        <x:v>Computación, datos y bioinformática</x:v>
      </x:c>
      <x:c r="L18" s="442" t="str">
        <x:v>2026-07-29</x:v>
      </x:c>
      <x:c r="M18" s="442" t="str">
        <x:v>Revisada</x:v>
      </x:c>
    </x:row>
    <x:row r="19" ht="58" customHeight="1">
      <x:c r="A19" s="445" t="n">
        <x:v>15</x:v>
      </x:c>
      <x:c r="B19" s="445" t="str">
        <x:v>100 líderes globales</x:v>
      </x:c>
      <x:c r="C19" s="445" t="str">
        <x:v>California Institute of Technology</x:v>
      </x:c>
      <x:c r="D19" s="445" t="str">
        <x:v>Estados Unidos</x:v>
      </x:c>
      <x:c r="E19" s="445" t="str">
        <x:v>Norteamérica</x:v>
      </x:c>
      <x:c r="F19" s="445" t="str">
        <x:v>B</x:v>
      </x:c>
      <x:c r="G19" s="445" t="str">
        <x:v>https://www.cms.caltech.edu/academics/ugrad</x:v>
      </x:c>
      <x:c r="H19" s="445" t="str">
        <x:v>Computer Science; Electrical Engineering; Control and Dynamical Systems</x:v>
      </x:c>
      <x:c r="I19"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9" s="445" t="n">
        <x:v>12</x:v>
      </x:c>
      <x:c r="K19" s="445" t="str">
        <x:v>Base matemática y científica</x:v>
      </x:c>
      <x:c r="L19" s="445" t="str">
        <x:v>2026-07-29</x:v>
      </x:c>
      <x:c r="M19" s="445" t="str">
        <x:v>Revisada</x:v>
      </x:c>
    </x:row>
    <x:row r="20" ht="58" customHeight="1">
      <x:c r="A20" s="442" t="n">
        <x:v>16</x:v>
      </x:c>
      <x:c r="B20" s="442" t="str">
        <x:v>100 líderes globales</x:v>
      </x:c>
      <x:c r="C20" s="442" t="str">
        <x:v>Columbia University</x:v>
      </x:c>
      <x:c r="D20" s="442" t="str">
        <x:v>Estados Unidos</x:v>
      </x:c>
      <x:c r="E20" s="442" t="str">
        <x:v>Norteamérica</x:v>
      </x:c>
      <x:c r="F20" s="442" t="str">
        <x:v>B</x:v>
      </x:c>
      <x:c r="G20" s="442" t="str">
        <x:v>https://www.cs.columbia.edu/education/undergraduate/</x:v>
      </x:c>
      <x:c r="H20" s="442" t="str">
        <x:v>Computer Science; Computer Engineering; Data Science; Robotics</x:v>
      </x:c>
      <x:c r="I20"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20" s="442" t="n">
        <x:v>13</x:v>
      </x:c>
      <x:c r="K20" s="442" t="str">
        <x:v>CS urbano interdisciplinario</x:v>
      </x:c>
      <x:c r="L20" s="442" t="str">
        <x:v>2026-07-29</x:v>
      </x:c>
      <x:c r="M20" s="442" t="str">
        <x:v>Revisada</x:v>
      </x:c>
    </x:row>
    <x:row r="21" ht="58" customHeight="1">
      <x:c r="A21" s="445" t="n">
        <x:v>17</x:v>
      </x:c>
      <x:c r="B21" s="445" t="str">
        <x:v>100 líderes globales</x:v>
      </x:c>
      <x:c r="C21" s="445" t="str">
        <x:v>New York University</x:v>
      </x:c>
      <x:c r="D21" s="445" t="str">
        <x:v>Estados Unidos</x:v>
      </x:c>
      <x:c r="E21" s="445" t="str">
        <x:v>Norteamérica</x:v>
      </x:c>
      <x:c r="F21" s="445" t="str">
        <x:v>B</x:v>
      </x:c>
      <x:c r="G21" s="445" t="str">
        <x:v>https://cs.nyu.edu/home/undergrad/</x:v>
      </x:c>
      <x:c r="H21" s="445" t="str">
        <x:v>Computer Science; Integrated Design and Media; Data Science; Game Design</x:v>
      </x:c>
      <x:c r="I21" s="445" t="str">
        <x:v>Matemática y ciencias; Programación y teoría CS; Sistemas y arquitectura; Ingeniería de software; Datos, BI e IA; Redes, telecom y cloud; Ciberseguridad, forense y auditoría; Gráficos, juegos y XR; Diseño, foto, cine y multimedia; Sistemas de información y gestión TI; Investigación, profesión y capstones</x:v>
      </x:c>
      <x:c r="J21" s="445" t="n">
        <x:v>11</x:v>
      </x:c>
      <x:c r="K21" s="445" t="str">
        <x:v>CS, medios y juegos</x:v>
      </x:c>
      <x:c r="L21" s="445" t="str">
        <x:v>2026-07-29</x:v>
      </x:c>
      <x:c r="M21" s="445" t="str">
        <x:v>Revisada</x:v>
      </x:c>
    </x:row>
    <x:row r="22" ht="58" customHeight="1">
      <x:c r="A22" s="442" t="n">
        <x:v>18</x:v>
      </x:c>
      <x:c r="B22" s="442" t="str">
        <x:v>100 líderes globales</x:v>
      </x:c>
      <x:c r="C22" s="442" t="str">
        <x:v>University of Southern California</x:v>
      </x:c>
      <x:c r="D22" s="442" t="str">
        <x:v>Estados Unidos</x:v>
      </x:c>
      <x:c r="E22" s="442" t="str">
        <x:v>Norteamérica</x:v>
      </x:c>
      <x:c r="F22" s="442" t="str">
        <x:v>B</x:v>
      </x:c>
      <x:c r="G22" s="442" t="str">
        <x:v>https://www.cs.usc.edu/academic-programs/undergrad/</x:v>
      </x:c>
      <x:c r="H22" s="442" t="str">
        <x:v>Computer Science; Computer Engineering; Games; Film and Interactive Media</x:v>
      </x:c>
      <x:c r="I22"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Investigación, profesión y capstones</x:v>
      </x:c>
      <x:c r="J22" s="442" t="n">
        <x:v>12</x:v>
      </x:c>
      <x:c r="K22" s="442" t="str">
        <x:v>Computación y medios audiovisuales</x:v>
      </x:c>
      <x:c r="L22" s="442" t="str">
        <x:v>2026-07-29</x:v>
      </x:c>
      <x:c r="M22" s="442" t="str">
        <x:v>Revisada</x:v>
      </x:c>
    </x:row>
    <x:row r="23" ht="58" customHeight="1">
      <x:c r="A23" s="445" t="n">
        <x:v>19</x:v>
      </x:c>
      <x:c r="B23" s="445" t="str">
        <x:v>100 líderes globales</x:v>
      </x:c>
      <x:c r="C23" s="445" t="str">
        <x:v>University of Wisconsin–Madison</x:v>
      </x:c>
      <x:c r="D23" s="445" t="str">
        <x:v>Estados Unidos</x:v>
      </x:c>
      <x:c r="E23" s="445" t="str">
        <x:v>Norteamérica</x:v>
      </x:c>
      <x:c r="F23" s="445" t="str">
        <x:v>B</x:v>
      </x:c>
      <x:c r="G23" s="445" t="str">
        <x:v>https://www.cs.wisc.edu/undergraduate/</x:v>
      </x:c>
      <x:c r="H23" s="445" t="str">
        <x:v>Computer Sciences; Data Science; Computer Engineering</x:v>
      </x:c>
      <x:c r="I23"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23" s="445" t="n">
        <x:v>12</x:v>
      </x:c>
      <x:c r="K23" s="445" t="str">
        <x:v>CS y datos</x:v>
      </x:c>
      <x:c r="L23" s="445" t="str">
        <x:v>2026-07-29</x:v>
      </x:c>
      <x:c r="M23" s="445" t="str">
        <x:v>Revisada</x:v>
      </x:c>
    </x:row>
    <x:row r="24" ht="58" customHeight="1">
      <x:c r="A24" s="442" t="n">
        <x:v>20</x:v>
      </x:c>
      <x:c r="B24" s="442" t="str">
        <x:v>100 líderes globales</x:v>
      </x:c>
      <x:c r="C24" s="442" t="str">
        <x:v>University of Maryland, College Park</x:v>
      </x:c>
      <x:c r="D24" s="442" t="str">
        <x:v>Estados Unidos</x:v>
      </x:c>
      <x:c r="E24" s="442" t="str">
        <x:v>Norteamérica</x:v>
      </x:c>
      <x:c r="F24" s="442" t="str">
        <x:v>B</x:v>
      </x:c>
      <x:c r="G24" s="442" t="str">
        <x:v>https://undergrad.cs.umd.edu/</x:v>
      </x:c>
      <x:c r="H24" s="442" t="str">
        <x:v>Computer Science; Immersive Media Design; Computer Engineering; Cybersecurity</x:v>
      </x:c>
      <x:c r="I24"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Bioinformática y salud digital; Computación cuántica; Investigación, profesión y capstones</x:v>
      </x:c>
      <x:c r="J24" s="442" t="n">
        <x:v>14</x:v>
      </x:c>
      <x:c r="K24" s="442" t="str">
        <x:v>Ciberseguridad e inmersión</x:v>
      </x:c>
      <x:c r="L24" s="442" t="str">
        <x:v>2026-07-29</x:v>
      </x:c>
      <x:c r="M24" s="442" t="str">
        <x:v>Revisada</x:v>
      </x:c>
    </x:row>
    <x:row r="25" ht="58" customHeight="1">
      <x:c r="A25" s="445" t="n">
        <x:v>21</x:v>
      </x:c>
      <x:c r="B25" s="445" t="str">
        <x:v>100 líderes globales</x:v>
      </x:c>
      <x:c r="C25" s="445" t="str">
        <x:v>Purdue University</x:v>
      </x:c>
      <x:c r="D25" s="445" t="str">
        <x:v>Estados Unidos</x:v>
      </x:c>
      <x:c r="E25" s="445" t="str">
        <x:v>Norteamérica</x:v>
      </x:c>
      <x:c r="F25" s="445" t="str">
        <x:v>A</x:v>
      </x:c>
      <x:c r="G25" s="445" t="str">
        <x:v>https://www.cs.purdue.edu/undergraduate/curriculum/index.html</x:v>
      </x:c>
      <x:c r="H25" s="445" t="str">
        <x:v>Computer Science; Computer Engineering; Mechatronics Engineering Technology; Data Science</x:v>
      </x:c>
      <x:c r="I25" s="445"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Sistemas de información y gestión TI; Investigación, profesión y capstones</x:v>
      </x:c>
      <x:c r="J25" s="445" t="n">
        <x:v>13</x:v>
      </x:c>
      <x:c r="K25" s="445" t="str">
        <x:v>CS e ingeniería aplicada</x:v>
      </x:c>
      <x:c r="L25" s="445" t="str">
        <x:v>2026-07-29</x:v>
      </x:c>
      <x:c r="M25" s="445" t="str">
        <x:v>Revisada</x:v>
      </x:c>
    </x:row>
    <x:row r="26" ht="58" customHeight="1">
      <x:c r="A26" s="442" t="n">
        <x:v>22</x:v>
      </x:c>
      <x:c r="B26" s="442" t="str">
        <x:v>100 líderes globales</x:v>
      </x:c>
      <x:c r="C26" s="442" t="str">
        <x:v>University of Pennsylvania</x:v>
      </x:c>
      <x:c r="D26" s="442" t="str">
        <x:v>Estados Unidos</x:v>
      </x:c>
      <x:c r="E26" s="442" t="str">
        <x:v>Norteamérica</x:v>
      </x:c>
      <x:c r="F26" s="442" t="str">
        <x:v>B</x:v>
      </x:c>
      <x:c r="G26" s="442" t="str">
        <x:v>https://www.cis.upenn.edu/undergraduate/</x:v>
      </x:c>
      <x:c r="H26" s="442" t="str">
        <x:v>Computer and Information Science; Computer Engineering; Robotics; Digital Media Design</x:v>
      </x:c>
      <x:c r="I26"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Bioinformática y salud digital; Computación cuántica; Investigación, profesión y capstones</x:v>
      </x:c>
      <x:c r="J26" s="442" t="n">
        <x:v>14</x:v>
      </x:c>
      <x:c r="K26" s="442" t="str">
        <x:v>Computación, robótica y medios</x:v>
      </x:c>
      <x:c r="L26" s="442" t="str">
        <x:v>2026-07-29</x:v>
      </x:c>
      <x:c r="M26" s="442" t="str">
        <x:v>Revisada</x:v>
      </x:c>
    </x:row>
    <x:row r="27" ht="58" customHeight="1">
      <x:c r="A27" s="445" t="n">
        <x:v>23</x:v>
      </x:c>
      <x:c r="B27" s="445" t="str">
        <x:v>100 líderes globales</x:v>
      </x:c>
      <x:c r="C27" s="445" t="str">
        <x:v>Yale University</x:v>
      </x:c>
      <x:c r="D27" s="445" t="str">
        <x:v>Estados Unidos</x:v>
      </x:c>
      <x:c r="E27" s="445" t="str">
        <x:v>Norteamérica</x:v>
      </x:c>
      <x:c r="F27" s="445" t="str">
        <x:v>B</x:v>
      </x:c>
      <x:c r="G27" s="445" t="str">
        <x:v>https://cpsc.yale.edu/academics/undergraduate-program</x:v>
      </x:c>
      <x:c r="H27" s="445" t="str">
        <x:v>Computer Science; Electrical Engineering; Statistics and Data Science</x:v>
      </x:c>
      <x:c r="I27" s="445" t="str">
        <x:v>Matemática y ciencias; Programación y teoría CS; Sistemas y arquitectura; Ingeniería de software; Datos, BI e IA; Ciberseguridad, forense y auditoría; Electrónica, embebidos e IoT; Robótica y mecatrónica; Bioinformática y salud digital; Computación cuántica; Investigación, profesión y capstones</x:v>
      </x:c>
      <x:c r="J27" s="445" t="n">
        <x:v>11</x:v>
      </x:c>
      <x:c r="K27" s="445" t="str">
        <x:v>CS liberal e interdisciplinario</x:v>
      </x:c>
      <x:c r="L27" s="445" t="str">
        <x:v>2026-07-29</x:v>
      </x:c>
      <x:c r="M27" s="445" t="str">
        <x:v>Revisada</x:v>
      </x:c>
    </x:row>
    <x:row r="28" ht="58" customHeight="1">
      <x:c r="A28" s="442" t="n">
        <x:v>24</x:v>
      </x:c>
      <x:c r="B28" s="442" t="str">
        <x:v>100 líderes globales</x:v>
      </x:c>
      <x:c r="C28" s="442" t="str">
        <x:v>Duke University</x:v>
      </x:c>
      <x:c r="D28" s="442" t="str">
        <x:v>Estados Unidos</x:v>
      </x:c>
      <x:c r="E28" s="442" t="str">
        <x:v>Norteamérica</x:v>
      </x:c>
      <x:c r="F28" s="442" t="str">
        <x:v>B</x:v>
      </x:c>
      <x:c r="G28" s="442" t="str">
        <x:v>https://cs.duke.edu/undergraduate</x:v>
      </x:c>
      <x:c r="H28" s="442" t="str">
        <x:v>Computer Science; ECE; AI; Computational Biology</x:v>
      </x:c>
      <x:c r="I28"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28" s="442" t="n">
        <x:v>12</x:v>
      </x:c>
      <x:c r="K28" s="442" t="str">
        <x:v>CS, IA y biocomputación</x:v>
      </x:c>
      <x:c r="L28" s="442" t="str">
        <x:v>2026-07-29</x:v>
      </x:c>
      <x:c r="M28" s="442" t="str">
        <x:v>Revisada</x:v>
      </x:c>
    </x:row>
    <x:row r="29" ht="58" customHeight="1">
      <x:c r="A29" s="445" t="n">
        <x:v>25</x:v>
      </x:c>
      <x:c r="B29" s="445" t="str">
        <x:v>100 líderes globales</x:v>
      </x:c>
      <x:c r="C29" s="445" t="str">
        <x:v>Johns Hopkins University</x:v>
      </x:c>
      <x:c r="D29" s="445" t="str">
        <x:v>Estados Unidos</x:v>
      </x:c>
      <x:c r="E29" s="445" t="str">
        <x:v>Norteamérica</x:v>
      </x:c>
      <x:c r="F29" s="445" t="str">
        <x:v>B</x:v>
      </x:c>
      <x:c r="G29" s="445" t="str">
        <x:v>https://www.cs.jhu.edu/academic-programs/undergraduate-studies/</x:v>
      </x:c>
      <x:c r="H29" s="445" t="str">
        <x:v>Computer Science; Computer Engineering; Robotics; Biomedical Data Science</x:v>
      </x:c>
      <x:c r="I29"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29" s="445" t="n">
        <x:v>12</x:v>
      </x:c>
      <x:c r="K29" s="445" t="str">
        <x:v>Salud, datos y robótica</x:v>
      </x:c>
      <x:c r="L29" s="445" t="str">
        <x:v>2026-07-29</x:v>
      </x:c>
      <x:c r="M29" s="445" t="str">
        <x:v>Revisada</x:v>
      </x:c>
    </x:row>
    <x:row r="30" ht="58" customHeight="1">
      <x:c r="A30" s="442" t="n">
        <x:v>26</x:v>
      </x:c>
      <x:c r="B30" s="442" t="str">
        <x:v>100 líderes globales</x:v>
      </x:c>
      <x:c r="C30" s="442" t="str">
        <x:v>Northwestern University</x:v>
      </x:c>
      <x:c r="D30" s="442" t="str">
        <x:v>Estados Unidos</x:v>
      </x:c>
      <x:c r="E30" s="442" t="str">
        <x:v>Norteamérica</x:v>
      </x:c>
      <x:c r="F30" s="442" t="str">
        <x:v>B</x:v>
      </x:c>
      <x:c r="G30" s="442" t="str">
        <x:v>https://www.mccormick.northwestern.edu/computer-science/academics/undergraduate/</x:v>
      </x:c>
      <x:c r="H30" s="442" t="str">
        <x:v>Computer Science; Computer Engineering; Robotics; AI</x:v>
      </x:c>
      <x:c r="I30"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30" s="442" t="n">
        <x:v>13</x:v>
      </x:c>
      <x:c r="K30" s="442" t="str">
        <x:v>CS integrado con ingeniería</x:v>
      </x:c>
      <x:c r="L30" s="442" t="str">
        <x:v>2026-07-29</x:v>
      </x:c>
      <x:c r="M30" s="442" t="str">
        <x:v>Revisada</x:v>
      </x:c>
    </x:row>
    <x:row r="31" ht="58" customHeight="1">
      <x:c r="A31" s="445" t="n">
        <x:v>27</x:v>
      </x:c>
      <x:c r="B31" s="445" t="str">
        <x:v>100 líderes globales</x:v>
      </x:c>
      <x:c r="C31" s="445" t="str">
        <x:v>University of Massachusetts Amherst</x:v>
      </x:c>
      <x:c r="D31" s="445" t="str">
        <x:v>Estados Unidos</x:v>
      </x:c>
      <x:c r="E31" s="445" t="str">
        <x:v>Norteamérica</x:v>
      </x:c>
      <x:c r="F31" s="445" t="str">
        <x:v>B</x:v>
      </x:c>
      <x:c r="G31" s="445" t="str">
        <x:v>https://www.cics.umass.edu/academics/undergraduate-programs</x:v>
      </x:c>
      <x:c r="H31" s="445" t="str">
        <x:v>Computer Science; Informatics; Computer Engineering</x:v>
      </x:c>
      <x:c r="I31" s="445"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Investigación, profesión y capstones</x:v>
      </x:c>
      <x:c r="J31" s="445" t="n">
        <x:v>12</x:v>
      </x:c>
      <x:c r="K31" s="445" t="str">
        <x:v>Sistemas e IA</x:v>
      </x:c>
      <x:c r="L31" s="445" t="str">
        <x:v>2026-07-29</x:v>
      </x:c>
      <x:c r="M31" s="445" t="str">
        <x:v>Revisada</x:v>
      </x:c>
    </x:row>
    <x:row r="32" ht="58" customHeight="1">
      <x:c r="A32" s="442" t="n">
        <x:v>28</x:v>
      </x:c>
      <x:c r="B32" s="442" t="str">
        <x:v>100 líderes globales</x:v>
      </x:c>
      <x:c r="C32" s="442" t="str">
        <x:v>Brown University</x:v>
      </x:c>
      <x:c r="D32" s="442" t="str">
        <x:v>Estados Unidos</x:v>
      </x:c>
      <x:c r="E32" s="442" t="str">
        <x:v>Norteamérica</x:v>
      </x:c>
      <x:c r="F32" s="442" t="str">
        <x:v>B</x:v>
      </x:c>
      <x:c r="G32" s="442" t="str">
        <x:v>https://cs.brown.edu/degrees/undergrad/</x:v>
      </x:c>
      <x:c r="H32" s="442" t="str">
        <x:v>Computer Science; Computational Biology; Applied Mathematics; Design Engineering</x:v>
      </x:c>
      <x:c r="I32" s="442" t="str">
        <x:v>Matemática y ciencias; Programación y teoría CS; Sistemas y arquitectura; Ingeniería de software; Datos, BI e IA; Ciberseguridad, forense y auditoría; Robótica y mecatrónica; Gráficos, juegos y XR; Bioinformática y salud digital; Computación cuántica; Investigación, profesión y capstones</x:v>
      </x:c>
      <x:c r="J32" s="442" t="n">
        <x:v>11</x:v>
      </x:c>
      <x:c r="K32" s="442" t="str">
        <x:v>CS abierto y creativo</x:v>
      </x:c>
      <x:c r="L32" s="442" t="str">
        <x:v>2026-07-29</x:v>
      </x:c>
      <x:c r="M32" s="442" t="str">
        <x:v>Revisada</x:v>
      </x:c>
    </x:row>
    <x:row r="33" ht="58" customHeight="1">
      <x:c r="A33" s="445" t="n">
        <x:v>29</x:v>
      </x:c>
      <x:c r="B33" s="445" t="str">
        <x:v>100 líderes globales</x:v>
      </x:c>
      <x:c r="C33" s="445" t="str">
        <x:v>Rice University</x:v>
      </x:c>
      <x:c r="D33" s="445" t="str">
        <x:v>Estados Unidos</x:v>
      </x:c>
      <x:c r="E33" s="445" t="str">
        <x:v>Norteamérica</x:v>
      </x:c>
      <x:c r="F33" s="445" t="str">
        <x:v>B</x:v>
      </x:c>
      <x:c r="G33" s="445" t="str">
        <x:v>https://csweb.rice.edu/academics/undergraduate-programs</x:v>
      </x:c>
      <x:c r="H33" s="445" t="str">
        <x:v>Computer Science; Electrical and Computer Engineering; Data Science</x:v>
      </x:c>
      <x:c r="I33"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33" s="445" t="n">
        <x:v>12</x:v>
      </x:c>
      <x:c r="K33" s="445" t="str">
        <x:v>Sistemas y datos</x:v>
      </x:c>
      <x:c r="L33" s="445" t="str">
        <x:v>2026-07-29</x:v>
      </x:c>
      <x:c r="M33" s="445" t="str">
        <x:v>Revisada</x:v>
      </x:c>
    </x:row>
    <x:row r="34" ht="58" customHeight="1">
      <x:c r="A34" s="442" t="n">
        <x:v>30</x:v>
      </x:c>
      <x:c r="B34" s="442" t="str">
        <x:v>100 líderes globales</x:v>
      </x:c>
      <x:c r="C34" s="442" t="str">
        <x:v>Virginia Tech</x:v>
      </x:c>
      <x:c r="D34" s="442" t="str">
        <x:v>Estados Unidos</x:v>
      </x:c>
      <x:c r="E34" s="442" t="str">
        <x:v>Norteamérica</x:v>
      </x:c>
      <x:c r="F34" s="442" t="str">
        <x:v>B</x:v>
      </x:c>
      <x:c r="G34" s="442" t="str">
        <x:v>https://cs.vt.edu/Undergraduate.html</x:v>
      </x:c>
      <x:c r="H34" s="442" t="str">
        <x:v>Computer Science; Computer Engineering; Cybersecurity; Robotics</x:v>
      </x:c>
      <x:c r="I34" s="442"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Investigación, profesión y capstones</x:v>
      </x:c>
      <x:c r="J34" s="442" t="n">
        <x:v>12</x:v>
      </x:c>
      <x:c r="K34" s="442" t="str">
        <x:v>Ingeniería aplicada</x:v>
      </x:c>
      <x:c r="L34" s="442" t="str">
        <x:v>2026-07-29</x:v>
      </x:c>
      <x:c r="M34" s="442" t="str">
        <x:v>Revisada</x:v>
      </x:c>
    </x:row>
    <x:row r="35" ht="58" customHeight="1">
      <x:c r="A35" s="445" t="n">
        <x:v>31</x:v>
      </x:c>
      <x:c r="B35" s="445" t="str">
        <x:v>100 líderes globales</x:v>
      </x:c>
      <x:c r="C35" s="445" t="str">
        <x:v>Pennsylvania State University</x:v>
      </x:c>
      <x:c r="D35" s="445" t="str">
        <x:v>Estados Unidos</x:v>
      </x:c>
      <x:c r="E35" s="445" t="str">
        <x:v>Norteamérica</x:v>
      </x:c>
      <x:c r="F35" s="445" t="str">
        <x:v>B</x:v>
      </x:c>
      <x:c r="G35" s="445" t="str">
        <x:v>https://www.eecs.psu.edu/students/undergraduate/index.aspx</x:v>
      </x:c>
      <x:c r="H35" s="445" t="str">
        <x:v>Computer Science; Computer Engineering; Cybersecurity Analytics and Operations</x:v>
      </x:c>
      <x:c r="I35" s="445"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35" s="445" t="n">
        <x:v>11</x:v>
      </x:c>
      <x:c r="K35" s="445" t="str">
        <x:v>CS, CE y ciber</x:v>
      </x:c>
      <x:c r="L35" s="445" t="str">
        <x:v>2026-07-29</x:v>
      </x:c>
      <x:c r="M35" s="445" t="str">
        <x:v>Revisada</x:v>
      </x:c>
    </x:row>
    <x:row r="36" ht="58" customHeight="1">
      <x:c r="A36" s="442" t="n">
        <x:v>32</x:v>
      </x:c>
      <x:c r="B36" s="442" t="str">
        <x:v>100 líderes globales</x:v>
      </x:c>
      <x:c r="C36" s="442" t="str">
        <x:v>Ohio State University</x:v>
      </x:c>
      <x:c r="D36" s="442" t="str">
        <x:v>Estados Unidos</x:v>
      </x:c>
      <x:c r="E36" s="442" t="str">
        <x:v>Norteamérica</x:v>
      </x:c>
      <x:c r="F36" s="442" t="str">
        <x:v>B</x:v>
      </x:c>
      <x:c r="G36" s="442" t="str">
        <x:v>https://cse.osu.edu/current-students/undergraduate</x:v>
      </x:c>
      <x:c r="H36" s="442" t="str">
        <x:v>Computer Science and Engineering; Data Analytics; ECE</x:v>
      </x:c>
      <x:c r="I36" s="442"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36" s="442" t="n">
        <x:v>10</x:v>
      </x:c>
      <x:c r="K36" s="442" t="str">
        <x:v>CS e ingeniería</x:v>
      </x:c>
      <x:c r="L36" s="442" t="str">
        <x:v>2026-07-29</x:v>
      </x:c>
      <x:c r="M36" s="442" t="str">
        <x:v>Revisada</x:v>
      </x:c>
    </x:row>
    <x:row r="37" ht="58" customHeight="1">
      <x:c r="A37" s="445" t="n">
        <x:v>33</x:v>
      </x:c>
      <x:c r="B37" s="445" t="str">
        <x:v>100 líderes globales</x:v>
      </x:c>
      <x:c r="C37" s="445" t="str">
        <x:v>University of Minnesota Twin Cities</x:v>
      </x:c>
      <x:c r="D37" s="445" t="str">
        <x:v>Estados Unidos</x:v>
      </x:c>
      <x:c r="E37" s="445" t="str">
        <x:v>Norteamérica</x:v>
      </x:c>
      <x:c r="F37" s="445" t="str">
        <x:v>B</x:v>
      </x:c>
      <x:c r="G37" s="445" t="str">
        <x:v>https://cse.umn.edu/cs/undergraduate-programs</x:v>
      </x:c>
      <x:c r="H37" s="445" t="str">
        <x:v>Computer Science; Computer Engineering; Data Science; Robotics</x:v>
      </x:c>
      <x:c r="I37" s="445" t="str">
        <x:v>Matemática y ciencias; Programación y teoría CS; Sistemas y arquitectura; Ingeniería de software; Datos, BI e IA; Redes, telecom y cloud; Ciberseguridad, forense y auditoría; Electrónica, embebidos e IoT; Robótica y mecatrónica; Bioinformática y salud digital; Investigación, profesión y capstones</x:v>
      </x:c>
      <x:c r="J37" s="445" t="n">
        <x:v>11</x:v>
      </x:c>
      <x:c r="K37" s="445" t="str">
        <x:v>CS, datos y robótica</x:v>
      </x:c>
      <x:c r="L37" s="445" t="str">
        <x:v>2026-07-29</x:v>
      </x:c>
      <x:c r="M37" s="445" t="str">
        <x:v>Revisada</x:v>
      </x:c>
    </x:row>
    <x:row r="38" ht="58" customHeight="1">
      <x:c r="A38" s="442" t="n">
        <x:v>34</x:v>
      </x:c>
      <x:c r="B38" s="442" t="str">
        <x:v>100 líderes globales</x:v>
      </x:c>
      <x:c r="C38" s="442" t="str">
        <x:v>Texas A&amp;M University</x:v>
      </x:c>
      <x:c r="D38" s="442" t="str">
        <x:v>Estados Unidos</x:v>
      </x:c>
      <x:c r="E38" s="442" t="str">
        <x:v>Norteamérica</x:v>
      </x:c>
      <x:c r="F38" s="442" t="str">
        <x:v>B</x:v>
      </x:c>
      <x:c r="G38" s="442" t="str">
        <x:v>https://engineering.tamu.edu/cse/academics/degrees/undergraduate/index.html</x:v>
      </x:c>
      <x:c r="H38" s="442" t="str">
        <x:v>Computer Science; Computer Engineering; Cybersecurity; Data Engineering</x:v>
      </x:c>
      <x:c r="I38"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38" s="442" t="n">
        <x:v>11</x:v>
      </x:c>
      <x:c r="K38" s="442" t="str">
        <x:v>Ingeniería a gran escala</x:v>
      </x:c>
      <x:c r="L38" s="442" t="str">
        <x:v>2026-07-29</x:v>
      </x:c>
      <x:c r="M38" s="442" t="str">
        <x:v>Revisada</x:v>
      </x:c>
    </x:row>
    <x:row r="39" ht="58" customHeight="1">
      <x:c r="A39" s="445" t="n">
        <x:v>35</x:v>
      </x:c>
      <x:c r="B39" s="445" t="str">
        <x:v>100 líderes globales</x:v>
      </x:c>
      <x:c r="C39" s="445" t="str">
        <x:v>University of Toronto</x:v>
      </x:c>
      <x:c r="D39" s="445" t="str">
        <x:v>Canadá</x:v>
      </x:c>
      <x:c r="E39" s="445" t="str">
        <x:v>Norteamérica</x:v>
      </x:c>
      <x:c r="F39" s="445" t="str">
        <x:v>B</x:v>
      </x:c>
      <x:c r="G39" s="445" t="str">
        <x:v>https://web.cs.toronto.edu/undergraduate</x:v>
      </x:c>
      <x:c r="H39" s="445" t="str">
        <x:v>Computer Science; Computer Engineering; Data Science; Computational Biology</x:v>
      </x:c>
      <x:c r="I39"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39" s="445" t="n">
        <x:v>13</x:v>
      </x:c>
      <x:c r="K39" s="445" t="str">
        <x:v>CS e IA</x:v>
      </x:c>
      <x:c r="L39" s="445" t="str">
        <x:v>2026-07-29</x:v>
      </x:c>
      <x:c r="M39" s="445" t="str">
        <x:v>Revisada</x:v>
      </x:c>
    </x:row>
    <x:row r="40" ht="58" customHeight="1">
      <x:c r="A40" s="442" t="n">
        <x:v>36</x:v>
      </x:c>
      <x:c r="B40" s="442" t="str">
        <x:v>100 líderes globales</x:v>
      </x:c>
      <x:c r="C40" s="442" t="str">
        <x:v>University of Waterloo</x:v>
      </x:c>
      <x:c r="D40" s="442" t="str">
        <x:v>Canadá</x:v>
      </x:c>
      <x:c r="E40" s="442" t="str">
        <x:v>Norteamérica</x:v>
      </x:c>
      <x:c r="F40" s="442" t="str">
        <x:v>B</x:v>
      </x:c>
      <x:c r="G40" s="442" t="str">
        <x:v>https://uwaterloo.ca/future-students/programs/computer-science</x:v>
      </x:c>
      <x:c r="H40" s="442" t="str">
        <x:v>Computer Science; Software Engineering; Computer Engineering; Mechatronics; Quantum Information</x:v>
      </x:c>
      <x:c r="I40"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40" s="442" t="n">
        <x:v>13</x:v>
      </x:c>
      <x:c r="K40" s="442" t="str">
        <x:v>Co-op y computación cuántica</x:v>
      </x:c>
      <x:c r="L40" s="442" t="str">
        <x:v>2026-07-29</x:v>
      </x:c>
      <x:c r="M40" s="442" t="str">
        <x:v>Revisada</x:v>
      </x:c>
    </x:row>
    <x:row r="41" ht="58" customHeight="1">
      <x:c r="A41" s="445" t="n">
        <x:v>37</x:v>
      </x:c>
      <x:c r="B41" s="445" t="str">
        <x:v>100 líderes globales</x:v>
      </x:c>
      <x:c r="C41" s="445" t="str">
        <x:v>University of British Columbia</x:v>
      </x:c>
      <x:c r="D41" s="445" t="str">
        <x:v>Canadá</x:v>
      </x:c>
      <x:c r="E41" s="445" t="str">
        <x:v>Norteamérica</x:v>
      </x:c>
      <x:c r="F41" s="445" t="str">
        <x:v>B</x:v>
      </x:c>
      <x:c r="G41" s="445" t="str">
        <x:v>https://www.cs.ubc.ca/students/undergrad</x:v>
      </x:c>
      <x:c r="H41" s="445" t="str">
        <x:v>Computer Science; Computer Engineering; Cognitive Systems; Data Science</x:v>
      </x:c>
      <x:c r="I41"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41" s="445" t="n">
        <x:v>13</x:v>
      </x:c>
      <x:c r="K41" s="445" t="str">
        <x:v>CS y cognición</x:v>
      </x:c>
      <x:c r="L41" s="445" t="str">
        <x:v>2026-07-29</x:v>
      </x:c>
      <x:c r="M41" s="445" t="str">
        <x:v>Revisada</x:v>
      </x:c>
    </x:row>
    <x:row r="42" ht="58" customHeight="1">
      <x:c r="A42" s="442" t="n">
        <x:v>38</x:v>
      </x:c>
      <x:c r="B42" s="442" t="str">
        <x:v>100 líderes globales</x:v>
      </x:c>
      <x:c r="C42" s="442" t="str">
        <x:v>McGill University</x:v>
      </x:c>
      <x:c r="D42" s="442" t="str">
        <x:v>Canadá</x:v>
      </x:c>
      <x:c r="E42" s="442" t="str">
        <x:v>Norteamérica</x:v>
      </x:c>
      <x:c r="F42" s="442" t="str">
        <x:v>B</x:v>
      </x:c>
      <x:c r="G42" s="442" t="str">
        <x:v>https://www.cs.mcgill.ca/academic/undergrad/</x:v>
      </x:c>
      <x:c r="H42" s="442" t="str">
        <x:v>Computer Science; Software Engineering; Computer Engineering; Bioinformatics</x:v>
      </x:c>
      <x:c r="I42"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42" s="442" t="n">
        <x:v>12</x:v>
      </x:c>
      <x:c r="K42" s="442" t="str">
        <x:v>CS multilingüe</x:v>
      </x:c>
      <x:c r="L42" s="442" t="str">
        <x:v>2026-07-29</x:v>
      </x:c>
      <x:c r="M42" s="442" t="str">
        <x:v>Revisada</x:v>
      </x:c>
    </x:row>
    <x:row r="43" ht="58" customHeight="1">
      <x:c r="A43" s="445" t="n">
        <x:v>39</x:v>
      </x:c>
      <x:c r="B43" s="445" t="str">
        <x:v>100 líderes globales</x:v>
      </x:c>
      <x:c r="C43" s="445" t="str">
        <x:v>University of Alberta</x:v>
      </x:c>
      <x:c r="D43" s="445" t="str">
        <x:v>Canadá</x:v>
      </x:c>
      <x:c r="E43" s="445" t="str">
        <x:v>Norteamérica</x:v>
      </x:c>
      <x:c r="F43" s="445" t="str">
        <x:v>B</x:v>
      </x:c>
      <x:c r="G43" s="445" t="str">
        <x:v>https://www.ualberta.ca/en/computing-science/undergraduate-studies/index.html</x:v>
      </x:c>
      <x:c r="H43" s="445" t="str">
        <x:v>Computing Science; AI; Software Practice; Computer Engineering</x:v>
      </x:c>
      <x:c r="I43" s="445" t="str">
        <x:v>Matemática y ciencias; Programación y teoría CS; Sistemas y arquitectura; Ingeniería de software; Datos, BI e IA; Redes, telecom y cloud; Ciberseguridad, forense y auditoría; Electrónica, embebidos e IoT; Robótica y mecatrónica; Bioinformática y salud digital; Investigación, profesión y capstones</x:v>
      </x:c>
      <x:c r="J43" s="445" t="n">
        <x:v>11</x:v>
      </x:c>
      <x:c r="K43" s="445" t="str">
        <x:v>IA y computación</x:v>
      </x:c>
      <x:c r="L43" s="445" t="str">
        <x:v>2026-07-29</x:v>
      </x:c>
      <x:c r="M43" s="445" t="str">
        <x:v>Revisada</x:v>
      </x:c>
    </x:row>
    <x:row r="44" ht="58" customHeight="1">
      <x:c r="A44" s="442" t="n">
        <x:v>40</x:v>
      </x:c>
      <x:c r="B44" s="442" t="str">
        <x:v>100 líderes globales</x:v>
      </x:c>
      <x:c r="C44" s="442" t="str">
        <x:v>Université de Montréal</x:v>
      </x:c>
      <x:c r="D44" s="442" t="str">
        <x:v>Canadá</x:v>
      </x:c>
      <x:c r="E44" s="442" t="str">
        <x:v>Norteamérica</x:v>
      </x:c>
      <x:c r="F44" s="442" t="str">
        <x:v>B</x:v>
      </x:c>
      <x:c r="G44" s="442" t="str">
        <x:v>https://diro.umontreal.ca/programmes-cours/premier-cycle/</x:v>
      </x:c>
      <x:c r="H44" s="442" t="str">
        <x:v>Informatique; Data Science; AI; Bioinformatics</x:v>
      </x:c>
      <x:c r="I44" s="442" t="str">
        <x:v>Matemática y ciencias; Programación y teoría CS; Sistemas y arquitectura; Ingeniería de software; Datos, BI e IA; Ciberseguridad, forense y auditoría; Robótica y mecatrónica; Bioinformática y salud digital; Computación cuántica; Investigación, profesión y capstones</x:v>
      </x:c>
      <x:c r="J44" s="442" t="n">
        <x:v>10</x:v>
      </x:c>
      <x:c r="K44" s="442" t="str">
        <x:v>IA y ciencia de datos</x:v>
      </x:c>
      <x:c r="L44" s="442" t="str">
        <x:v>2026-07-29</x:v>
      </x:c>
      <x:c r="M44" s="442" t="str">
        <x:v>Revisada</x:v>
      </x:c>
    </x:row>
    <x:row r="45" ht="58" customHeight="1">
      <x:c r="A45" s="445" t="n">
        <x:v>41</x:v>
      </x:c>
      <x:c r="B45" s="445" t="str">
        <x:v>100 líderes globales</x:v>
      </x:c>
      <x:c r="C45" s="445" t="str">
        <x:v>Simon Fraser University</x:v>
      </x:c>
      <x:c r="D45" s="445" t="str">
        <x:v>Canadá</x:v>
      </x:c>
      <x:c r="E45" s="445" t="str">
        <x:v>Norteamérica</x:v>
      </x:c>
      <x:c r="F45" s="445" t="str">
        <x:v>B</x:v>
      </x:c>
      <x:c r="G45" s="445" t="str">
        <x:v>https://www.sfu.ca/computing/prospective-students/undergraduate-students.html</x:v>
      </x:c>
      <x:c r="H45" s="445" t="str">
        <x:v>Computing Science; Software Systems; Interactive Arts and Technology</x:v>
      </x:c>
      <x:c r="I45" s="445" t="str">
        <x:v>Matemática y ciencias; Programación y teoría CS; Sistemas y arquitectura; Ingeniería de software; Datos, BI e IA; Redes, telecom y cloud; Ciberseguridad, forense y auditoría; Gráficos, juegos y XR; Diseño, foto, cine y multimedia; Sistemas de información y gestión TI; Bioinformática y salud digital; Investigación, profesión y capstones</x:v>
      </x:c>
      <x:c r="J45" s="445" t="n">
        <x:v>12</x:v>
      </x:c>
      <x:c r="K45" s="445" t="str">
        <x:v>Sistemas y medios interactivos</x:v>
      </x:c>
      <x:c r="L45" s="445" t="str">
        <x:v>2026-07-29</x:v>
      </x:c>
      <x:c r="M45" s="445" t="str">
        <x:v>Revisada</x:v>
      </x:c>
    </x:row>
    <x:row r="46" ht="58" customHeight="1">
      <x:c r="A46" s="442" t="n">
        <x:v>42</x:v>
      </x:c>
      <x:c r="B46" s="442" t="str">
        <x:v>100 líderes globales</x:v>
      </x:c>
      <x:c r="C46" s="442" t="str">
        <x:v>University of Oxford</x:v>
      </x:c>
      <x:c r="D46" s="442" t="str">
        <x:v>Reino Unido</x:v>
      </x:c>
      <x:c r="E46" s="442" t="str">
        <x:v>Europa</x:v>
      </x:c>
      <x:c r="F46" s="442" t="str">
        <x:v>A</x:v>
      </x:c>
      <x:c r="G46" s="442" t="str">
        <x:v>https://www.ox.ac.uk/admissions/undergraduate/courses/course-listing/computer-science</x:v>
      </x:c>
      <x:c r="H46" s="442" t="str">
        <x:v>Computer Science; Mathematics and Computer Science; Engineering Science</x:v>
      </x:c>
      <x:c r="I46" s="442" t="str">
        <x:v>Matemática y ciencias; Programación y teoría CS; Sistemas y arquitectura; Ingeniería de software; Datos, BI e IA; Redes, telecom y cloud; Ciberseguridad, forense y auditoría; Robótica y mecatrónica; Bioinformática y salud digital; Computación cuántica; Investigación, profesión y capstones</x:v>
      </x:c>
      <x:c r="J46" s="442" t="n">
        <x:v>11</x:v>
      </x:c>
      <x:c r="K46" s="442" t="str">
        <x:v>Rigor matemático y formal</x:v>
      </x:c>
      <x:c r="L46" s="442" t="str">
        <x:v>2026-07-29</x:v>
      </x:c>
      <x:c r="M46" s="442" t="str">
        <x:v>Revisada</x:v>
      </x:c>
    </x:row>
    <x:row r="47" ht="58" customHeight="1">
      <x:c r="A47" s="445" t="n">
        <x:v>43</x:v>
      </x:c>
      <x:c r="B47" s="445" t="str">
        <x:v>100 líderes globales</x:v>
      </x:c>
      <x:c r="C47" s="445" t="str">
        <x:v>University of Cambridge</x:v>
      </x:c>
      <x:c r="D47" s="445" t="str">
        <x:v>Reino Unido</x:v>
      </x:c>
      <x:c r="E47" s="445" t="str">
        <x:v>Europa</x:v>
      </x:c>
      <x:c r="F47" s="445" t="str">
        <x:v>A</x:v>
      </x:c>
      <x:c r="G47" s="445" t="str">
        <x:v>https://www.cst.cam.ac.uk/admissions/undergraduate/course-overview</x:v>
      </x:c>
      <x:c r="H47" s="445" t="str">
        <x:v>Computer Science Tripos; Engineering; Information Engineering</x:v>
      </x:c>
      <x:c r="I47"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47" s="445" t="n">
        <x:v>13</x:v>
      </x:c>
      <x:c r="K47" s="445" t="str">
        <x:v>Teoría, software y hardware</x:v>
      </x:c>
      <x:c r="L47" s="445" t="str">
        <x:v>2026-07-29</x:v>
      </x:c>
      <x:c r="M47" s="445" t="str">
        <x:v>Revisada</x:v>
      </x:c>
    </x:row>
    <x:row r="48" ht="58" customHeight="1">
      <x:c r="A48" s="442" t="n">
        <x:v>44</x:v>
      </x:c>
      <x:c r="B48" s="442" t="str">
        <x:v>100 líderes globales</x:v>
      </x:c>
      <x:c r="C48" s="442" t="str">
        <x:v>Imperial College London</x:v>
      </x:c>
      <x:c r="D48" s="442" t="str">
        <x:v>Reino Unido</x:v>
      </x:c>
      <x:c r="E48" s="442" t="str">
        <x:v>Europa</x:v>
      </x:c>
      <x:c r="F48" s="442" t="str">
        <x:v>A</x:v>
      </x:c>
      <x:c r="G48" s="442" t="str">
        <x:v>https://www.imperial.ac.uk/engineering/departments/computing/prospective-students/courses/ug/beng-meng-computing/</x:v>
      </x:c>
      <x:c r="H48" s="442" t="str">
        <x:v>Computing; Electronic and Information Engineering; AI; Security</x:v>
      </x:c>
      <x:c r="I48"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48" s="442" t="n">
        <x:v>13</x:v>
      </x:c>
      <x:c r="K48" s="442" t="str">
        <x:v>Ingeniería computacional</x:v>
      </x:c>
      <x:c r="L48" s="442" t="str">
        <x:v>2026-07-29</x:v>
      </x:c>
      <x:c r="M48" s="442" t="str">
        <x:v>Revisada</x:v>
      </x:c>
    </x:row>
    <x:row r="49" ht="58" customHeight="1">
      <x:c r="A49" s="445" t="n">
        <x:v>45</x:v>
      </x:c>
      <x:c r="B49" s="445" t="str">
        <x:v>100 líderes globales</x:v>
      </x:c>
      <x:c r="C49" s="445" t="str">
        <x:v>University College London</x:v>
      </x:c>
      <x:c r="D49" s="445" t="str">
        <x:v>Reino Unido</x:v>
      </x:c>
      <x:c r="E49" s="445" t="str">
        <x:v>Europa</x:v>
      </x:c>
      <x:c r="F49" s="445" t="str">
        <x:v>B</x:v>
      </x:c>
      <x:c r="G49" s="445" t="str">
        <x:v>https://www.ucl.ac.uk/computer-science/study/undergraduate</x:v>
      </x:c>
      <x:c r="H49" s="445" t="str">
        <x:v>Computer Science; Robotics and AI; Information Management; Biomedical Engineering</x:v>
      </x:c>
      <x:c r="I49" s="445"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49" s="445" t="n">
        <x:v>14</x:v>
      </x:c>
      <x:c r="K49" s="445" t="str">
        <x:v>CS, salud y robótica</x:v>
      </x:c>
      <x:c r="L49" s="445" t="str">
        <x:v>2026-07-29</x:v>
      </x:c>
      <x:c r="M49" s="445" t="str">
        <x:v>Revisada</x:v>
      </x:c>
    </x:row>
    <x:row r="50" ht="58" customHeight="1">
      <x:c r="A50" s="442" t="n">
        <x:v>46</x:v>
      </x:c>
      <x:c r="B50" s="442" t="str">
        <x:v>100 líderes globales</x:v>
      </x:c>
      <x:c r="C50" s="442" t="str">
        <x:v>University of Edinburgh</x:v>
      </x:c>
      <x:c r="D50" s="442" t="str">
        <x:v>Reino Unido</x:v>
      </x:c>
      <x:c r="E50" s="442" t="str">
        <x:v>Europa</x:v>
      </x:c>
      <x:c r="F50" s="442" t="str">
        <x:v>B</x:v>
      </x:c>
      <x:c r="G50" s="442" t="str">
        <x:v>https://informatics.ed.ac.uk/study-with-us/undergraduate</x:v>
      </x:c>
      <x:c r="H50" s="442" t="str">
        <x:v>Computer Science; AI; Software Engineering; Cognitive Science; Informatics</x:v>
      </x:c>
      <x:c r="I50" s="442" t="str">
        <x:v>Matemática y ciencias; Programación y teoría CS; Sistemas y arquitectura; Ingeniería de software; Datos, BI e IA; Redes, telecom y cloud; Ciberseguridad, forense y auditoría; Robótica y mecatrónica; Gráficos, juegos y XR; Sistemas de información y gestión TI; Bioinformática y salud digital; Computación cuántica; Investigación, profesión y capstones</x:v>
      </x:c>
      <x:c r="J50" s="442" t="n">
        <x:v>13</x:v>
      </x:c>
      <x:c r="K50" s="442" t="str">
        <x:v>Informática e IA</x:v>
      </x:c>
      <x:c r="L50" s="442" t="str">
        <x:v>2026-07-29</x:v>
      </x:c>
      <x:c r="M50" s="442" t="str">
        <x:v>Revisada</x:v>
      </x:c>
    </x:row>
    <x:row r="51" ht="58" customHeight="1">
      <x:c r="A51" s="445" t="n">
        <x:v>47</x:v>
      </x:c>
      <x:c r="B51" s="445" t="str">
        <x:v>100 líderes globales</x:v>
      </x:c>
      <x:c r="C51" s="445" t="str">
        <x:v>University of Manchester</x:v>
      </x:c>
      <x:c r="D51" s="445" t="str">
        <x:v>Reino Unido</x:v>
      </x:c>
      <x:c r="E51" s="445" t="str">
        <x:v>Europa</x:v>
      </x:c>
      <x:c r="F51" s="445" t="str">
        <x:v>B</x:v>
      </x:c>
      <x:c r="G51" s="445" t="str">
        <x:v>https://www.cs.manchester.ac.uk/study/undergraduate/</x:v>
      </x:c>
      <x:c r="H51" s="445" t="str">
        <x:v>Computer Science; Software Engineering; AI; Computer Systems Engineering</x:v>
      </x:c>
      <x:c r="I51"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51" s="445" t="n">
        <x:v>13</x:v>
      </x:c>
      <x:c r="K51" s="445" t="str">
        <x:v>CS e ingeniería</x:v>
      </x:c>
      <x:c r="L51" s="445" t="str">
        <x:v>2026-07-29</x:v>
      </x:c>
      <x:c r="M51" s="445" t="str">
        <x:v>Revisada</x:v>
      </x:c>
    </x:row>
    <x:row r="52" ht="58" customHeight="1">
      <x:c r="A52" s="442" t="n">
        <x:v>48</x:v>
      </x:c>
      <x:c r="B52" s="442" t="str">
        <x:v>100 líderes globales</x:v>
      </x:c>
      <x:c r="C52" s="442" t="str">
        <x:v>King's College London</x:v>
      </x:c>
      <x:c r="D52" s="442" t="str">
        <x:v>Reino Unido</x:v>
      </x:c>
      <x:c r="E52" s="442" t="str">
        <x:v>Europa</x:v>
      </x:c>
      <x:c r="F52" s="442" t="str">
        <x:v>B</x:v>
      </x:c>
      <x:c r="G52" s="442" t="str">
        <x:v>https://www.kcl.ac.uk/informatics/study/undergraduate</x:v>
      </x:c>
      <x:c r="H52" s="442" t="str">
        <x:v>Computer Science; AI; Data Science; Cyber Security</x:v>
      </x:c>
      <x:c r="I52" s="442" t="str">
        <x:v>Matemática y ciencias; Programación y teoría CS; Sistemas y arquitectura; Ingeniería de software; Datos, BI e IA; Redes, telecom y cloud; Ciberseguridad, forense y auditoría; Robótica y mecatrónica; Bioinformática y salud digital; Investigación, profesión y capstones</x:v>
      </x:c>
      <x:c r="J52" s="442" t="n">
        <x:v>10</x:v>
      </x:c>
      <x:c r="K52" s="442" t="str">
        <x:v>Informática, IA y ciber</x:v>
      </x:c>
      <x:c r="L52" s="442" t="str">
        <x:v>2026-07-29</x:v>
      </x:c>
      <x:c r="M52" s="442" t="str">
        <x:v>Revisada</x:v>
      </x:c>
    </x:row>
    <x:row r="53" ht="58" customHeight="1">
      <x:c r="A53" s="445" t="n">
        <x:v>49</x:v>
      </x:c>
      <x:c r="B53" s="445" t="str">
        <x:v>100 líderes globales</x:v>
      </x:c>
      <x:c r="C53" s="445" t="str">
        <x:v>University of Warwick</x:v>
      </x:c>
      <x:c r="D53" s="445" t="str">
        <x:v>Reino Unido</x:v>
      </x:c>
      <x:c r="E53" s="445" t="str">
        <x:v>Europa</x:v>
      </x:c>
      <x:c r="F53" s="445" t="str">
        <x:v>B</x:v>
      </x:c>
      <x:c r="G53" s="445" t="str">
        <x:v>https://warwick.ac.uk/fac/sci/dcs/admissions/undergraduate/</x:v>
      </x:c>
      <x:c r="H53" s="445" t="str">
        <x:v>Computer Science; Data Science; Cyber Security; Discrete Mathematics</x:v>
      </x:c>
      <x:c r="I53" s="445" t="str">
        <x:v>Matemática y ciencias; Programación y teoría CS; Sistemas y arquitectura; Ingeniería de software; Datos, BI e IA; Redes, telecom y cloud; Ciberseguridad, forense y auditoría; Investigación, profesión y capstones</x:v>
      </x:c>
      <x:c r="J53" s="445" t="n">
        <x:v>8</x:v>
      </x:c>
      <x:c r="K53" s="445" t="str">
        <x:v>CS y matemática discreta</x:v>
      </x:c>
      <x:c r="L53" s="445" t="str">
        <x:v>2026-07-29</x:v>
      </x:c>
      <x:c r="M53" s="445" t="str">
        <x:v>Revisada</x:v>
      </x:c>
    </x:row>
    <x:row r="54" ht="58" customHeight="1">
      <x:c r="A54" s="442" t="n">
        <x:v>50</x:v>
      </x:c>
      <x:c r="B54" s="442" t="str">
        <x:v>100 líderes globales</x:v>
      </x:c>
      <x:c r="C54" s="442" t="str">
        <x:v>University of Southampton</x:v>
      </x:c>
      <x:c r="D54" s="442" t="str">
        <x:v>Reino Unido</x:v>
      </x:c>
      <x:c r="E54" s="442" t="str">
        <x:v>Europa</x:v>
      </x:c>
      <x:c r="F54" s="442" t="str">
        <x:v>B</x:v>
      </x:c>
      <x:c r="G54" s="442" t="str">
        <x:v>https://www.ecs.soton.ac.uk/courses</x:v>
      </x:c>
      <x:c r="H54" s="442" t="str">
        <x:v>Computer Science; Electronic Engineering; Cyber Security; AI; Mechatronics</x:v>
      </x:c>
      <x:c r="I54"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54" s="442" t="n">
        <x:v>13</x:v>
      </x:c>
      <x:c r="K54" s="442" t="str">
        <x:v>ECS integrado</x:v>
      </x:c>
      <x:c r="L54" s="442" t="str">
        <x:v>2026-07-29</x:v>
      </x:c>
      <x:c r="M54" s="442" t="str">
        <x:v>Revisada</x:v>
      </x:c>
    </x:row>
    <x:row r="55" ht="58" customHeight="1">
      <x:c r="A55" s="445" t="n">
        <x:v>51</x:v>
      </x:c>
      <x:c r="B55" s="445" t="str">
        <x:v>100 líderes globales</x:v>
      </x:c>
      <x:c r="C55" s="445" t="str">
        <x:v>ETH Zürich</x:v>
      </x:c>
      <x:c r="D55" s="445" t="str">
        <x:v>Suiza</x:v>
      </x:c>
      <x:c r="E55" s="445" t="str">
        <x:v>Europa</x:v>
      </x:c>
      <x:c r="F55" s="445" t="str">
        <x:v>A</x:v>
      </x:c>
      <x:c r="G55" s="445" t="str">
        <x:v>https://inf.ethz.ch/studies/bachelor.html</x:v>
      </x:c>
      <x:c r="H55" s="445" t="str">
        <x:v>Computer Science; Electrical Engineering; Robotics; Computational Biology; Quantum Engineering</x:v>
      </x:c>
      <x:c r="I55"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55" s="445" t="n">
        <x:v>12</x:v>
      </x:c>
      <x:c r="K55" s="445" t="str">
        <x:v>CS continental</x:v>
      </x:c>
      <x:c r="L55" s="445" t="str">
        <x:v>2026-07-29</x:v>
      </x:c>
      <x:c r="M55" s="445" t="str">
        <x:v>Revisada</x:v>
      </x:c>
    </x:row>
    <x:row r="56" ht="58" customHeight="1">
      <x:c r="A56" s="442" t="n">
        <x:v>52</x:v>
      </x:c>
      <x:c r="B56" s="442" t="str">
        <x:v>100 líderes globales</x:v>
      </x:c>
      <x:c r="C56" s="442" t="str">
        <x:v>EPFL</x:v>
      </x:c>
      <x:c r="D56" s="442" t="str">
        <x:v>Suiza</x:v>
      </x:c>
      <x:c r="E56" s="442" t="str">
        <x:v>Europa</x:v>
      </x:c>
      <x:c r="F56" s="442" t="str">
        <x:v>A</x:v>
      </x:c>
      <x:c r="G56" s="442" t="str">
        <x:v>https://edu.epfl.ch/studyplan/en/bachelor/computer-science/</x:v>
      </x:c>
      <x:c r="H56" s="442" t="str">
        <x:v>Computer Science; Communication Systems; Electrical Engineering; Robotics</x:v>
      </x:c>
      <x:c r="I56"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56" s="442" t="n">
        <x:v>13</x:v>
      </x:c>
      <x:c r="K56" s="442" t="str">
        <x:v>Plan por créditos y laboratorios</x:v>
      </x:c>
      <x:c r="L56" s="442" t="str">
        <x:v>2026-07-29</x:v>
      </x:c>
      <x:c r="M56" s="442" t="str">
        <x:v>Revisada</x:v>
      </x:c>
    </x:row>
    <x:row r="57" ht="58" customHeight="1">
      <x:c r="A57" s="445" t="n">
        <x:v>53</x:v>
      </x:c>
      <x:c r="B57" s="445" t="str">
        <x:v>100 líderes globales</x:v>
      </x:c>
      <x:c r="C57" s="445" t="str">
        <x:v>Technical University of Munich</x:v>
      </x:c>
      <x:c r="D57" s="445" t="str">
        <x:v>Alemania</x:v>
      </x:c>
      <x:c r="E57" s="445" t="str">
        <x:v>Europa</x:v>
      </x:c>
      <x:c r="F57" s="445" t="str">
        <x:v>A</x:v>
      </x:c>
      <x:c r="G57" s="445" t="str">
        <x:v>https://www.tum.de/en/studies/degree-programs/detail/informatics-bachelor-of-science-bsc</x:v>
      </x:c>
      <x:c r="H57" s="445" t="str">
        <x:v>Informatics; Information Systems; Games Engineering; Robotics; Electrical Engineering</x:v>
      </x:c>
      <x:c r="I57" s="445"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57" s="445" t="n">
        <x:v>14</x:v>
      </x:c>
      <x:c r="K57" s="445" t="str">
        <x:v>Informática aplicada</x:v>
      </x:c>
      <x:c r="L57" s="445" t="str">
        <x:v>2026-07-29</x:v>
      </x:c>
      <x:c r="M57" s="445" t="str">
        <x:v>Revisada</x:v>
      </x:c>
    </x:row>
    <x:row r="58" ht="58" customHeight="1">
      <x:c r="A58" s="442" t="n">
        <x:v>54</x:v>
      </x:c>
      <x:c r="B58" s="442" t="str">
        <x:v>100 líderes globales</x:v>
      </x:c>
      <x:c r="C58" s="442" t="str">
        <x:v>RWTH Aachen University</x:v>
      </x:c>
      <x:c r="D58" s="442" t="str">
        <x:v>Alemania</x:v>
      </x:c>
      <x:c r="E58" s="442" t="str">
        <x:v>Europa</x:v>
      </x:c>
      <x:c r="F58" s="442" t="str">
        <x:v>B</x:v>
      </x:c>
      <x:c r="G58" s="442" t="str">
        <x:v>https://www.rwth-aachen.de/go/id/bnzs/lidx/1</x:v>
      </x:c>
      <x:c r="H58" s="442" t="str">
        <x:v>Computer Science; Electrical Engineering; Automation; Data Science</x:v>
      </x:c>
      <x:c r="I58"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58" s="442" t="n">
        <x:v>11</x:v>
      </x:c>
      <x:c r="K58" s="442" t="str">
        <x:v>Ingeniería y automatización</x:v>
      </x:c>
      <x:c r="L58" s="442" t="str">
        <x:v>2026-07-29</x:v>
      </x:c>
      <x:c r="M58" s="442" t="str">
        <x:v>Revisada</x:v>
      </x:c>
    </x:row>
    <x:row r="59" ht="58" customHeight="1">
      <x:c r="A59" s="445" t="n">
        <x:v>55</x:v>
      </x:c>
      <x:c r="B59" s="445" t="str">
        <x:v>100 líderes globales</x:v>
      </x:c>
      <x:c r="C59" s="445" t="str">
        <x:v>Karlsruhe Institute of Technology</x:v>
      </x:c>
      <x:c r="D59" s="445" t="str">
        <x:v>Alemania</x:v>
      </x:c>
      <x:c r="E59" s="445" t="str">
        <x:v>Europa</x:v>
      </x:c>
      <x:c r="F59" s="445" t="str">
        <x:v>B</x:v>
      </x:c>
      <x:c r="G59" s="445" t="str">
        <x:v>https://www.informatik.kit.edu/english/study.php</x:v>
      </x:c>
      <x:c r="H59" s="445" t="str">
        <x:v>Computer Science; Information Systems; Electrical Engineering; Mechatronics</x:v>
      </x:c>
      <x:c r="I59" s="445" t="str">
        <x:v>Matemática y ciencias; Programación y teoría CS; Sistemas y arquitectura; Ingeniería de software; Datos, BI e IA; Redes, telecom y cloud; Ciberseguridad, forense y auditoría; Electrónica, embebidos e IoT; Robótica y mecatrónica; Sistemas de información y gestión TI; Computación cuántica; Investigación, profesión y capstones</x:v>
      </x:c>
      <x:c r="J59" s="445" t="n">
        <x:v>12</x:v>
      </x:c>
      <x:c r="K59" s="445" t="str">
        <x:v>Informática e ingeniería</x:v>
      </x:c>
      <x:c r="L59" s="445" t="str">
        <x:v>2026-07-29</x:v>
      </x:c>
      <x:c r="M59" s="445" t="str">
        <x:v>Revisada</x:v>
      </x:c>
    </x:row>
    <x:row r="60" ht="58" customHeight="1">
      <x:c r="A60" s="442" t="n">
        <x:v>56</x:v>
      </x:c>
      <x:c r="B60" s="442" t="str">
        <x:v>100 líderes globales</x:v>
      </x:c>
      <x:c r="C60" s="442" t="str">
        <x:v>Saarland University</x:v>
      </x:c>
      <x:c r="D60" s="442" t="str">
        <x:v>Alemania</x:v>
      </x:c>
      <x:c r="E60" s="442" t="str">
        <x:v>Europa</x:v>
      </x:c>
      <x:c r="F60" s="442" t="str">
        <x:v>B</x:v>
      </x:c>
      <x:c r="G60" s="442" t="str">
        <x:v>https://www.uni-saarland.de/en/study/programmes/bachelor/computer-science.html</x:v>
      </x:c>
      <x:c r="H60" s="442" t="str">
        <x:v>Computer Science; Cybersecurity; Bioinformatics; Data Science and AI</x:v>
      </x:c>
      <x:c r="I60" s="442" t="str">
        <x:v>Matemática y ciencias; Programación y teoría CS; Sistemas y arquitectura; Ingeniería de software; Datos, BI e IA; Redes, telecom y cloud; Ciberseguridad, forense y auditoría; Gráficos, juegos y XR; Bioinformática y salud digital; Investigación, profesión y capstones</x:v>
      </x:c>
      <x:c r="J60" s="442" t="n">
        <x:v>10</x:v>
      </x:c>
      <x:c r="K60" s="442" t="str">
        <x:v>CS y seguridad</x:v>
      </x:c>
      <x:c r="L60" s="442" t="str">
        <x:v>2026-07-29</x:v>
      </x:c>
      <x:c r="M60" s="442" t="str">
        <x:v>Revisada</x:v>
      </x:c>
    </x:row>
    <x:row r="61" ht="58" customHeight="1">
      <x:c r="A61" s="445" t="n">
        <x:v>57</x:v>
      </x:c>
      <x:c r="B61" s="445" t="str">
        <x:v>100 líderes globales</x:v>
      </x:c>
      <x:c r="C61" s="445" t="str">
        <x:v>Technische Universität Berlin</x:v>
      </x:c>
      <x:c r="D61" s="445" t="str">
        <x:v>Alemania</x:v>
      </x:c>
      <x:c r="E61" s="445" t="str">
        <x:v>Europa</x:v>
      </x:c>
      <x:c r="F61" s="445" t="str">
        <x:v>B</x:v>
      </x:c>
      <x:c r="G61" s="445" t="str">
        <x:v>https://www.tu.berlin/en/studying/study-programs/all-programs-offered/study-course/computer-science-b-sc</x:v>
      </x:c>
      <x:c r="H61" s="445" t="str">
        <x:v>Informatik; Computer Engineering; Information Systems; Media Informatics</x:v>
      </x:c>
      <x:c r="I61"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Sistemas de información y gestión TI; Investigación, profesión y capstones</x:v>
      </x:c>
      <x:c r="J61" s="445" t="n">
        <x:v>13</x:v>
      </x:c>
      <x:c r="K61" s="445" t="str">
        <x:v>Sistemas e informática</x:v>
      </x:c>
      <x:c r="L61" s="445" t="str">
        <x:v>2026-07-29</x:v>
      </x:c>
      <x:c r="M61" s="445" t="str">
        <x:v>Revisada</x:v>
      </x:c>
    </x:row>
    <x:row r="62" ht="58" customHeight="1">
      <x:c r="A62" s="442" t="n">
        <x:v>58</x:v>
      </x:c>
      <x:c r="B62" s="442" t="str">
        <x:v>100 líderes globales</x:v>
      </x:c>
      <x:c r="C62" s="442" t="str">
        <x:v>Delft University of Technology</x:v>
      </x:c>
      <x:c r="D62" s="442" t="str">
        <x:v>Países Bajos</x:v>
      </x:c>
      <x:c r="E62" s="442" t="str">
        <x:v>Europa</x:v>
      </x:c>
      <x:c r="F62" s="442" t="str">
        <x:v>B</x:v>
      </x:c>
      <x:c r="G62" s="442" t="str">
        <x:v>https://www.tudelft.nl/en/education/programmes/bachelors/cse/bsc-computer-science-and-engineering</x:v>
      </x:c>
      <x:c r="H62" s="442" t="str">
        <x:v>Computer Science and Engineering; Electrical Engineering; Robotics; Embedded Systems</x:v>
      </x:c>
      <x:c r="I62" s="442"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62" s="442" t="n">
        <x:v>11</x:v>
      </x:c>
      <x:c r="K62" s="442" t="str">
        <x:v>Ingeniería de sistemas</x:v>
      </x:c>
      <x:c r="L62" s="442" t="str">
        <x:v>2026-07-29</x:v>
      </x:c>
      <x:c r="M62" s="442" t="str">
        <x:v>Revisada</x:v>
      </x:c>
    </x:row>
    <x:row r="63" ht="58" customHeight="1">
      <x:c r="A63" s="445" t="n">
        <x:v>59</x:v>
      </x:c>
      <x:c r="B63" s="445" t="str">
        <x:v>100 líderes globales</x:v>
      </x:c>
      <x:c r="C63" s="445" t="str">
        <x:v>University of Amsterdam</x:v>
      </x:c>
      <x:c r="D63" s="445" t="str">
        <x:v>Países Bajos</x:v>
      </x:c>
      <x:c r="E63" s="445" t="str">
        <x:v>Europa</x:v>
      </x:c>
      <x:c r="F63" s="445" t="str">
        <x:v>B</x:v>
      </x:c>
      <x:c r="G63" s="445" t="str">
        <x:v>https://www.uva.nl/en/programmes/bachelors/computer-science/computer-science.html</x:v>
      </x:c>
      <x:c r="H63" s="445" t="str">
        <x:v>Computer Science; AI; Information Studies; Data Science</x:v>
      </x:c>
      <x:c r="I63" s="445" t="str">
        <x:v>Matemática y ciencias; Programación y teoría CS; Sistemas y arquitectura; Ingeniería de software; Datos, BI e IA; Redes, telecom y cloud; Ciberseguridad, forense y auditoría; Gráficos, juegos y XR; Sistemas de información y gestión TI; Bioinformática y salud digital; Investigación, profesión y capstones</x:v>
      </x:c>
      <x:c r="J63" s="445" t="n">
        <x:v>11</x:v>
      </x:c>
      <x:c r="K63" s="445" t="str">
        <x:v>IA e información</x:v>
      </x:c>
      <x:c r="L63" s="445" t="str">
        <x:v>2026-07-29</x:v>
      </x:c>
      <x:c r="M63" s="445" t="str">
        <x:v>Revisada</x:v>
      </x:c>
    </x:row>
    <x:row r="64" ht="58" customHeight="1">
      <x:c r="A64" s="442" t="n">
        <x:v>60</x:v>
      </x:c>
      <x:c r="B64" s="442" t="str">
        <x:v>100 líderes globales</x:v>
      </x:c>
      <x:c r="C64" s="442" t="str">
        <x:v>KU Leuven</x:v>
      </x:c>
      <x:c r="D64" s="442" t="str">
        <x:v>Bélgica</x:v>
      </x:c>
      <x:c r="E64" s="442" t="str">
        <x:v>Europa</x:v>
      </x:c>
      <x:c r="F64" s="442" t="str">
        <x:v>B</x:v>
      </x:c>
      <x:c r="G64" s="442" t="str">
        <x:v>https://onderwijsaanbod.kuleuven.be/opleidingen/e/SC_55554488.htm</x:v>
      </x:c>
      <x:c r="H64" s="442" t="str">
        <x:v>Engineering Technology; Computer Science; Electronics and ICT; AI</x:v>
      </x:c>
      <x:c r="I64"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64" s="442" t="n">
        <x:v>12</x:v>
      </x:c>
      <x:c r="K64" s="442" t="str">
        <x:v>Ingeniería e ICT</x:v>
      </x:c>
      <x:c r="L64" s="442" t="str">
        <x:v>2026-07-29</x:v>
      </x:c>
      <x:c r="M64" s="442" t="str">
        <x:v>Revisada</x:v>
      </x:c>
    </x:row>
    <x:row r="65" ht="58" customHeight="1">
      <x:c r="A65" s="445" t="n">
        <x:v>61</x:v>
      </x:c>
      <x:c r="B65" s="445" t="str">
        <x:v>100 líderes globales</x:v>
      </x:c>
      <x:c r="C65" s="445" t="str">
        <x:v>KTH Royal Institute of Technology</x:v>
      </x:c>
      <x:c r="D65" s="445" t="str">
        <x:v>Suecia</x:v>
      </x:c>
      <x:c r="E65" s="445" t="str">
        <x:v>Europa</x:v>
      </x:c>
      <x:c r="F65" s="445" t="str">
        <x:v>B</x:v>
      </x:c>
      <x:c r="G65" s="445" t="str">
        <x:v>https://www.kth.se/en/studies/bachelor/information-and-communication-technology</x:v>
      </x:c>
      <x:c r="H65" s="445" t="str">
        <x:v>ICT; Computer Science; Electrical Engineering; Machine Learning</x:v>
      </x:c>
      <x:c r="I65" s="445"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65" s="445" t="n">
        <x:v>10</x:v>
      </x:c>
      <x:c r="K65" s="445" t="str">
        <x:v>ICT e ingeniería</x:v>
      </x:c>
      <x:c r="L65" s="445" t="str">
        <x:v>2026-07-29</x:v>
      </x:c>
      <x:c r="M65" s="445" t="str">
        <x:v>Revisada</x:v>
      </x:c>
    </x:row>
    <x:row r="66" ht="58" customHeight="1">
      <x:c r="A66" s="442" t="n">
        <x:v>62</x:v>
      </x:c>
      <x:c r="B66" s="442" t="str">
        <x:v>100 líderes globales</x:v>
      </x:c>
      <x:c r="C66" s="442" t="str">
        <x:v>Aalto University</x:v>
      </x:c>
      <x:c r="D66" s="442" t="str">
        <x:v>Finlandia</x:v>
      </x:c>
      <x:c r="E66" s="442" t="str">
        <x:v>Europa</x:v>
      </x:c>
      <x:c r="F66" s="442" t="str">
        <x:v>B</x:v>
      </x:c>
      <x:c r="G66" s="442" t="str">
        <x:v>https://www.aalto.fi/en/study-options/computational-engineering-bachelor-of-science-technology-master-of-science-technology</x:v>
      </x:c>
      <x:c r="H66" s="442" t="str">
        <x:v>Computer Science; Digital Systems and Design; Computational Engineering; Game Design</x:v>
      </x:c>
      <x:c r="I66"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Investigación, profesión y capstones</x:v>
      </x:c>
      <x:c r="J66" s="442" t="n">
        <x:v>12</x:v>
      </x:c>
      <x:c r="K66" s="442" t="str">
        <x:v>Diseño y tecnología</x:v>
      </x:c>
      <x:c r="L66" s="442" t="str">
        <x:v>2026-07-29</x:v>
      </x:c>
      <x:c r="M66" s="442" t="str">
        <x:v>Revisada</x:v>
      </x:c>
    </x:row>
    <x:row r="67" ht="58" customHeight="1">
      <x:c r="A67" s="445" t="n">
        <x:v>63</x:v>
      </x:c>
      <x:c r="B67" s="445" t="str">
        <x:v>100 líderes globales</x:v>
      </x:c>
      <x:c r="C67" s="445" t="str">
        <x:v>Chalmers University of Technology</x:v>
      </x:c>
      <x:c r="D67" s="445" t="str">
        <x:v>Suecia</x:v>
      </x:c>
      <x:c r="E67" s="445" t="str">
        <x:v>Europa</x:v>
      </x:c>
      <x:c r="F67" s="445" t="str">
        <x:v>B</x:v>
      </x:c>
      <x:c r="G67" s="445" t="str">
        <x:v>https://www.chalmers.se/en/education/find-masters-programme/computer-systems-and-networks-msc/</x:v>
      </x:c>
      <x:c r="H67" s="445" t="str">
        <x:v>Computer Science; Software Engineering; Computer Systems and Networks; Embedded Systems</x:v>
      </x:c>
      <x:c r="I67" s="445"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67" s="445" t="n">
        <x:v>10</x:v>
      </x:c>
      <x:c r="K67" s="445" t="str">
        <x:v>Sistemas y redes</x:v>
      </x:c>
      <x:c r="L67" s="445" t="str">
        <x:v>2026-07-29</x:v>
      </x:c>
      <x:c r="M67" s="445" t="str">
        <x:v>Revisada</x:v>
      </x:c>
    </x:row>
    <x:row r="68" ht="58" customHeight="1">
      <x:c r="A68" s="442" t="n">
        <x:v>64</x:v>
      </x:c>
      <x:c r="B68" s="442" t="str">
        <x:v>100 líderes globales</x:v>
      </x:c>
      <x:c r="C68" s="442" t="str">
        <x:v>Technical University of Denmark</x:v>
      </x:c>
      <x:c r="D68" s="442" t="str">
        <x:v>Dinamarca</x:v>
      </x:c>
      <x:c r="E68" s="442" t="str">
        <x:v>Europa</x:v>
      </x:c>
      <x:c r="F68" s="442" t="str">
        <x:v>B</x:v>
      </x:c>
      <x:c r="G68" s="442" t="str">
        <x:v>https://www.dtu.dk/english/education/undergraduate/general-engineering/cyber-systems</x:v>
      </x:c>
      <x:c r="H68" s="442" t="str">
        <x:v>Software Technology; Cyber Systems; Electrical Engineering; Autonomous Systems</x:v>
      </x:c>
      <x:c r="I68" s="442"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68" s="442" t="n">
        <x:v>11</x:v>
      </x:c>
      <x:c r="K68" s="442" t="str">
        <x:v>Sistemas ciberfísicos</x:v>
      </x:c>
      <x:c r="L68" s="442" t="str">
        <x:v>2026-07-29</x:v>
      </x:c>
      <x:c r="M68" s="442" t="str">
        <x:v>Revisada</x:v>
      </x:c>
    </x:row>
    <x:row r="69" ht="58" customHeight="1">
      <x:c r="A69" s="445" t="n">
        <x:v>65</x:v>
      </x:c>
      <x:c r="B69" s="445" t="str">
        <x:v>100 líderes globales</x:v>
      </x:c>
      <x:c r="C69" s="445" t="str">
        <x:v>University of Copenhagen</x:v>
      </x:c>
      <x:c r="D69" s="445" t="str">
        <x:v>Dinamarca</x:v>
      </x:c>
      <x:c r="E69" s="445" t="str">
        <x:v>Europa</x:v>
      </x:c>
      <x:c r="F69" s="445" t="str">
        <x:v>B</x:v>
      </x:c>
      <x:c r="G69" s="445" t="str">
        <x:v>https://studies.ku.dk/bachelor/computer-science/</x:v>
      </x:c>
      <x:c r="H69" s="445" t="str">
        <x:v>Computer Science; Machine Learning and Data Science; Bioinformatics</x:v>
      </x:c>
      <x:c r="I69" s="445" t="str">
        <x:v>Matemática y ciencias; Programación y teoría CS; Sistemas y arquitectura; Ingeniería de software; Datos, BI e IA; Redes, telecom y cloud; Ciberseguridad, forense y auditoría; Bioinformática y salud digital; Computación cuántica; Investigación, profesión y capstones</x:v>
      </x:c>
      <x:c r="J69" s="445" t="n">
        <x:v>10</x:v>
      </x:c>
      <x:c r="K69" s="445" t="str">
        <x:v>CS, datos y bio</x:v>
      </x:c>
      <x:c r="L69" s="445" t="str">
        <x:v>2026-07-29</x:v>
      </x:c>
      <x:c r="M69" s="445" t="str">
        <x:v>Revisada</x:v>
      </x:c>
    </x:row>
    <x:row r="70" ht="58" customHeight="1">
      <x:c r="A70" s="442" t="n">
        <x:v>66</x:v>
      </x:c>
      <x:c r="B70" s="442" t="str">
        <x:v>100 líderes globales</x:v>
      </x:c>
      <x:c r="C70" s="442" t="str">
        <x:v>Norwegian University of Science and Technology (NTNU)</x:v>
      </x:c>
      <x:c r="D70" s="442" t="str">
        <x:v>Noruega</x:v>
      </x:c>
      <x:c r="E70" s="442" t="str">
        <x:v>Europa</x:v>
      </x:c>
      <x:c r="F70" s="442" t="str">
        <x:v>B</x:v>
      </x:c>
      <x:c r="G70" s="442" t="str">
        <x:v>https://www.ntnu.edu/studies/bit</x:v>
      </x:c>
      <x:c r="H70" s="442" t="str">
        <x:v>Informatics; Computer Science; Cyber Security; Electronic Systems; Robotics</x:v>
      </x:c>
      <x:c r="I70"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70" s="442" t="n">
        <x:v>11</x:v>
      </x:c>
      <x:c r="K70" s="442" t="str">
        <x:v>Tecnología integrada</x:v>
      </x:c>
      <x:c r="L70" s="442" t="str">
        <x:v>2026-07-29</x:v>
      </x:c>
      <x:c r="M70" s="442" t="str">
        <x:v>Revisada</x:v>
      </x:c>
    </x:row>
    <x:row r="71" ht="58" customHeight="1">
      <x:c r="A71" s="445" t="n">
        <x:v>67</x:v>
      </x:c>
      <x:c r="B71" s="445" t="str">
        <x:v>100 líderes globales</x:v>
      </x:c>
      <x:c r="C71" s="445" t="str">
        <x:v>Université Paris-Saclay</x:v>
      </x:c>
      <x:c r="D71" s="445" t="str">
        <x:v>Francia</x:v>
      </x:c>
      <x:c r="E71" s="445" t="str">
        <x:v>Europa</x:v>
      </x:c>
      <x:c r="F71" s="445" t="str">
        <x:v>B</x:v>
      </x:c>
      <x:c r="G71" s="445" t="str">
        <x:v>https://www.universite-paris-saclay.fr/en/education/bachelor/computer-science</x:v>
      </x:c>
      <x:c r="H71" s="445" t="str">
        <x:v>Informatique; Data Science; AI; Electronics; Quantum</x:v>
      </x:c>
      <x:c r="I71"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71" s="445" t="n">
        <x:v>12</x:v>
      </x:c>
      <x:c r="K71" s="445" t="str">
        <x:v>CS e investigación</x:v>
      </x:c>
      <x:c r="L71" s="445" t="str">
        <x:v>2026-07-29</x:v>
      </x:c>
      <x:c r="M71" s="445" t="str">
        <x:v>Revisada</x:v>
      </x:c>
    </x:row>
    <x:row r="72" ht="58" customHeight="1">
      <x:c r="A72" s="442" t="n">
        <x:v>68</x:v>
      </x:c>
      <x:c r="B72" s="442" t="str">
        <x:v>100 líderes globales</x:v>
      </x:c>
      <x:c r="C72" s="442" t="str">
        <x:v>Université PSL</x:v>
      </x:c>
      <x:c r="D72" s="442" t="str">
        <x:v>Francia</x:v>
      </x:c>
      <x:c r="E72" s="442" t="str">
        <x:v>Europa</x:v>
      </x:c>
      <x:c r="F72" s="442" t="str">
        <x:v>B</x:v>
      </x:c>
      <x:c r="G72" s="442" t="str">
        <x:v>https://psl.eu/en/education/bachelors-degree-computer-science-organizational-sciences</x:v>
      </x:c>
      <x:c r="H72" s="442" t="str">
        <x:v>Informatics; Data and AI; Digital Humanities; Engineering</x:v>
      </x:c>
      <x:c r="I72" s="442" t="str">
        <x:v>Matemática y ciencias; Programación y teoría CS; Sistemas y arquitectura; Ingeniería de software; Datos, BI e IA; Ciberseguridad, forense y auditoría; Electrónica, embebidos e IoT; Robótica y mecatrónica; Diseño, foto, cine y multimedia; Sistemas de información y gestión TI; Bioinformática y salud digital; Computación cuántica; Investigación, profesión y capstones</x:v>
      </x:c>
      <x:c r="J72" s="442" t="n">
        <x:v>13</x:v>
      </x:c>
      <x:c r="K72" s="442" t="str">
        <x:v>Computación interdisciplinaria</x:v>
      </x:c>
      <x:c r="L72" s="442" t="str">
        <x:v>2026-07-29</x:v>
      </x:c>
      <x:c r="M72" s="442" t="str">
        <x:v>Revisada</x:v>
      </x:c>
    </x:row>
    <x:row r="73" ht="58" customHeight="1">
      <x:c r="A73" s="445" t="n">
        <x:v>69</x:v>
      </x:c>
      <x:c r="B73" s="445" t="str">
        <x:v>100 líderes globales</x:v>
      </x:c>
      <x:c r="C73" s="445" t="str">
        <x:v>Sorbonne University</x:v>
      </x:c>
      <x:c r="D73" s="445" t="str">
        <x:v>Francia</x:v>
      </x:c>
      <x:c r="E73" s="445" t="str">
        <x:v>Europa</x:v>
      </x:c>
      <x:c r="F73" s="445" t="str">
        <x:v>B</x:v>
      </x:c>
      <x:c r="G73" s="445" t="str">
        <x:v>https://sciences.sorbonne-universite.fr/en/education-0/bachelors/computer-science</x:v>
      </x:c>
      <x:c r="H73" s="445" t="str">
        <x:v>Informatique; Electronics; Robotics; Data Science</x:v>
      </x:c>
      <x:c r="I73"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73" s="445" t="n">
        <x:v>12</x:v>
      </x:c>
      <x:c r="K73" s="445" t="str">
        <x:v>CS y ciencias</x:v>
      </x:c>
      <x:c r="L73" s="445" t="str">
        <x:v>2026-07-29</x:v>
      </x:c>
      <x:c r="M73" s="445" t="str">
        <x:v>Revisada</x:v>
      </x:c>
    </x:row>
    <x:row r="74" ht="58" customHeight="1">
      <x:c r="A74" s="442" t="n">
        <x:v>70</x:v>
      </x:c>
      <x:c r="B74" s="442" t="str">
        <x:v>100 líderes globales</x:v>
      </x:c>
      <x:c r="C74" s="442" t="str">
        <x:v>Institut Polytechnique de Paris</x:v>
      </x:c>
      <x:c r="D74" s="442" t="str">
        <x:v>Francia</x:v>
      </x:c>
      <x:c r="E74" s="442" t="str">
        <x:v>Europa</x:v>
      </x:c>
      <x:c r="F74" s="442" t="str">
        <x:v>B</x:v>
      </x:c>
      <x:c r="G74" s="442" t="str">
        <x:v>https://www.ip-paris.fr/en/education/bachelor-science</x:v>
      </x:c>
      <x:c r="H74" s="442" t="str">
        <x:v>Computer Science; Mathematics; Data and AI; Cybersecurity</x:v>
      </x:c>
      <x:c r="I74" s="442"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74" s="442" t="n">
        <x:v>11</x:v>
      </x:c>
      <x:c r="K74" s="442" t="str">
        <x:v>Matemática e ingeniería</x:v>
      </x:c>
      <x:c r="L74" s="442" t="str">
        <x:v>2026-07-29</x:v>
      </x:c>
      <x:c r="M74" s="442" t="str">
        <x:v>Revisada</x:v>
      </x:c>
    </x:row>
    <x:row r="75" ht="58" customHeight="1">
      <x:c r="A75" s="445" t="n">
        <x:v>71</x:v>
      </x:c>
      <x:c r="B75" s="445" t="str">
        <x:v>100 líderes globales</x:v>
      </x:c>
      <x:c r="C75" s="445" t="str">
        <x:v>Politecnico di Milano</x:v>
      </x:c>
      <x:c r="D75" s="445" t="str">
        <x:v>Italia</x:v>
      </x:c>
      <x:c r="E75" s="445" t="str">
        <x:v>Europa</x:v>
      </x:c>
      <x:c r="F75" s="445" t="str">
        <x:v>B</x:v>
      </x:c>
      <x:c r="G75" s="445" t="str">
        <x:v>https://www.polimi.it/en/education/laurea-programmes/programme-detail/computer-science-and-engineering</x:v>
      </x:c>
      <x:c r="H75" s="445" t="str">
        <x:v>Computer Science and Engineering; Electronics; Automation; Design</x:v>
      </x:c>
      <x:c r="I75"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Sistemas de información y gestión TI; Investigación, profesión y capstones</x:v>
      </x:c>
      <x:c r="J75" s="445" t="n">
        <x:v>13</x:v>
      </x:c>
      <x:c r="K75" s="445" t="str">
        <x:v>Ingeniería y diseño</x:v>
      </x:c>
      <x:c r="L75" s="445" t="str">
        <x:v>2026-07-29</x:v>
      </x:c>
      <x:c r="M75" s="445" t="str">
        <x:v>Revisada</x:v>
      </x:c>
    </x:row>
    <x:row r="76" ht="58" customHeight="1">
      <x:c r="A76" s="442" t="n">
        <x:v>72</x:v>
      </x:c>
      <x:c r="B76" s="442" t="str">
        <x:v>100 líderes globales</x:v>
      </x:c>
      <x:c r="C76" s="442" t="str">
        <x:v>Sapienza University of Rome</x:v>
      </x:c>
      <x:c r="D76" s="442" t="str">
        <x:v>Italia</x:v>
      </x:c>
      <x:c r="E76" s="442" t="str">
        <x:v>Europa</x:v>
      </x:c>
      <x:c r="F76" s="442" t="str">
        <x:v>B</x:v>
      </x:c>
      <x:c r="G76" s="442" t="str">
        <x:v>https://corsidilaurea.uniroma1.it/en/corso/2024/29923/home</x:v>
      </x:c>
      <x:c r="H76" s="442" t="str">
        <x:v>Computer and System Engineering; AI and Robotics; Electronics</x:v>
      </x:c>
      <x:c r="I76" s="442"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Investigación, profesión y capstones</x:v>
      </x:c>
      <x:c r="J76" s="442" t="n">
        <x:v>12</x:v>
      </x:c>
      <x:c r="K76" s="442" t="str">
        <x:v>Sistemas y robótica</x:v>
      </x:c>
      <x:c r="L76" s="442" t="str">
        <x:v>2026-07-29</x:v>
      </x:c>
      <x:c r="M76" s="442" t="str">
        <x:v>Revisada</x:v>
      </x:c>
    </x:row>
    <x:row r="77" ht="58" customHeight="1">
      <x:c r="A77" s="445" t="n">
        <x:v>73</x:v>
      </x:c>
      <x:c r="B77" s="445" t="str">
        <x:v>100 líderes globales</x:v>
      </x:c>
      <x:c r="C77" s="445" t="str">
        <x:v>University of Bologna</x:v>
      </x:c>
      <x:c r="D77" s="445" t="str">
        <x:v>Italia</x:v>
      </x:c>
      <x:c r="E77" s="445" t="str">
        <x:v>Europa</x:v>
      </x:c>
      <x:c r="F77" s="445" t="str">
        <x:v>B</x:v>
      </x:c>
      <x:c r="G77" s="445" t="str">
        <x:v>https://corsi.unibo.it/1cycle/ComputerScienceEngineering</x:v>
      </x:c>
      <x:c r="H77" s="445" t="str">
        <x:v>Computer Science and Engineering; Automation; Electronics; Digital Humanities</x:v>
      </x:c>
      <x:c r="I77" s="445" t="str">
        <x:v>Matemática y ciencias; Programación y teoría CS; Sistemas y arquitectura; Ingeniería de software; Datos, BI e IA; Redes, telecom y cloud; Ciberseguridad, forense y auditoría; Electrónica, embebidos e IoT; Robótica y mecatrónica; Diseño, foto, cine y multimedia; Sistemas de información y gestión TI; Investigación, profesión y capstones</x:v>
      </x:c>
      <x:c r="J77" s="445" t="n">
        <x:v>12</x:v>
      </x:c>
      <x:c r="K77" s="445" t="str">
        <x:v>CS e ingeniería</x:v>
      </x:c>
      <x:c r="L77" s="445" t="str">
        <x:v>2026-07-29</x:v>
      </x:c>
      <x:c r="M77" s="445" t="str">
        <x:v>Revisada</x:v>
      </x:c>
    </x:row>
    <x:row r="78" ht="58" customHeight="1">
      <x:c r="A78" s="442" t="n">
        <x:v>74</x:v>
      </x:c>
      <x:c r="B78" s="442" t="str">
        <x:v>100 líderes globales</x:v>
      </x:c>
      <x:c r="C78" s="442" t="str">
        <x:v>Universitat Politècnica de Catalunya (UPC)</x:v>
      </x:c>
      <x:c r="D78" s="442" t="str">
        <x:v>España</x:v>
      </x:c>
      <x:c r="E78" s="442" t="str">
        <x:v>Europa</x:v>
      </x:c>
      <x:c r="F78" s="442" t="str">
        <x:v>B</x:v>
      </x:c>
      <x:c r="G78" s="442" t="str">
        <x:v>https://www.fib.upc.edu/en/studies/bachelors-degrees/bachelor-degree-informatics-engineering</x:v>
      </x:c>
      <x:c r="H78" s="442" t="str">
        <x:v>Informatics Engineering; Data Science; AI; Telecommunications; Multimedia</x:v>
      </x:c>
      <x:c r="I78"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Sistemas de información y gestión TI; Investigación, profesión y capstones</x:v>
      </x:c>
      <x:c r="J78" s="442" t="n">
        <x:v>13</x:v>
      </x:c>
      <x:c r="K78" s="442" t="str">
        <x:v>Informática y telecom</x:v>
      </x:c>
      <x:c r="L78" s="442" t="str">
        <x:v>2026-07-29</x:v>
      </x:c>
      <x:c r="M78" s="442" t="str">
        <x:v>Revisada</x:v>
      </x:c>
    </x:row>
    <x:row r="79" ht="58" customHeight="1">
      <x:c r="A79" s="445" t="n">
        <x:v>75</x:v>
      </x:c>
      <x:c r="B79" s="445" t="str">
        <x:v>100 líderes globales</x:v>
      </x:c>
      <x:c r="C79" s="445" t="str">
        <x:v>Universidad Politécnica de Madrid</x:v>
      </x:c>
      <x:c r="D79" s="445" t="str">
        <x:v>España</x:v>
      </x:c>
      <x:c r="E79" s="445" t="str">
        <x:v>Europa</x:v>
      </x:c>
      <x:c r="F79" s="445" t="str">
        <x:v>B</x:v>
      </x:c>
      <x:c r="G79" s="445" t="str">
        <x:v>https://www.fi.upm.es/?pagina=grado&amp;idioma=english</x:v>
      </x:c>
      <x:c r="H79" s="445" t="str">
        <x:v>Computer Engineering; Software; AI; Telecommunications; Electronics</x:v>
      </x:c>
      <x:c r="I79" s="445"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Investigación, profesión y capstones</x:v>
      </x:c>
      <x:c r="J79" s="445" t="n">
        <x:v>12</x:v>
      </x:c>
      <x:c r="K79" s="445" t="str">
        <x:v>Ingenierías TIC</x:v>
      </x:c>
      <x:c r="L79" s="445" t="str">
        <x:v>2026-07-29</x:v>
      </x:c>
      <x:c r="M79" s="445" t="str">
        <x:v>Revisada</x:v>
      </x:c>
    </x:row>
    <x:row r="80" ht="58" customHeight="1">
      <x:c r="A80" s="442" t="n">
        <x:v>76</x:v>
      </x:c>
      <x:c r="B80" s="442" t="str">
        <x:v>100 líderes globales</x:v>
      </x:c>
      <x:c r="C80" s="442" t="str">
        <x:v>National University of Singapore</x:v>
      </x:c>
      <x:c r="D80" s="442" t="str">
        <x:v>Singapur</x:v>
      </x:c>
      <x:c r="E80" s="442" t="str">
        <x:v>Asia</x:v>
      </x:c>
      <x:c r="F80" s="442" t="str">
        <x:v>A</x:v>
      </x:c>
      <x:c r="G80" s="442" t="str">
        <x:v>https://www.comp.nus.edu.sg/programmes/ug/cs/curr/</x:v>
      </x:c>
      <x:c r="H80" s="442" t="str">
        <x:v>Computer Science; Information Systems; Business Analytics; Information Security; Computer Engineering</x:v>
      </x:c>
      <x:c r="I80" s="442"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80" s="442" t="n">
        <x:v>14</x:v>
      </x:c>
      <x:c r="K80" s="442" t="str">
        <x:v>Computación asiática multidisciplinaria</x:v>
      </x:c>
      <x:c r="L80" s="442" t="str">
        <x:v>2026-07-29</x:v>
      </x:c>
      <x:c r="M80" s="442" t="str">
        <x:v>Revisada</x:v>
      </x:c>
    </x:row>
    <x:row r="81" ht="58" customHeight="1">
      <x:c r="A81" s="445" t="n">
        <x:v>77</x:v>
      </x:c>
      <x:c r="B81" s="445" t="str">
        <x:v>100 líderes globales</x:v>
      </x:c>
      <x:c r="C81" s="445" t="str">
        <x:v>Nanyang Technological University</x:v>
      </x:c>
      <x:c r="D81" s="445" t="str">
        <x:v>Singapur</x:v>
      </x:c>
      <x:c r="E81" s="445" t="str">
        <x:v>Asia</x:v>
      </x:c>
      <x:c r="F81" s="445" t="str">
        <x:v>A</x:v>
      </x:c>
      <x:c r="G81" s="445" t="str">
        <x:v>https://www.ntu.edu.sg/spms/admissions/undergrad/detail/bachelor-of-computing-in-computer-science</x:v>
      </x:c>
      <x:c r="H81" s="445" t="str">
        <x:v>Computer Science; Data Science and AI; Computer Engineering; Robotics</x:v>
      </x:c>
      <x:c r="I81"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81" s="445" t="n">
        <x:v>13</x:v>
      </x:c>
      <x:c r="K81" s="445" t="str">
        <x:v>Computación e ingeniería</x:v>
      </x:c>
      <x:c r="L81" s="445" t="str">
        <x:v>2026-07-29</x:v>
      </x:c>
      <x:c r="M81" s="445" t="str">
        <x:v>Revisada</x:v>
      </x:c>
    </x:row>
    <x:row r="82" ht="58" customHeight="1">
      <x:c r="A82" s="442" t="n">
        <x:v>78</x:v>
      </x:c>
      <x:c r="B82" s="442" t="str">
        <x:v>100 líderes globales</x:v>
      </x:c>
      <x:c r="C82" s="442" t="str">
        <x:v>Tsinghua University</x:v>
      </x:c>
      <x:c r="D82" s="442" t="str">
        <x:v>China</x:v>
      </x:c>
      <x:c r="E82" s="442" t="str">
        <x:v>Asia</x:v>
      </x:c>
      <x:c r="F82" s="442" t="str">
        <x:v>A</x:v>
      </x:c>
      <x:c r="G82" s="442" t="str">
        <x:v>https://www.cs.tsinghua.edu.cn/csen/Education1/Undergraduate_Programs_/Curriculum.htm</x:v>
      </x:c>
      <x:c r="H82" s="442" t="str">
        <x:v>Computer Science and Technology; Electronic Information; Automation; AI</x:v>
      </x:c>
      <x:c r="I82"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82" s="442" t="n">
        <x:v>12</x:v>
      </x:c>
      <x:c r="K82" s="442" t="str">
        <x:v>Ingeniería informática</x:v>
      </x:c>
      <x:c r="L82" s="442" t="str">
        <x:v>2026-07-29</x:v>
      </x:c>
      <x:c r="M82" s="442" t="str">
        <x:v>Revisada</x:v>
      </x:c>
    </x:row>
    <x:row r="83" ht="58" customHeight="1">
      <x:c r="A83" s="445" t="n">
        <x:v>79</x:v>
      </x:c>
      <x:c r="B83" s="445" t="str">
        <x:v>100 líderes globales</x:v>
      </x:c>
      <x:c r="C83" s="445" t="str">
        <x:v>Peking University</x:v>
      </x:c>
      <x:c r="D83" s="445" t="str">
        <x:v>China</x:v>
      </x:c>
      <x:c r="E83" s="445" t="str">
        <x:v>Asia</x:v>
      </x:c>
      <x:c r="F83" s="445" t="str">
        <x:v>B</x:v>
      </x:c>
      <x:c r="G83" s="445" t="str">
        <x:v>https://cs.pku.edu.cn/English/Education/Undergraduate_Program.htm</x:v>
      </x:c>
      <x:c r="H83" s="445" t="str">
        <x:v>Computer Science; AI; Electronics; Data Science</x:v>
      </x:c>
      <x:c r="I83"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83" s="445" t="n">
        <x:v>12</x:v>
      </x:c>
      <x:c r="K83" s="445" t="str">
        <x:v>CS e investigación</x:v>
      </x:c>
      <x:c r="L83" s="445" t="str">
        <x:v>2026-07-29</x:v>
      </x:c>
      <x:c r="M83" s="445" t="str">
        <x:v>Revisada</x:v>
      </x:c>
    </x:row>
    <x:row r="84" ht="58" customHeight="1">
      <x:c r="A84" s="442" t="n">
        <x:v>80</x:v>
      </x:c>
      <x:c r="B84" s="442" t="str">
        <x:v>100 líderes globales</x:v>
      </x:c>
      <x:c r="C84" s="442" t="str">
        <x:v>Shanghai Jiao Tong University</x:v>
      </x:c>
      <x:c r="D84" s="442" t="str">
        <x:v>China</x:v>
      </x:c>
      <x:c r="E84" s="442" t="str">
        <x:v>Asia</x:v>
      </x:c>
      <x:c r="F84" s="442" t="str">
        <x:v>B</x:v>
      </x:c>
      <x:c r="G84" s="442" t="str">
        <x:v>https://www.cs.sjtu.edu.cn/en/Academics.aspx</x:v>
      </x:c>
      <x:c r="H84" s="442" t="str">
        <x:v>Computer Science; Electronic Information; AI; Cybersecurity</x:v>
      </x:c>
      <x:c r="I84"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84" s="442" t="n">
        <x:v>12</x:v>
      </x:c>
      <x:c r="K84" s="442" t="str">
        <x:v>CS e ingeniería</x:v>
      </x:c>
      <x:c r="L84" s="442" t="str">
        <x:v>2026-07-29</x:v>
      </x:c>
      <x:c r="M84" s="442" t="str">
        <x:v>Revisada</x:v>
      </x:c>
    </x:row>
    <x:row r="85" ht="58" customHeight="1">
      <x:c r="A85" s="445" t="n">
        <x:v>81</x:v>
      </x:c>
      <x:c r="B85" s="445" t="str">
        <x:v>100 líderes globales</x:v>
      </x:c>
      <x:c r="C85" s="445" t="str">
        <x:v>Zhejiang University</x:v>
      </x:c>
      <x:c r="D85" s="445" t="str">
        <x:v>China</x:v>
      </x:c>
      <x:c r="E85" s="445" t="str">
        <x:v>Asia</x:v>
      </x:c>
      <x:c r="F85" s="445" t="str">
        <x:v>B</x:v>
      </x:c>
      <x:c r="G85" s="445" t="str">
        <x:v>https://www.cs.zju.edu.cn/csen/</x:v>
      </x:c>
      <x:c r="H85" s="445" t="str">
        <x:v>Computer Science and Technology; Software Engineering; AI; Optical and Electronic Engineering</x:v>
      </x:c>
      <x:c r="I85"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85" s="445" t="n">
        <x:v>13</x:v>
      </x:c>
      <x:c r="K85" s="445" t="str">
        <x:v>Software e IA</x:v>
      </x:c>
      <x:c r="L85" s="445" t="str">
        <x:v>2026-07-29</x:v>
      </x:c>
      <x:c r="M85" s="445" t="str">
        <x:v>Revisada</x:v>
      </x:c>
    </x:row>
    <x:row r="86" ht="58" customHeight="1">
      <x:c r="A86" s="442" t="n">
        <x:v>82</x:v>
      </x:c>
      <x:c r="B86" s="442" t="str">
        <x:v>100 líderes globales</x:v>
      </x:c>
      <x:c r="C86" s="442" t="str">
        <x:v>University of Science and Technology of China</x:v>
      </x:c>
      <x:c r="D86" s="442" t="str">
        <x:v>China</x:v>
      </x:c>
      <x:c r="E86" s="442" t="str">
        <x:v>Asia</x:v>
      </x:c>
      <x:c r="F86" s="442" t="str">
        <x:v>B</x:v>
      </x:c>
      <x:c r="G86" s="442" t="str">
        <x:v>https://en.scms.ustc.edu.cn/education/list.htm</x:v>
      </x:c>
      <x:c r="H86" s="442" t="str">
        <x:v>Computer Science; Cyber Science; Electronic Engineering; Quantum Information</x:v>
      </x:c>
      <x:c r="I86"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86" s="442" t="n">
        <x:v>12</x:v>
      </x:c>
      <x:c r="K86" s="442" t="str">
        <x:v>CS y cuántica</x:v>
      </x:c>
      <x:c r="L86" s="442" t="str">
        <x:v>2026-07-29</x:v>
      </x:c>
      <x:c r="M86" s="442" t="str">
        <x:v>Revisada</x:v>
      </x:c>
    </x:row>
    <x:row r="87" ht="58" customHeight="1">
      <x:c r="A87" s="445" t="n">
        <x:v>83</x:v>
      </x:c>
      <x:c r="B87" s="445" t="str">
        <x:v>100 líderes globales</x:v>
      </x:c>
      <x:c r="C87" s="445" t="str">
        <x:v>Fudan University</x:v>
      </x:c>
      <x:c r="D87" s="445" t="str">
        <x:v>China</x:v>
      </x:c>
      <x:c r="E87" s="445" t="str">
        <x:v>Asia</x:v>
      </x:c>
      <x:c r="F87" s="445" t="str">
        <x:v>B</x:v>
      </x:c>
      <x:c r="G87" s="445" t="str">
        <x:v>https://cs.fudan.edu.cn/csenglish/Undergraduate/list.htm</x:v>
      </x:c>
      <x:c r="H87" s="445" t="str">
        <x:v>Computer Science; Data Science; Microelectronics; AI</x:v>
      </x:c>
      <x:c r="I87"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87" s="445" t="n">
        <x:v>12</x:v>
      </x:c>
      <x:c r="K87" s="445" t="str">
        <x:v>CS, datos y microelectrónica</x:v>
      </x:c>
      <x:c r="L87" s="445" t="str">
        <x:v>2026-07-29</x:v>
      </x:c>
      <x:c r="M87" s="445" t="str">
        <x:v>Revisada</x:v>
      </x:c>
    </x:row>
    <x:row r="88" ht="58" customHeight="1">
      <x:c r="A88" s="442" t="n">
        <x:v>84</x:v>
      </x:c>
      <x:c r="B88" s="442" t="str">
        <x:v>100 líderes globales</x:v>
      </x:c>
      <x:c r="C88" s="442" t="str">
        <x:v>Chinese University of Hong Kong</x:v>
      </x:c>
      <x:c r="D88" s="442" t="str">
        <x:v>Hong Kong</x:v>
      </x:c>
      <x:c r="E88" s="442" t="str">
        <x:v>Asia</x:v>
      </x:c>
      <x:c r="F88" s="442" t="str">
        <x:v>B</x:v>
      </x:c>
      <x:c r="G88" s="442" t="str">
        <x:v>https://www.cse.cuhk.edu.hk/academics/undergraduate/</x:v>
      </x:c>
      <x:c r="H88" s="442" t="str">
        <x:v>Computer Science; Computer Engineering; AI; FinTech</x:v>
      </x:c>
      <x:c r="I88" s="442"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88" s="442" t="n">
        <x:v>14</x:v>
      </x:c>
      <x:c r="K88" s="442" t="str">
        <x:v>CS y finanzas digitales</x:v>
      </x:c>
      <x:c r="L88" s="442" t="str">
        <x:v>2026-07-29</x:v>
      </x:c>
      <x:c r="M88" s="442" t="str">
        <x:v>Revisada</x:v>
      </x:c>
    </x:row>
    <x:row r="89" ht="58" customHeight="1">
      <x:c r="A89" s="445" t="n">
        <x:v>85</x:v>
      </x:c>
      <x:c r="B89" s="445" t="str">
        <x:v>100 líderes globales</x:v>
      </x:c>
      <x:c r="C89" s="445" t="str">
        <x:v>Hong Kong University of Science and Technology</x:v>
      </x:c>
      <x:c r="D89" s="445" t="str">
        <x:v>Hong Kong</x:v>
      </x:c>
      <x:c r="E89" s="445" t="str">
        <x:v>Asia</x:v>
      </x:c>
      <x:c r="F89" s="445" t="str">
        <x:v>B</x:v>
      </x:c>
      <x:c r="G89" s="445" t="str">
        <x:v>https://cse.hkust.edu.hk/ug</x:v>
      </x:c>
      <x:c r="H89" s="445" t="str">
        <x:v>Computer Science; Computer Engineering; Data Science; AI</x:v>
      </x:c>
      <x:c r="I89"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89" s="445" t="n">
        <x:v>13</x:v>
      </x:c>
      <x:c r="K89" s="445" t="str">
        <x:v>Computación e ingeniería</x:v>
      </x:c>
      <x:c r="L89" s="445" t="str">
        <x:v>2026-07-29</x:v>
      </x:c>
      <x:c r="M89" s="445" t="str">
        <x:v>Revisada</x:v>
      </x:c>
    </x:row>
    <x:row r="90" ht="58" customHeight="1">
      <x:c r="A90" s="442" t="n">
        <x:v>86</x:v>
      </x:c>
      <x:c r="B90" s="442" t="str">
        <x:v>100 líderes globales</x:v>
      </x:c>
      <x:c r="C90" s="442" t="str">
        <x:v>University of Hong Kong</x:v>
      </x:c>
      <x:c r="D90" s="442" t="str">
        <x:v>Hong Kong</x:v>
      </x:c>
      <x:c r="E90" s="442" t="str">
        <x:v>Asia</x:v>
      </x:c>
      <x:c r="F90" s="442" t="str">
        <x:v>B</x:v>
      </x:c>
      <x:c r="G90" s="442" t="str">
        <x:v>https://www.cs.hku.hk/programmes/beng-compsc</x:v>
      </x:c>
      <x:c r="H90" s="442" t="str">
        <x:v>Computer Science; Computer Engineering; Data Science; FinTech</x:v>
      </x:c>
      <x:c r="I90" s="442"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Computación cuántica; Investigación, profesión y capstones</x:v>
      </x:c>
      <x:c r="J90" s="442" t="n">
        <x:v>13</x:v>
      </x:c>
      <x:c r="K90" s="442" t="str">
        <x:v>CS e innovación</x:v>
      </x:c>
      <x:c r="L90" s="442" t="str">
        <x:v>2026-07-29</x:v>
      </x:c>
      <x:c r="M90" s="442" t="str">
        <x:v>Revisada</x:v>
      </x:c>
    </x:row>
    <x:row r="91" ht="58" customHeight="1">
      <x:c r="A91" s="445" t="n">
        <x:v>87</x:v>
      </x:c>
      <x:c r="B91" s="445" t="str">
        <x:v>100 líderes globales</x:v>
      </x:c>
      <x:c r="C91" s="445" t="str">
        <x:v>University of Tokyo</x:v>
      </x:c>
      <x:c r="D91" s="445" t="str">
        <x:v>Japón</x:v>
      </x:c>
      <x:c r="E91" s="445" t="str">
        <x:v>Asia</x:v>
      </x:c>
      <x:c r="F91" s="445" t="str">
        <x:v>A</x:v>
      </x:c>
      <x:c r="G91" s="445" t="str">
        <x:v>https://www.i.u-tokyo.ac.jp/upload/2025_curriculum-structure_e_20250321.pdf</x:v>
      </x:c>
      <x:c r="H91" s="445" t="str">
        <x:v>Computer Science; Information and Communication Engineering; Mechatronics; Bioinformatics</x:v>
      </x:c>
      <x:c r="I91" s="445"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91" s="445" t="n">
        <x:v>13</x:v>
      </x:c>
      <x:c r="K91" s="445" t="str">
        <x:v>Plan japonés de investigación</x:v>
      </x:c>
      <x:c r="L91" s="445" t="str">
        <x:v>2026-07-29</x:v>
      </x:c>
      <x:c r="M91" s="445" t="str">
        <x:v>Revisada</x:v>
      </x:c>
    </x:row>
    <x:row r="92" ht="58" customHeight="1">
      <x:c r="A92" s="442" t="n">
        <x:v>88</x:v>
      </x:c>
      <x:c r="B92" s="442" t="str">
        <x:v>100 líderes globales</x:v>
      </x:c>
      <x:c r="C92" s="442" t="str">
        <x:v>Kyoto University</x:v>
      </x:c>
      <x:c r="D92" s="442" t="str">
        <x:v>Japón</x:v>
      </x:c>
      <x:c r="E92" s="442" t="str">
        <x:v>Asia</x:v>
      </x:c>
      <x:c r="F92" s="442" t="str">
        <x:v>B</x:v>
      </x:c>
      <x:c r="G92" s="442" t="str">
        <x:v>https://www.s-im.t.kyoto-u.ac.jp/en/education/undergraduate</x:v>
      </x:c>
      <x:c r="H92" s="442" t="str">
        <x:v>Computer Science; Electrical and Electronic Engineering; Informatics; Robotics</x:v>
      </x:c>
      <x:c r="I92"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92" s="442" t="n">
        <x:v>12</x:v>
      </x:c>
      <x:c r="K92" s="442" t="str">
        <x:v>Informática y sistemas</x:v>
      </x:c>
      <x:c r="L92" s="442" t="str">
        <x:v>2026-07-29</x:v>
      </x:c>
      <x:c r="M92" s="442" t="str">
        <x:v>Revisada</x:v>
      </x:c>
    </x:row>
    <x:row r="93" ht="58" customHeight="1">
      <x:c r="A93" s="445" t="n">
        <x:v>89</x:v>
      </x:c>
      <x:c r="B93" s="445" t="str">
        <x:v>100 líderes globales</x:v>
      </x:c>
      <x:c r="C93" s="445" t="str">
        <x:v>Osaka University</x:v>
      </x:c>
      <x:c r="D93" s="445" t="str">
        <x:v>Japón</x:v>
      </x:c>
      <x:c r="E93" s="445" t="str">
        <x:v>Asia</x:v>
      </x:c>
      <x:c r="F93" s="445" t="str">
        <x:v>B</x:v>
      </x:c>
      <x:c r="G93" s="445" t="str">
        <x:v>https://www.ist.osaka-u.ac.jp/english/education/</x:v>
      </x:c>
      <x:c r="H93" s="445" t="str">
        <x:v>Information Science and Technology; Electronic Engineering; Robotics; Bioinformatics</x:v>
      </x:c>
      <x:c r="I93"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93" s="445" t="n">
        <x:v>12</x:v>
      </x:c>
      <x:c r="K93" s="445" t="str">
        <x:v>Información y bio</x:v>
      </x:c>
      <x:c r="L93" s="445" t="str">
        <x:v>2026-07-29</x:v>
      </x:c>
      <x:c r="M93" s="445" t="str">
        <x:v>Revisada</x:v>
      </x:c>
    </x:row>
    <x:row r="94" ht="58" customHeight="1">
      <x:c r="A94" s="442" t="n">
        <x:v>90</x:v>
      </x:c>
      <x:c r="B94" s="442" t="str">
        <x:v>100 líderes globales</x:v>
      </x:c>
      <x:c r="C94" s="442" t="str">
        <x:v>Tohoku University</x:v>
      </x:c>
      <x:c r="D94" s="442" t="str">
        <x:v>Japón</x:v>
      </x:c>
      <x:c r="E94" s="442" t="str">
        <x:v>Asia</x:v>
      </x:c>
      <x:c r="F94" s="442" t="str">
        <x:v>B</x:v>
      </x:c>
      <x:c r="G94" s="442" t="str">
        <x:v>https://www.ecei.tohoku.ac.jp/ecei_web/en/education/</x:v>
      </x:c>
      <x:c r="H94" s="442" t="str">
        <x:v>Electrical, Information and Physics Engineering; Computer Science; Robotics</x:v>
      </x:c>
      <x:c r="I94"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94" s="442" t="n">
        <x:v>12</x:v>
      </x:c>
      <x:c r="K94" s="442" t="str">
        <x:v>EE, información y robótica</x:v>
      </x:c>
      <x:c r="L94" s="442" t="str">
        <x:v>2026-07-29</x:v>
      </x:c>
      <x:c r="M94" s="442" t="str">
        <x:v>Revisada</x:v>
      </x:c>
    </x:row>
    <x:row r="95" ht="58" customHeight="1">
      <x:c r="A95" s="445" t="n">
        <x:v>91</x:v>
      </x:c>
      <x:c r="B95" s="445" t="str">
        <x:v>100 líderes globales</x:v>
      </x:c>
      <x:c r="C95" s="445" t="str">
        <x:v>Institute of Science Tokyo</x:v>
      </x:c>
      <x:c r="D95" s="445" t="str">
        <x:v>Japón</x:v>
      </x:c>
      <x:c r="E95" s="445" t="str">
        <x:v>Asia</x:v>
      </x:c>
      <x:c r="F95" s="445" t="str">
        <x:v>B</x:v>
      </x:c>
      <x:c r="G95" s="445" t="str">
        <x:v>https://www.isct.ac.jp/en/001/about/organizations/school-of-computing</x:v>
      </x:c>
      <x:c r="H95" s="445" t="str">
        <x:v>Computer Science; Information and Communications Engineering; Systems and Control</x:v>
      </x:c>
      <x:c r="I95" s="445"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95" s="445" t="n">
        <x:v>11</x:v>
      </x:c>
      <x:c r="K95" s="445" t="str">
        <x:v>Computación y control</x:v>
      </x:c>
      <x:c r="L95" s="445" t="str">
        <x:v>2026-07-29</x:v>
      </x:c>
      <x:c r="M95" s="445" t="str">
        <x:v>Revisada</x:v>
      </x:c>
    </x:row>
    <x:row r="96" ht="58" customHeight="1">
      <x:c r="A96" s="442" t="n">
        <x:v>92</x:v>
      </x:c>
      <x:c r="B96" s="442" t="str">
        <x:v>100 líderes globales</x:v>
      </x:c>
      <x:c r="C96" s="442" t="str">
        <x:v>KAIST</x:v>
      </x:c>
      <x:c r="D96" s="442" t="str">
        <x:v>Corea del Sur</x:v>
      </x:c>
      <x:c r="E96" s="442" t="str">
        <x:v>Asia</x:v>
      </x:c>
      <x:c r="F96" s="442" t="str">
        <x:v>B</x:v>
      </x:c>
      <x:c r="G96" s="442" t="str">
        <x:v>https://cs.kaist.ac.kr/education/undergraduate</x:v>
      </x:c>
      <x:c r="H96" s="442" t="str">
        <x:v>Computer Science; Electrical Engineering; AI; Robotics</x:v>
      </x:c>
      <x:c r="I96"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96" s="442" t="n">
        <x:v>12</x:v>
      </x:c>
      <x:c r="K96" s="442" t="str">
        <x:v>CS, IA y robótica</x:v>
      </x:c>
      <x:c r="L96" s="442" t="str">
        <x:v>2026-07-29</x:v>
      </x:c>
      <x:c r="M96" s="442" t="str">
        <x:v>Revisada</x:v>
      </x:c>
    </x:row>
    <x:row r="97" ht="58" customHeight="1">
      <x:c r="A97" s="445" t="n">
        <x:v>93</x:v>
      </x:c>
      <x:c r="B97" s="445" t="str">
        <x:v>100 líderes globales</x:v>
      </x:c>
      <x:c r="C97" s="445" t="str">
        <x:v>Seoul National University</x:v>
      </x:c>
      <x:c r="D97" s="445" t="str">
        <x:v>Corea del Sur</x:v>
      </x:c>
      <x:c r="E97" s="445" t="str">
        <x:v>Asia</x:v>
      </x:c>
      <x:c r="F97" s="445" t="str">
        <x:v>B</x:v>
      </x:c>
      <x:c r="G97" s="445" t="str">
        <x:v>https://cse.snu.ac.kr/en/academics/undergraduate</x:v>
      </x:c>
      <x:c r="H97" s="445" t="str">
        <x:v>Computer Science and Engineering; Electrical and Computer Engineering; AI</x:v>
      </x:c>
      <x:c r="I97"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97" s="445" t="n">
        <x:v>12</x:v>
      </x:c>
      <x:c r="K97" s="445" t="str">
        <x:v>CS e ingeniería</x:v>
      </x:c>
      <x:c r="L97" s="445" t="str">
        <x:v>2026-07-29</x:v>
      </x:c>
      <x:c r="M97" s="445" t="str">
        <x:v>Revisada</x:v>
      </x:c>
    </x:row>
    <x:row r="98" ht="58" customHeight="1">
      <x:c r="A98" s="442" t="n">
        <x:v>94</x:v>
      </x:c>
      <x:c r="B98" s="442" t="str">
        <x:v>100 líderes globales</x:v>
      </x:c>
      <x:c r="C98" s="442" t="str">
        <x:v>POSTECH</x:v>
      </x:c>
      <x:c r="D98" s="442" t="str">
        <x:v>Corea del Sur</x:v>
      </x:c>
      <x:c r="E98" s="442" t="str">
        <x:v>Asia</x:v>
      </x:c>
      <x:c r="F98" s="442" t="str">
        <x:v>B</x:v>
      </x:c>
      <x:c r="G98" s="442" t="str">
        <x:v>https://cse.postech.ac.kr/eng/academics/undergraduate</x:v>
      </x:c>
      <x:c r="H98" s="442" t="str">
        <x:v>Computer Science and Engineering; Electrical Engineering; AI; Semiconductor Engineering</x:v>
      </x:c>
      <x:c r="I98" s="442"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98" s="442" t="n">
        <x:v>11</x:v>
      </x:c>
      <x:c r="K98" s="442" t="str">
        <x:v>CS y semiconductores</x:v>
      </x:c>
      <x:c r="L98" s="442" t="str">
        <x:v>2026-07-29</x:v>
      </x:c>
      <x:c r="M98" s="442" t="str">
        <x:v>Revisada</x:v>
      </x:c>
    </x:row>
    <x:row r="99" ht="58" customHeight="1">
      <x:c r="A99" s="445" t="n">
        <x:v>95</x:v>
      </x:c>
      <x:c r="B99" s="445" t="str">
        <x:v>100 líderes globales</x:v>
      </x:c>
      <x:c r="C99" s="445" t="str">
        <x:v>Indian Institute of Technology Bombay</x:v>
      </x:c>
      <x:c r="D99" s="445" t="str">
        <x:v>India</x:v>
      </x:c>
      <x:c r="E99" s="445" t="str">
        <x:v>Asia</x:v>
      </x:c>
      <x:c r="F99" s="445" t="str">
        <x:v>B</x:v>
      </x:c>
      <x:c r="G99" s="445" t="str">
        <x:v>https://www.cse.iitb.ac.in/academics/btech</x:v>
      </x:c>
      <x:c r="H99" s="445" t="str">
        <x:v>Computer Science and Engineering; Electrical Engineering; Industrial Design</x:v>
      </x:c>
      <x:c r="I99"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Investigación, profesión y capstones</x:v>
      </x:c>
      <x:c r="J99" s="445" t="n">
        <x:v>12</x:v>
      </x:c>
      <x:c r="K99" s="445" t="str">
        <x:v>CS e ingeniería</x:v>
      </x:c>
      <x:c r="L99" s="445" t="str">
        <x:v>2026-07-29</x:v>
      </x:c>
      <x:c r="M99" s="445" t="str">
        <x:v>Revisada</x:v>
      </x:c>
    </x:row>
    <x:row r="100" ht="58" customHeight="1">
      <x:c r="A100" s="442" t="n">
        <x:v>96</x:v>
      </x:c>
      <x:c r="B100" s="442" t="str">
        <x:v>100 líderes globales</x:v>
      </x:c>
      <x:c r="C100" s="442" t="str">
        <x:v>Indian Institute of Technology Delhi</x:v>
      </x:c>
      <x:c r="D100" s="442" t="str">
        <x:v>India</x:v>
      </x:c>
      <x:c r="E100" s="442" t="str">
        <x:v>Asia</x:v>
      </x:c>
      <x:c r="F100" s="442" t="str">
        <x:v>B</x:v>
      </x:c>
      <x:c r="G100" s="442" t="str">
        <x:v>https://home.iitd.ac.in/education.php</x:v>
      </x:c>
      <x:c r="H100" s="442" t="str">
        <x:v>Computer Science and Engineering; Electrical Engineering; Mathematics and Computing; Design</x:v>
      </x:c>
      <x:c r="I100" s="442" t="str">
        <x:v>Matemática y ciencias; Programación y teoría CS; Sistemas y arquitectura; Ingeniería de software; Datos, BI e IA; Redes, telecom y cloud; Ciberseguridad, forense y auditoría; Electrónica, embebidos e IoT; Robótica y mecatrónica; Diseño, foto, cine y multimedia; Investigación, profesión y capstones</x:v>
      </x:c>
      <x:c r="J100" s="442" t="n">
        <x:v>11</x:v>
      </x:c>
      <x:c r="K100" s="442" t="str">
        <x:v>Computación e ingeniería</x:v>
      </x:c>
      <x:c r="L100" s="442" t="str">
        <x:v>2026-07-29</x:v>
      </x:c>
      <x:c r="M100" s="442" t="str">
        <x:v>Revisada</x:v>
      </x:c>
    </x:row>
    <x:row r="101" ht="58" customHeight="1">
      <x:c r="A101" s="445" t="n">
        <x:v>97</x:v>
      </x:c>
      <x:c r="B101" s="445" t="str">
        <x:v>100 líderes globales</x:v>
      </x:c>
      <x:c r="C101" s="445" t="str">
        <x:v>Indian Institute of Technology Madras</x:v>
      </x:c>
      <x:c r="D101" s="445" t="str">
        <x:v>India</x:v>
      </x:c>
      <x:c r="E101" s="445" t="str">
        <x:v>Asia</x:v>
      </x:c>
      <x:c r="F101" s="445" t="str">
        <x:v>B</x:v>
      </x:c>
      <x:c r="G101" s="445" t="str">
        <x:v>https://cse.iitm.ac.in/academics.php</x:v>
      </x:c>
      <x:c r="H101" s="445" t="str">
        <x:v>Computer Science and Engineering; Data Science; Electronic Systems; AI</x:v>
      </x:c>
      <x:c r="I101" s="445"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101" s="445" t="n">
        <x:v>11</x:v>
      </x:c>
      <x:c r="K101" s="445" t="str">
        <x:v>CS y sistemas electrónicos</x:v>
      </x:c>
      <x:c r="L101" s="445" t="str">
        <x:v>2026-07-29</x:v>
      </x:c>
      <x:c r="M101" s="445" t="str">
        <x:v>Revisada</x:v>
      </x:c>
    </x:row>
    <x:row r="102" ht="58" customHeight="1">
      <x:c r="A102" s="442" t="n">
        <x:v>98</x:v>
      </x:c>
      <x:c r="B102" s="442" t="str">
        <x:v>100 líderes globales</x:v>
      </x:c>
      <x:c r="C102" s="442" t="str">
        <x:v>Indian Institute of Science</x:v>
      </x:c>
      <x:c r="D102" s="442" t="str">
        <x:v>India</x:v>
      </x:c>
      <x:c r="E102" s="442" t="str">
        <x:v>Asia</x:v>
      </x:c>
      <x:c r="F102" s="442" t="str">
        <x:v>B</x:v>
      </x:c>
      <x:c r="G102" s="442" t="str">
        <x:v>https://iisc.ac.in/academics/under-graduate-programmes/</x:v>
      </x:c>
      <x:c r="H102" s="442" t="str">
        <x:v>Computational and Data Sciences; Electronic Systems; Robotics; Bioengineering</x:v>
      </x:c>
      <x:c r="I102"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02" s="442" t="n">
        <x:v>12</x:v>
      </x:c>
      <x:c r="K102" s="442" t="str">
        <x:v>Ciencia computacional</x:v>
      </x:c>
      <x:c r="L102" s="442" t="str">
        <x:v>2026-07-29</x:v>
      </x:c>
      <x:c r="M102" s="442" t="str">
        <x:v>Revisada</x:v>
      </x:c>
    </x:row>
    <x:row r="103" ht="58" customHeight="1">
      <x:c r="A103" s="445" t="n">
        <x:v>99</x:v>
      </x:c>
      <x:c r="B103" s="445" t="str">
        <x:v>100 líderes globales</x:v>
      </x:c>
      <x:c r="C103" s="445" t="str">
        <x:v>University of Melbourne</x:v>
      </x:c>
      <x:c r="D103" s="445" t="str">
        <x:v>Australia</x:v>
      </x:c>
      <x:c r="E103" s="445" t="str">
        <x:v>Oceanía</x:v>
      </x:c>
      <x:c r="F103" s="445" t="str">
        <x:v>B</x:v>
      </x:c>
      <x:c r="G103" s="445" t="str">
        <x:v>https://study.unimelb.edu.au/find/courses/major/computing-and-software-systems/</x:v>
      </x:c>
      <x:c r="H103" s="445" t="str">
        <x:v>Computing and Software Systems; Data Science; Mechatronics; Digital Technologies</x:v>
      </x:c>
      <x:c r="I103" s="445" t="str">
        <x:v>Matemática y ciencias; Programación y teoría CS; Sistemas y arquitectura; Ingeniería de software; Datos, BI e IA; Redes, telecom y cloud; Ciberseguridad, forense y auditoría; Electrónica, embebidos e IoT; Robótica y mecatrónica; Gráficos, juegos y XR; Sistemas de información y gestión TI; Bioinformática y salud digital; Computación cuántica; Investigación, profesión y capstones</x:v>
      </x:c>
      <x:c r="J103" s="445" t="n">
        <x:v>14</x:v>
      </x:c>
      <x:c r="K103" s="445" t="str">
        <x:v>Computación y software</x:v>
      </x:c>
      <x:c r="L103" s="445" t="str">
        <x:v>2026-07-29</x:v>
      </x:c>
      <x:c r="M103" s="445" t="str">
        <x:v>Revisada</x:v>
      </x:c>
    </x:row>
    <x:row r="104" ht="58" customHeight="1">
      <x:c r="A104" s="442" t="n">
        <x:v>100</x:v>
      </x:c>
      <x:c r="B104" s="442" t="str">
        <x:v>100 líderes globales</x:v>
      </x:c>
      <x:c r="C104" s="442" t="str">
        <x:v>Australian National University</x:v>
      </x:c>
      <x:c r="D104" s="442" t="str">
        <x:v>Australia</x:v>
      </x:c>
      <x:c r="E104" s="442" t="str">
        <x:v>Oceanía</x:v>
      </x:c>
      <x:c r="F104" s="442" t="str">
        <x:v>B</x:v>
      </x:c>
      <x:c r="G104" s="442" t="str">
        <x:v>https://programsandcourses.anu.edu.au/program/acompsc</x:v>
      </x:c>
      <x:c r="H104" s="442" t="str">
        <x:v>Advanced Computing; Software Engineering; Data Science; Mechatronics</x:v>
      </x:c>
      <x:c r="I104" s="442" t="str">
        <x:v>Matemática y ciencias; Programación y teoría CS; Sistemas y arquitectura; Ingeniería de software; Datos, BI e IA; Redes, telecom y cloud; Ciberseguridad, forense y auditoría; Electrónica, embebidos e IoT; Robótica y mecatrónica; Gráficos, juegos y XR; Bioinformática y salud digital; Computación cuántica; Investigación, profesión y capstones</x:v>
      </x:c>
      <x:c r="J104" s="442" t="n">
        <x:v>13</x:v>
      </x:c>
      <x:c r="K104" s="442" t="str">
        <x:v>Computación avanzada</x:v>
      </x:c>
      <x:c r="L104" s="442" t="str">
        <x:v>2026-07-29</x:v>
      </x:c>
      <x:c r="M104" s="442" t="str">
        <x:v>Revisada</x:v>
      </x:c>
    </x:row>
    <x:row r="105" ht="58" customHeight="1">
      <x:c r="A105" s="445" t="n">
        <x:v>101</x:v>
      </x:c>
      <x:c r="B105" s="445" t="str">
        <x:v>30 especialistas</x:v>
      </x:c>
      <x:c r="C105" s="445" t="str">
        <x:v>Rochester Institute of Technology</x:v>
      </x:c>
      <x:c r="D105" s="445" t="str">
        <x:v>Estados Unidos</x:v>
      </x:c>
      <x:c r="E105" s="445" t="str">
        <x:v>Norteamérica</x:v>
      </x:c>
      <x:c r="F105" s="445" t="str">
        <x:v>A</x:v>
      </x:c>
      <x:c r="G105" s="445" t="str">
        <x:v>https://www.rit.edu/computing/study</x:v>
      </x:c>
      <x:c r="H105" s="445" t="str">
        <x:v>Computing; Cybersecurity; Software Engineering; Imaging; Electrical Engineering Technology</x:v>
      </x:c>
      <x:c r="I105" s="445"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Gráficos, juegos y XR; Diseño, foto, cine y multimedia; Sistemas de información y gestión TI; Investigación, profesión y capstones</x:v>
      </x:c>
      <x:c r="J105" s="445" t="n">
        <x:v>15</x:v>
      </x:c>
      <x:c r="K105" s="445" t="str">
        <x:v>Tecnología aplicada e imagen</x:v>
      </x:c>
      <x:c r="L105" s="445" t="str">
        <x:v>2026-07-29</x:v>
      </x:c>
      <x:c r="M105" s="445" t="str">
        <x:v>Revisada</x:v>
      </x:c>
    </x:row>
    <x:row r="106" ht="58" customHeight="1">
      <x:c r="A106" s="442" t="n">
        <x:v>102</x:v>
      </x:c>
      <x:c r="B106" s="442" t="str">
        <x:v>30 especialistas</x:v>
      </x:c>
      <x:c r="C106" s="442" t="str">
        <x:v>Rhode Island School of Design</x:v>
      </x:c>
      <x:c r="D106" s="442" t="str">
        <x:v>Estados Unidos</x:v>
      </x:c>
      <x:c r="E106" s="442" t="str">
        <x:v>Norteamérica</x:v>
      </x:c>
      <x:c r="F106" s="442" t="str">
        <x:v>A</x:v>
      </x:c>
      <x:c r="G106" s="442" t="str">
        <x:v>https://www.risd.edu/academics/graphic-design/bachelors-program</x:v>
      </x:c>
      <x:c r="H106" s="442" t="str">
        <x:v>Graphic Design; Film/Animation/Video; Photography; Digital + Media</x:v>
      </x:c>
      <x:c r="I106" s="442" t="str">
        <x:v>Gráficos, juegos y XR; Diseño, foto, cine y multimedia; Investigación, profesión y capstones</x:v>
      </x:c>
      <x:c r="J106" s="442" t="n">
        <x:v>3</x:v>
      </x:c>
      <x:c r="K106" s="442" t="str">
        <x:v>Diseño visual y medios</x:v>
      </x:c>
      <x:c r="L106" s="442" t="str">
        <x:v>2026-07-29</x:v>
      </x:c>
      <x:c r="M106" s="442" t="str">
        <x:v>Revisada</x:v>
      </x:c>
    </x:row>
    <x:row r="107" ht="58" customHeight="1">
      <x:c r="A107" s="445" t="n">
        <x:v>103</x:v>
      </x:c>
      <x:c r="B107" s="445" t="str">
        <x:v>30 especialistas</x:v>
      </x:c>
      <x:c r="C107" s="445" t="str">
        <x:v>Abertay University</x:v>
      </x:c>
      <x:c r="D107" s="445" t="str">
        <x:v>Reino Unido</x:v>
      </x:c>
      <x:c r="E107" s="445" t="str">
        <x:v>Europa</x:v>
      </x:c>
      <x:c r="F107" s="445" t="str">
        <x:v>A</x:v>
      </x:c>
      <x:c r="G107" s="445" t="str">
        <x:v>https://www.abertay.ac.uk/course-search/undergraduate/ethical-hacking/</x:v>
      </x:c>
      <x:c r="H107" s="445" t="str">
        <x:v>Ethical Hacking; Cybersecurity; Computer Games Technology; Game Design</x:v>
      </x:c>
      <x:c r="I107" s="445" t="str">
        <x:v>Programación y teoría CS; Sistemas y arquitectura; Ingeniería de software; Datos, BI e IA; Redes, telecom y cloud; Ciberseguridad, forense y auditoría; Gráficos, juegos y XR; Diseño, foto, cine y multimedia; Investigación, profesión y capstones</x:v>
      </x:c>
      <x:c r="J107" s="445" t="n">
        <x:v>9</x:v>
      </x:c>
      <x:c r="K107" s="445" t="str">
        <x:v>Hacking ético y juegos</x:v>
      </x:c>
      <x:c r="L107" s="445" t="str">
        <x:v>2026-07-29</x:v>
      </x:c>
      <x:c r="M107" s="445" t="str">
        <x:v>Revisada</x:v>
      </x:c>
    </x:row>
    <x:row r="108" ht="58" customHeight="1">
      <x:c r="A108" s="442" t="n">
        <x:v>104</x:v>
      </x:c>
      <x:c r="B108" s="442" t="str">
        <x:v>30 especialistas</x:v>
      </x:c>
      <x:c r="C108" s="442" t="str">
        <x:v>DigiPen Institute of Technology</x:v>
      </x:c>
      <x:c r="D108" s="442" t="str">
        <x:v>Estados Unidos</x:v>
      </x:c>
      <x:c r="E108" s="442" t="str">
        <x:v>Norteamérica</x:v>
      </x:c>
      <x:c r="F108" s="442" t="str">
        <x:v>B</x:v>
      </x:c>
      <x:c r="G108" s="442" t="str">
        <x:v>https://www.digipen.edu/academics/computer-science-degrees</x:v>
      </x:c>
      <x:c r="H108" s="442" t="str">
        <x:v>Computer Science in Real-Time Interactive Simulation; Game Design; Digital Art</x:v>
      </x:c>
      <x:c r="I108" s="442" t="str">
        <x:v>Programación y teoría CS; Sistemas y arquitectura; Ingeniería de software; Datos, BI e IA; Electrónica, embebidos e IoT; Gráficos, juegos y XR; Diseño, foto, cine y multimedia; Investigación, profesión y capstones</x:v>
      </x:c>
      <x:c r="J108" s="442" t="n">
        <x:v>8</x:v>
      </x:c>
      <x:c r="K108" s="442" t="str">
        <x:v>Simulación y videojuegos</x:v>
      </x:c>
      <x:c r="L108" s="442" t="str">
        <x:v>2026-07-29</x:v>
      </x:c>
      <x:c r="M108" s="442" t="str">
        <x:v>Revisada</x:v>
      </x:c>
    </x:row>
    <x:row r="109" ht="58" customHeight="1">
      <x:c r="A109" s="445" t="n">
        <x:v>105</x:v>
      </x:c>
      <x:c r="B109" s="445" t="str">
        <x:v>30 especialistas</x:v>
      </x:c>
      <x:c r="C109" s="445" t="str">
        <x:v>Worcester Polytechnic Institute</x:v>
      </x:c>
      <x:c r="D109" s="445" t="str">
        <x:v>Estados Unidos</x:v>
      </x:c>
      <x:c r="E109" s="445" t="str">
        <x:v>Norteamérica</x:v>
      </x:c>
      <x:c r="F109" s="445" t="str">
        <x:v>B</x:v>
      </x:c>
      <x:c r="G109" s="445" t="str">
        <x:v>https://www.wpi.edu/academics/departments/computer-science</x:v>
      </x:c>
      <x:c r="H109" s="445" t="str">
        <x:v>Computer Science; Robotics Engineering; Interactive Media and Game Development; Cybersecurity</x:v>
      </x:c>
      <x:c r="I109"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Investigación, profesión y capstones</x:v>
      </x:c>
      <x:c r="J109" s="445" t="n">
        <x:v>12</x:v>
      </x:c>
      <x:c r="K109" s="445" t="str">
        <x:v>Robótica basada en proyectos</x:v>
      </x:c>
      <x:c r="L109" s="445" t="str">
        <x:v>2026-07-29</x:v>
      </x:c>
      <x:c r="M109" s="445" t="str">
        <x:v>Revisada</x:v>
      </x:c>
    </x:row>
    <x:row r="110" ht="58" customHeight="1">
      <x:c r="A110" s="442" t="n">
        <x:v>106</x:v>
      </x:c>
      <x:c r="B110" s="442" t="str">
        <x:v>30 especialistas</x:v>
      </x:c>
      <x:c r="C110" s="442" t="str">
        <x:v>Stevens Institute of Technology</x:v>
      </x:c>
      <x:c r="D110" s="442" t="str">
        <x:v>Estados Unidos</x:v>
      </x:c>
      <x:c r="E110" s="442" t="str">
        <x:v>Norteamérica</x:v>
      </x:c>
      <x:c r="F110" s="442" t="str">
        <x:v>B</x:v>
      </x:c>
      <x:c r="G110" s="442" t="str">
        <x:v>https://www.stevens.edu/school-engineering-science/departments/computer-science/undergraduate-programs</x:v>
      </x:c>
      <x:c r="H110" s="442" t="str">
        <x:v>Computer Science; Cybersecurity; Software Engineering; Robotics and Autonomous Systems</x:v>
      </x:c>
      <x:c r="I110"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110" s="442" t="n">
        <x:v>11</x:v>
      </x:c>
      <x:c r="K110" s="442" t="str">
        <x:v>Sistemas y autonomía</x:v>
      </x:c>
      <x:c r="L110" s="442" t="str">
        <x:v>2026-07-29</x:v>
      </x:c>
      <x:c r="M110" s="442" t="str">
        <x:v>Revisada</x:v>
      </x:c>
    </x:row>
    <x:row r="111" ht="58" customHeight="1">
      <x:c r="A111" s="445" t="n">
        <x:v>107</x:v>
      </x:c>
      <x:c r="B111" s="445" t="str">
        <x:v>30 especialistas</x:v>
      </x:c>
      <x:c r="C111" s="445" t="str">
        <x:v>Colorado School of Mines</x:v>
      </x:c>
      <x:c r="D111" s="445" t="str">
        <x:v>Estados Unidos</x:v>
      </x:c>
      <x:c r="E111" s="445" t="str">
        <x:v>Norteamérica</x:v>
      </x:c>
      <x:c r="F111" s="445" t="str">
        <x:v>B</x:v>
      </x:c>
      <x:c r="G111" s="445" t="str">
        <x:v>https://cs.mines.edu/undergraduate-program/</x:v>
      </x:c>
      <x:c r="H111" s="445" t="str">
        <x:v>Computer Science; Robotics and Intelligent Systems; Data Science; Electrical Engineering</x:v>
      </x:c>
      <x:c r="I111" s="445"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111" s="445" t="n">
        <x:v>10</x:v>
      </x:c>
      <x:c r="K111" s="445" t="str">
        <x:v>Robótica y sistemas físicos</x:v>
      </x:c>
      <x:c r="L111" s="445" t="str">
        <x:v>2026-07-29</x:v>
      </x:c>
      <x:c r="M111" s="445" t="str">
        <x:v>Revisada</x:v>
      </x:c>
    </x:row>
    <x:row r="112" ht="58" customHeight="1">
      <x:c r="A112" s="442" t="n">
        <x:v>108</x:v>
      </x:c>
      <x:c r="B112" s="442" t="str">
        <x:v>30 especialistas</x:v>
      </x:c>
      <x:c r="C112" s="442" t="str">
        <x:v>Oregon State University</x:v>
      </x:c>
      <x:c r="D112" s="442" t="str">
        <x:v>Estados Unidos</x:v>
      </x:c>
      <x:c r="E112" s="442" t="str">
        <x:v>Norteamérica</x:v>
      </x:c>
      <x:c r="F112" s="442" t="str">
        <x:v>B</x:v>
      </x:c>
      <x:c r="G112" s="442" t="str">
        <x:v>https://engineering.oregonstate.edu/EECS/academics/undergraduate-programs</x:v>
      </x:c>
      <x:c r="H112" s="442" t="str">
        <x:v>Computer Science; Electrical and Computer Engineering; Robotics; AI</x:v>
      </x:c>
      <x:c r="I112" s="442" t="str">
        <x:v>Matemática y ciencias; Programación y teoría CS; Sistemas y arquitectura; Ingeniería de software; Datos, BI e IA; Redes, telecom y cloud; Ciberseguridad, forense y auditoría; Electrónica, embebidos e IoT; Robótica y mecatrónica; Bioinformática y salud digital; Investigación, profesión y capstones</x:v>
      </x:c>
      <x:c r="J112" s="442" t="n">
        <x:v>11</x:v>
      </x:c>
      <x:c r="K112" s="442" t="str">
        <x:v>Robótica y sistemas abiertos</x:v>
      </x:c>
      <x:c r="L112" s="442" t="str">
        <x:v>2026-07-29</x:v>
      </x:c>
      <x:c r="M112" s="442" t="str">
        <x:v>Revisada</x:v>
      </x:c>
    </x:row>
    <x:row r="113" ht="58" customHeight="1">
      <x:c r="A113" s="445" t="n">
        <x:v>109</x:v>
      </x:c>
      <x:c r="B113" s="445" t="str">
        <x:v>30 especialistas</x:v>
      </x:c>
      <x:c r="C113" s="445" t="str">
        <x:v>University of Twente</x:v>
      </x:c>
      <x:c r="D113" s="445" t="str">
        <x:v>Países Bajos</x:v>
      </x:c>
      <x:c r="E113" s="445" t="str">
        <x:v>Europa</x:v>
      </x:c>
      <x:c r="F113" s="445" t="str">
        <x:v>B</x:v>
      </x:c>
      <x:c r="G113" s="445" t="str">
        <x:v>https://www.utwente.nl/en/education/bachelor/programmes/technical-computer-science/</x:v>
      </x:c>
      <x:c r="H113" s="445" t="str">
        <x:v>Technical Computer Science; Electrical Engineering; Robotics; Interaction Technology</x:v>
      </x:c>
      <x:c r="I113"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Investigación, profesión y capstones</x:v>
      </x:c>
      <x:c r="J113" s="445" t="n">
        <x:v>12</x:v>
      </x:c>
      <x:c r="K113" s="445" t="str">
        <x:v>Sistemas embebidos y robótica</x:v>
      </x:c>
      <x:c r="L113" s="445" t="str">
        <x:v>2026-07-29</x:v>
      </x:c>
      <x:c r="M113" s="445" t="str">
        <x:v>Revisada</x:v>
      </x:c>
    </x:row>
    <x:row r="114" ht="58" customHeight="1">
      <x:c r="A114" s="442" t="n">
        <x:v>110</x:v>
      </x:c>
      <x:c r="B114" s="442" t="str">
        <x:v>30 especialistas</x:v>
      </x:c>
      <x:c r="C114" s="442" t="str">
        <x:v>Aalborg University</x:v>
      </x:c>
      <x:c r="D114" s="442" t="str">
        <x:v>Dinamarca</x:v>
      </x:c>
      <x:c r="E114" s="442" t="str">
        <x:v>Europa</x:v>
      </x:c>
      <x:c r="F114" s="442" t="str">
        <x:v>B</x:v>
      </x:c>
      <x:c r="G114" s="442" t="str">
        <x:v>https://www.en.aau.dk/education/bachelor/software</x:v>
      </x:c>
      <x:c r="H114" s="442" t="str">
        <x:v>Software; Electronics and IT; Robotics; Communication Technology</x:v>
      </x:c>
      <x:c r="I114"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114" s="442" t="n">
        <x:v>11</x:v>
      </x:c>
      <x:c r="K114" s="442" t="str">
        <x:v>Aprendizaje por problemas</x:v>
      </x:c>
      <x:c r="L114" s="442" t="str">
        <x:v>2026-07-29</x:v>
      </x:c>
      <x:c r="M114" s="442" t="str">
        <x:v>Revisada</x:v>
      </x:c>
    </x:row>
    <x:row r="115" ht="58" customHeight="1">
      <x:c r="A115" s="445" t="n">
        <x:v>111</x:v>
      </x:c>
      <x:c r="B115" s="445" t="str">
        <x:v>30 especialistas</x:v>
      </x:c>
      <x:c r="C115" s="445" t="str">
        <x:v>University of Oulu</x:v>
      </x:c>
      <x:c r="D115" s="445" t="str">
        <x:v>Finlandia</x:v>
      </x:c>
      <x:c r="E115" s="445" t="str">
        <x:v>Europa</x:v>
      </x:c>
      <x:c r="F115" s="445" t="str">
        <x:v>B</x:v>
      </x:c>
      <x:c r="G115" s="445" t="str">
        <x:v>https://www.oulu.fi/en/apply/bachelors-programmes/digitalisation-computing-and-electronics</x:v>
      </x:c>
      <x:c r="H115" s="445" t="str">
        <x:v>Computer Science and Engineering; Electronics and Communications; Wireless Communications</x:v>
      </x:c>
      <x:c r="I115" s="445"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115" s="445" t="n">
        <x:v>11</x:v>
      </x:c>
      <x:c r="K115" s="445" t="str">
        <x:v>6G y comunicaciones</x:v>
      </x:c>
      <x:c r="L115" s="445" t="str">
        <x:v>2026-07-29</x:v>
      </x:c>
      <x:c r="M115" s="445" t="str">
        <x:v>Revisada</x:v>
      </x:c>
    </x:row>
    <x:row r="116" ht="58" customHeight="1">
      <x:c r="A116" s="442" t="n">
        <x:v>112</x:v>
      </x:c>
      <x:c r="B116" s="442" t="str">
        <x:v>30 especialistas</x:v>
      </x:c>
      <x:c r="C116" s="442" t="str">
        <x:v>Tampere University</x:v>
      </x:c>
      <x:c r="D116" s="442" t="str">
        <x:v>Finlandia</x:v>
      </x:c>
      <x:c r="E116" s="442" t="str">
        <x:v>Europa</x:v>
      </x:c>
      <x:c r="F116" s="442" t="str">
        <x:v>B</x:v>
      </x:c>
      <x:c r="G116" s="442" t="str">
        <x:v>https://www.tuni.fi/en/study-with-us/computing-and-electrical-engineering-science-and-engineering</x:v>
      </x:c>
      <x:c r="H116" s="442" t="str">
        <x:v>Computing and Electrical Engineering; Signal Processing; Embedded Systems; Robotics</x:v>
      </x:c>
      <x:c r="I116" s="442" t="str">
        <x:v>Matemática y ciencias; Programación y teoría CS; Sistemas y arquitectura; Ingeniería de software; Datos, BI e IA; Redes, telecom y cloud; Ciberseguridad, forense y auditoría; Electrónica, embebidos e IoT; Robótica y mecatrónica; Gráficos, juegos y XR; Investigación, profesión y capstones</x:v>
      </x:c>
      <x:c r="J116" s="442" t="n">
        <x:v>11</x:v>
      </x:c>
      <x:c r="K116" s="442" t="str">
        <x:v>Señales y embebidos</x:v>
      </x:c>
      <x:c r="L116" s="442" t="str">
        <x:v>2026-07-29</x:v>
      </x:c>
      <x:c r="M116" s="442" t="str">
        <x:v>Revisada</x:v>
      </x:c>
    </x:row>
    <x:row r="117" ht="58" customHeight="1">
      <x:c r="A117" s="445" t="n">
        <x:v>113</x:v>
      </x:c>
      <x:c r="B117" s="445" t="str">
        <x:v>30 especialistas</x:v>
      </x:c>
      <x:c r="C117" s="445" t="str">
        <x:v>University of Surrey</x:v>
      </x:c>
      <x:c r="D117" s="445" t="str">
        <x:v>Reino Unido</x:v>
      </x:c>
      <x:c r="E117" s="445" t="str">
        <x:v>Europa</x:v>
      </x:c>
      <x:c r="F117" s="445" t="str">
        <x:v>B</x:v>
      </x:c>
      <x:c r="G117" s="445" t="str">
        <x:v>https://www.surrey.ac.uk/undergraduate/computer-science</x:v>
      </x:c>
      <x:c r="H117" s="445" t="str">
        <x:v>Computer Science; Electronic Engineering; Cyber Security; Space Technology</x:v>
      </x:c>
      <x:c r="I117" s="445"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117" s="445" t="n">
        <x:v>10</x:v>
      </x:c>
      <x:c r="K117" s="445" t="str">
        <x:v>Telecom, espacio y ciber</x:v>
      </x:c>
      <x:c r="L117" s="445" t="str">
        <x:v>2026-07-29</x:v>
      </x:c>
      <x:c r="M117" s="445" t="str">
        <x:v>Revisada</x:v>
      </x:c>
    </x:row>
    <x:row r="118" ht="58" customHeight="1">
      <x:c r="A118" s="442" t="n">
        <x:v>114</x:v>
      </x:c>
      <x:c r="B118" s="442" t="str">
        <x:v>30 especialistas</x:v>
      </x:c>
      <x:c r="C118" s="442" t="str">
        <x:v>Royal Holloway, University of London</x:v>
      </x:c>
      <x:c r="D118" s="442" t="str">
        <x:v>Reino Unido</x:v>
      </x:c>
      <x:c r="E118" s="442" t="str">
        <x:v>Europa</x:v>
      </x:c>
      <x:c r="F118" s="442" t="str">
        <x:v>B</x:v>
      </x:c>
      <x:c r="G118" s="442" t="str">
        <x:v>https://www.royalholloway.ac.uk/studying-here/undergraduate/computer-science/computer-science-information-security/</x:v>
      </x:c>
      <x:c r="H118" s="442" t="str">
        <x:v>Computer Science; Information Security; AI; Software Engineering</x:v>
      </x:c>
      <x:c r="I118" s="442" t="str">
        <x:v>Matemática y ciencias; Programación y teoría CS; Sistemas y arquitectura; Ingeniería de software; Datos, BI e IA; Redes, telecom y cloud; Ciberseguridad, forense y auditoría; Investigación, profesión y capstones</x:v>
      </x:c>
      <x:c r="J118" s="442" t="n">
        <x:v>8</x:v>
      </x:c>
      <x:c r="K118" s="442" t="str">
        <x:v>Seguridad de la información</x:v>
      </x:c>
      <x:c r="L118" s="442" t="str">
        <x:v>2026-07-29</x:v>
      </x:c>
      <x:c r="M118" s="442" t="str">
        <x:v>Revisada</x:v>
      </x:c>
    </x:row>
    <x:row r="119" ht="58" customHeight="1">
      <x:c r="A119" s="445" t="n">
        <x:v>115</x:v>
      </x:c>
      <x:c r="B119" s="445" t="str">
        <x:v>30 especialistas</x:v>
      </x:c>
      <x:c r="C119" s="445" t="str">
        <x:v>Lancaster University</x:v>
      </x:c>
      <x:c r="D119" s="445" t="str">
        <x:v>Reino Unido</x:v>
      </x:c>
      <x:c r="E119" s="445" t="str">
        <x:v>Europa</x:v>
      </x:c>
      <x:c r="F119" s="445" t="str">
        <x:v>B</x:v>
      </x:c>
      <x:c r="G119" s="445" t="str">
        <x:v>https://www.lancaster.ac.uk/scc/study/undergraduate/</x:v>
      </x:c>
      <x:c r="H119" s="445" t="str">
        <x:v>Computer Science; Cyber Security; Software Engineering; Design</x:v>
      </x:c>
      <x:c r="I119" s="445" t="str">
        <x:v>Programación y teoría CS; Sistemas y arquitectura; Ingeniería de software; Datos, BI e IA; Redes, telecom y cloud; Ciberseguridad, forense y auditoría; Gráficos, juegos y XR; Diseño, foto, cine y multimedia; Sistemas de información y gestión TI; Investigación, profesión y capstones</x:v>
      </x:c>
      <x:c r="J119" s="445" t="n">
        <x:v>10</x:v>
      </x:c>
      <x:c r="K119" s="445" t="str">
        <x:v>Ciberseguridad y HCI</x:v>
      </x:c>
      <x:c r="L119" s="445" t="str">
        <x:v>2026-07-29</x:v>
      </x:c>
      <x:c r="M119" s="445" t="str">
        <x:v>Revisada</x:v>
      </x:c>
    </x:row>
    <x:row r="120" ht="58" customHeight="1">
      <x:c r="A120" s="442" t="n">
        <x:v>116</x:v>
      </x:c>
      <x:c r="B120" s="442" t="str">
        <x:v>30 especialistas</x:v>
      </x:c>
      <x:c r="C120" s="442" t="str">
        <x:v>Northumbria University</x:v>
      </x:c>
      <x:c r="D120" s="442" t="str">
        <x:v>Reino Unido</x:v>
      </x:c>
      <x:c r="E120" s="442" t="str">
        <x:v>Europa</x:v>
      </x:c>
      <x:c r="F120" s="442" t="str">
        <x:v>B</x:v>
      </x:c>
      <x:c r="G120" s="442" t="str">
        <x:v>https://www.northumbria.ac.uk/study-at-northumbria/courses/bsc-hons-computer-and-digital-forensics-uuscdf1/</x:v>
      </x:c>
      <x:c r="H120" s="442" t="str">
        <x:v>Computer and Digital Forensics; Cyber Security; Networking; Computing</x:v>
      </x:c>
      <x:c r="I120" s="442" t="str">
        <x:v>Preparación y ofimática; Programación y teoría CS; Sistemas y arquitectura; Ingeniería de software; Redes, telecom y cloud; Ciberseguridad, forense y auditoría; Soporte y reparación; Sistemas de información y gestión TI; Investigación, profesión y capstones</x:v>
      </x:c>
      <x:c r="J120" s="442" t="n">
        <x:v>9</x:v>
      </x:c>
      <x:c r="K120" s="442" t="str">
        <x:v>Forense digital</x:v>
      </x:c>
      <x:c r="L120" s="442" t="str">
        <x:v>2026-07-29</x:v>
      </x:c>
      <x:c r="M120" s="442" t="str">
        <x:v>Revisada</x:v>
      </x:c>
    </x:row>
    <x:row r="121" ht="58" customHeight="1">
      <x:c r="A121" s="445" t="n">
        <x:v>117</x:v>
      </x:c>
      <x:c r="B121" s="445" t="str">
        <x:v>30 especialistas</x:v>
      </x:c>
      <x:c r="C121" s="445" t="str">
        <x:v>De Montfort University</x:v>
      </x:c>
      <x:c r="D121" s="445" t="str">
        <x:v>Reino Unido</x:v>
      </x:c>
      <x:c r="E121" s="445" t="str">
        <x:v>Europa</x:v>
      </x:c>
      <x:c r="F121" s="445" t="str">
        <x:v>B</x:v>
      </x:c>
      <x:c r="G121" s="445" t="str">
        <x:v>https://www.dmu.ac.uk/study/courses/undergraduate-courses/cyber-security-bsc-degree/cyber-security-bsc-degree.aspx</x:v>
      </x:c>
      <x:c r="H121" s="445" t="str">
        <x:v>Cyber Security; Computer Science; Games Production; Mechatronics</x:v>
      </x:c>
      <x:c r="I121" s="445" t="str">
        <x:v>Programación y teoría CS; Sistemas y arquitectura; Ingeniería de software; Datos, BI e IA; Redes, telecom y cloud; Ciberseguridad, forense y auditoría; Electrónica, embebidos e IoT; Robótica y mecatrónica; Soporte y reparación; Gráficos, juegos y XR; Diseño, foto, cine y multimedia; Investigación, profesión y capstones</x:v>
      </x:c>
      <x:c r="J121" s="445" t="n">
        <x:v>12</x:v>
      </x:c>
      <x:c r="K121" s="445" t="str">
        <x:v>Ciberseguridad aplicada</x:v>
      </x:c>
      <x:c r="L121" s="445" t="str">
        <x:v>2026-07-29</x:v>
      </x:c>
      <x:c r="M121" s="445" t="str">
        <x:v>Revisada</x:v>
      </x:c>
    </x:row>
    <x:row r="122" ht="58" customHeight="1">
      <x:c r="A122" s="442" t="n">
        <x:v>118</x:v>
      </x:c>
      <x:c r="B122" s="442" t="str">
        <x:v>30 especialistas</x:v>
      </x:c>
      <x:c r="C122" s="442" t="str">
        <x:v>University of Kent</x:v>
      </x:c>
      <x:c r="D122" s="442" t="str">
        <x:v>Reino Unido</x:v>
      </x:c>
      <x:c r="E122" s="442" t="str">
        <x:v>Europa</x:v>
      </x:c>
      <x:c r="F122" s="442" t="str">
        <x:v>B</x:v>
      </x:c>
      <x:c r="G122" s="442" t="str">
        <x:v>https://www.kent.ac.uk/courses/undergraduate/124/computer-science-cyber-security</x:v>
      </x:c>
      <x:c r="H122" s="442" t="str">
        <x:v>Computer Science; Cyber Security; AI; Digital Design</x:v>
      </x:c>
      <x:c r="I122" s="442" t="str">
        <x:v>Programación y teoría CS; Sistemas y arquitectura; Ingeniería de software; Datos, BI e IA; Redes, telecom y cloud; Ciberseguridad, forense y auditoría; Gráficos, juegos y XR; Diseño, foto, cine y multimedia; Investigación, profesión y capstones</x:v>
      </x:c>
      <x:c r="J122" s="442" t="n">
        <x:v>9</x:v>
      </x:c>
      <x:c r="K122" s="442" t="str">
        <x:v>Seguridad y diseño digital</x:v>
      </x:c>
      <x:c r="L122" s="442" t="str">
        <x:v>2026-07-29</x:v>
      </x:c>
      <x:c r="M122" s="442" t="str">
        <x:v>Revisada</x:v>
      </x:c>
    </x:row>
    <x:row r="123" ht="58" customHeight="1">
      <x:c r="A123" s="445" t="n">
        <x:v>119</x:v>
      </x:c>
      <x:c r="B123" s="445" t="str">
        <x:v>30 especialistas</x:v>
      </x:c>
      <x:c r="C123" s="445" t="str">
        <x:v>Cranfield University</x:v>
      </x:c>
      <x:c r="D123" s="445" t="str">
        <x:v>Reino Unido</x:v>
      </x:c>
      <x:c r="E123" s="445" t="str">
        <x:v>Europa</x:v>
      </x:c>
      <x:c r="F123" s="445" t="str">
        <x:v>B</x:v>
      </x:c>
      <x:c r="G123" s="445" t="str">
        <x:v>https://www.cranfield.ac.uk/courses/taught/robotics</x:v>
      </x:c>
      <x:c r="H123" s="445" t="str">
        <x:v>Risk and Safety; Robotics; Autonomous Vehicle Dynamics; Cyber Defence</x:v>
      </x:c>
      <x:c r="I123" s="445"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123" s="445" t="n">
        <x:v>10</x:v>
      </x:c>
      <x:c r="K123" s="445" t="str">
        <x:v>Robótica y autonomía de posgrado</x:v>
      </x:c>
      <x:c r="L123" s="445" t="str">
        <x:v>2026-07-29</x:v>
      </x:c>
      <x:c r="M123" s="445" t="str">
        <x:v>Revisada</x:v>
      </x:c>
    </x:row>
    <x:row r="124" ht="58" customHeight="1">
      <x:c r="A124" s="442" t="n">
        <x:v>120</x:v>
      </x:c>
      <x:c r="B124" s="442" t="str">
        <x:v>30 especialistas</x:v>
      </x:c>
      <x:c r="C124" s="442" t="str">
        <x:v>Politecnico di Torino</x:v>
      </x:c>
      <x:c r="D124" s="442" t="str">
        <x:v>Italia</x:v>
      </x:c>
      <x:c r="E124" s="442" t="str">
        <x:v>Europa</x:v>
      </x:c>
      <x:c r="F124" s="442" t="str">
        <x:v>B</x:v>
      </x:c>
      <x:c r="G124" s="442" t="str">
        <x:v>https://www.polito.it/en/education/bachelor-s-degree-programmes/computer-engineering</x:v>
      </x:c>
      <x:c r="H124" s="442" t="str">
        <x:v>Computer Engineering; Electronic Engineering; ICT; Mechatronics</x:v>
      </x:c>
      <x:c r="I124"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124" s="442" t="n">
        <x:v>11</x:v>
      </x:c>
      <x:c r="K124" s="442" t="str">
        <x:v>ICT y mecatrónica</x:v>
      </x:c>
      <x:c r="L124" s="442" t="str">
        <x:v>2026-07-29</x:v>
      </x:c>
      <x:c r="M124" s="442" t="str">
        <x:v>Revisada</x:v>
      </x:c>
    </x:row>
    <x:row r="125" ht="58" customHeight="1">
      <x:c r="A125" s="445" t="n">
        <x:v>121</x:v>
      </x:c>
      <x:c r="B125" s="445" t="str">
        <x:v>30 especialistas</x:v>
      </x:c>
      <x:c r="C125" s="445" t="str">
        <x:v>Télécom Paris</x:v>
      </x:c>
      <x:c r="D125" s="445" t="str">
        <x:v>Francia</x:v>
      </x:c>
      <x:c r="E125" s="445" t="str">
        <x:v>Europa</x:v>
      </x:c>
      <x:c r="F125" s="445" t="str">
        <x:v>B</x:v>
      </x:c>
      <x:c r="G125" s="445" t="str">
        <x:v>https://www.telecom-paris.fr/en/engineering</x:v>
      </x:c>
      <x:c r="H125" s="445" t="str">
        <x:v>Computer Science; Networks; Data Science; Cybersecurity; Embedded Systems</x:v>
      </x:c>
      <x:c r="I125" s="445"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125" s="445" t="n">
        <x:v>11</x:v>
      </x:c>
      <x:c r="K125" s="445" t="str">
        <x:v>Telecomunicaciones y datos</x:v>
      </x:c>
      <x:c r="L125" s="445" t="str">
        <x:v>2026-07-29</x:v>
      </x:c>
      <x:c r="M125" s="445" t="str">
        <x:v>Revisada</x:v>
      </x:c>
    </x:row>
    <x:row r="126" ht="58" customHeight="1">
      <x:c r="A126" s="442" t="n">
        <x:v>122</x:v>
      </x:c>
      <x:c r="B126" s="442" t="str">
        <x:v>30 especialistas</x:v>
      </x:c>
      <x:c r="C126" s="442" t="str">
        <x:v>EURECOM</x:v>
      </x:c>
      <x:c r="D126" s="442" t="str">
        <x:v>Francia</x:v>
      </x:c>
      <x:c r="E126" s="442" t="str">
        <x:v>Europa</x:v>
      </x:c>
      <x:c r="F126" s="442" t="str">
        <x:v>B</x:v>
      </x:c>
      <x:c r="G126" s="442" t="str">
        <x:v>https://www.eurecom.fr/en/teaching</x:v>
      </x:c>
      <x:c r="H126" s="442" t="str">
        <x:v>Communication Systems; Data Science; Digital Security; Intelligent Systems</x:v>
      </x:c>
      <x:c r="I126" s="442" t="str">
        <x:v>Matemática y ciencias; Programación y teoría CS; Sistemas y arquitectura; Ingeniería de software; Datos, BI e IA; Redes, telecom y cloud; Ciberseguridad, forense y auditoría; Electrónica, embebidos e IoT; Robótica y mecatrónica; Investigación, profesión y capstones</x:v>
      </x:c>
      <x:c r="J126" s="442" t="n">
        <x:v>10</x:v>
      </x:c>
      <x:c r="K126" s="442" t="str">
        <x:v>Comunicaciones y seguridad</x:v>
      </x:c>
      <x:c r="L126" s="442" t="str">
        <x:v>2026-07-29</x:v>
      </x:c>
      <x:c r="M126" s="442" t="str">
        <x:v>Revisada</x:v>
      </x:c>
    </x:row>
    <x:row r="127" ht="58" customHeight="1">
      <x:c r="A127" s="445" t="n">
        <x:v>123</x:v>
      </x:c>
      <x:c r="B127" s="445" t="str">
        <x:v>30 especialistas</x:v>
      </x:c>
      <x:c r="C127" s="445" t="str">
        <x:v>University of Luxembourg</x:v>
      </x:c>
      <x:c r="D127" s="445" t="str">
        <x:v>Luxemburgo</x:v>
      </x:c>
      <x:c r="E127" s="445" t="str">
        <x:v>Europa</x:v>
      </x:c>
      <x:c r="F127" s="445" t="str">
        <x:v>B</x:v>
      </x:c>
      <x:c r="G127" s="445" t="str">
        <x:v>https://www.uni.lu/fstm-en/study-programs/bachelor-in-computer-science/</x:v>
      </x:c>
      <x:c r="H127" s="445" t="str">
        <x:v>Computer Science; Information and Computer Sciences; Cybersecurity; FinTech</x:v>
      </x:c>
      <x:c r="I127" s="445" t="str">
        <x:v>Matemática y ciencias; Programación y teoría CS; Sistemas y arquitectura; Ingeniería de software; Datos, BI e IA; Redes, telecom y cloud; Ciberseguridad, forense y auditoría; Sistemas de información y gestión TI; Computación cuántica; Investigación, profesión y capstones</x:v>
      </x:c>
      <x:c r="J127" s="445" t="n">
        <x:v>10</x:v>
      </x:c>
      <x:c r="K127" s="445" t="str">
        <x:v>Seguridad y fintech</x:v>
      </x:c>
      <x:c r="L127" s="445" t="str">
        <x:v>2026-07-29</x:v>
      </x:c>
      <x:c r="M127" s="445" t="str">
        <x:v>Revisada</x:v>
      </x:c>
    </x:row>
    <x:row r="128" ht="58" customHeight="1">
      <x:c r="A128" s="442" t="n">
        <x:v>124</x:v>
      </x:c>
      <x:c r="B128" s="442" t="str">
        <x:v>30 especialistas</x:v>
      </x:c>
      <x:c r="C128" s="442" t="str">
        <x:v>Graz University of Technology</x:v>
      </x:c>
      <x:c r="D128" s="442" t="str">
        <x:v>Austria</x:v>
      </x:c>
      <x:c r="E128" s="442" t="str">
        <x:v>Europa</x:v>
      </x:c>
      <x:c r="F128" s="442" t="str">
        <x:v>B</x:v>
      </x:c>
      <x:c r="G128" s="442" t="str">
        <x:v>https://www.tugraz.at/en/studying-and-teaching/degree-and-certificate-programmes/bachelors-degree-programmes/computer-science</x:v>
      </x:c>
      <x:c r="H128" s="442" t="str">
        <x:v>Computer Science; Information and Computer Engineering; Software Engineering; Robotics</x:v>
      </x:c>
      <x:c r="I128"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28" s="442" t="n">
        <x:v>12</x:v>
      </x:c>
      <x:c r="K128" s="442" t="str">
        <x:v>CS y seguridad</x:v>
      </x:c>
      <x:c r="L128" s="442" t="str">
        <x:v>2026-07-29</x:v>
      </x:c>
      <x:c r="M128" s="442" t="str">
        <x:v>Revisada</x:v>
      </x:c>
    </x:row>
    <x:row r="129" ht="58" customHeight="1">
      <x:c r="A129" s="445" t="n">
        <x:v>125</x:v>
      </x:c>
      <x:c r="B129" s="445" t="str">
        <x:v>30 especialistas</x:v>
      </x:c>
      <x:c r="C129" s="445" t="str">
        <x:v>Johannes Kepler University Linz</x:v>
      </x:c>
      <x:c r="D129" s="445" t="str">
        <x:v>Austria</x:v>
      </x:c>
      <x:c r="E129" s="445" t="str">
        <x:v>Europa</x:v>
      </x:c>
      <x:c r="F129" s="445" t="str">
        <x:v>B</x:v>
      </x:c>
      <x:c r="G129" s="445" t="str">
        <x:v>https://www.jku.at/en/degree-programs/types-of-degree-programs/bachelors-and-diploma-degree-programs/ba-artificial-intelligence/</x:v>
      </x:c>
      <x:c r="H129" s="445" t="str">
        <x:v>Artificial Intelligence; Computer Science; Mechatronics; Electronics</x:v>
      </x:c>
      <x:c r="I129" s="445" t="str">
        <x:v>Matemática y ciencias; Programación y teoría CS; Sistemas y arquitectura; Ingeniería de software; Datos, BI e IA; Redes, telecom y cloud; Ciberseguridad, forense y auditoría; Electrónica, embebidos e IoT; Robótica y mecatrónica; Bioinformática y salud digital; Investigación, profesión y capstones</x:v>
      </x:c>
      <x:c r="J129" s="445" t="n">
        <x:v>11</x:v>
      </x:c>
      <x:c r="K129" s="445" t="str">
        <x:v>IA y mecatrónica</x:v>
      </x:c>
      <x:c r="L129" s="445" t="str">
        <x:v>2026-07-29</x:v>
      </x:c>
      <x:c r="M129" s="445" t="str">
        <x:v>Revisada</x:v>
      </x:c>
    </x:row>
    <x:row r="130" ht="58" customHeight="1">
      <x:c r="A130" s="442" t="n">
        <x:v>126</x:v>
      </x:c>
      <x:c r="B130" s="442" t="str">
        <x:v>30 especialistas</x:v>
      </x:c>
      <x:c r="C130" s="442" t="str">
        <x:v>Technical University of Darmstadt</x:v>
      </x:c>
      <x:c r="D130" s="442" t="str">
        <x:v>Alemania</x:v>
      </x:c>
      <x:c r="E130" s="442" t="str">
        <x:v>Europa</x:v>
      </x:c>
      <x:c r="F130" s="442" t="str">
        <x:v>B</x:v>
      </x:c>
      <x:c r="G130" s="442" t="str">
        <x:v>https://www.informatik.tu-darmstadt.de/studium_fb20/studienangebot_fb20/bachelor_studiengaenge_1/index.en.jsp</x:v>
      </x:c>
      <x:c r="H130" s="442" t="str">
        <x:v>Computer Science; IT Security; Autonomous Systems; Computational Engineering</x:v>
      </x:c>
      <x:c r="I130" s="442" t="str">
        <x:v>Matemática y ciencias; Programación y teoría CS; Sistemas y arquitectura; Ingeniería de software; Datos, BI e IA; Redes, telecom y cloud; Ciberseguridad, forense y auditoría; Electrónica, embebidos e IoT; Robótica y mecatrónica; Computación cuántica; Investigación, profesión y capstones</x:v>
      </x:c>
      <x:c r="J130" s="442" t="n">
        <x:v>11</x:v>
      </x:c>
      <x:c r="K130" s="442" t="str">
        <x:v>Seguridad y sistemas autónomos</x:v>
      </x:c>
      <x:c r="L130" s="442" t="str">
        <x:v>2026-07-29</x:v>
      </x:c>
      <x:c r="M130" s="442" t="str">
        <x:v>Revisada</x:v>
      </x:c>
    </x:row>
    <x:row r="131" ht="58" customHeight="1">
      <x:c r="A131" s="445" t="n">
        <x:v>127</x:v>
      </x:c>
      <x:c r="B131" s="445" t="str">
        <x:v>30 especialistas</x:v>
      </x:c>
      <x:c r="C131" s="445" t="str">
        <x:v>University of Potsdam / Hasso Plattner Institute</x:v>
      </x:c>
      <x:c r="D131" s="445" t="str">
        <x:v>Alemania</x:v>
      </x:c>
      <x:c r="E131" s="445" t="str">
        <x:v>Europa</x:v>
      </x:c>
      <x:c r="F131" s="445" t="str">
        <x:v>B</x:v>
      </x:c>
      <x:c r="G131" s="445" t="str">
        <x:v>https://hpi.de/en/studies/it-systems-engineering/bsc.html</x:v>
      </x:c>
      <x:c r="H131" s="445" t="str">
        <x:v>IT Systems Engineering; Digital Health; Data Engineering; Cybersecurity</x:v>
      </x:c>
      <x:c r="I131" s="445" t="str">
        <x:v>Matemática y ciencias; Programación y teoría CS; Sistemas y arquitectura; Ingeniería de software; Datos, BI e IA; Redes, telecom y cloud; Ciberseguridad, forense y auditoría; Sistemas de información y gestión TI; Bioinformática y salud digital; Investigación, profesión y capstones</x:v>
      </x:c>
      <x:c r="J131" s="445" t="n">
        <x:v>10</x:v>
      </x:c>
      <x:c r="K131" s="445" t="str">
        <x:v>Ingeniería de sistemas de software</x:v>
      </x:c>
      <x:c r="L131" s="445" t="str">
        <x:v>2026-07-29</x:v>
      </x:c>
      <x:c r="M131" s="445" t="str">
        <x:v>Revisada</x:v>
      </x:c>
    </x:row>
    <x:row r="132" ht="58" customHeight="1">
      <x:c r="A132" s="442" t="n">
        <x:v>128</x:v>
      </x:c>
      <x:c r="B132" s="442" t="str">
        <x:v>30 especialistas</x:v>
      </x:c>
      <x:c r="C132" s="442" t="str">
        <x:v>University of the Arts London</x:v>
      </x:c>
      <x:c r="D132" s="442" t="str">
        <x:v>Reino Unido</x:v>
      </x:c>
      <x:c r="E132" s="442" t="str">
        <x:v>Europa</x:v>
      </x:c>
      <x:c r="F132" s="442" t="str">
        <x:v>B</x:v>
      </x:c>
      <x:c r="G132" s="442" t="str">
        <x:v>https://www.arts.ac.uk/subjects/animation-interactive-film-and-sound/undergraduate</x:v>
      </x:c>
      <x:c r="H132" s="442" t="str">
        <x:v>Graphic Design; Animation; Film; Photography; Creative Computing</x:v>
      </x:c>
      <x:c r="I132" s="442" t="str">
        <x:v>Programación y teoría CS; Ingeniería de software; Gráficos, juegos y XR; Diseño, foto, cine y multimedia; Investigación, profesión y capstones</x:v>
      </x:c>
      <x:c r="J132" s="442" t="n">
        <x:v>5</x:v>
      </x:c>
      <x:c r="K132" s="442" t="str">
        <x:v>Artes digitales y computación creativa</x:v>
      </x:c>
      <x:c r="L132" s="442" t="str">
        <x:v>2026-07-29</x:v>
      </x:c>
      <x:c r="M132" s="442" t="str">
        <x:v>Revisada</x:v>
      </x:c>
    </x:row>
    <x:row r="133" ht="58" customHeight="1">
      <x:c r="A133" s="445" t="n">
        <x:v>129</x:v>
      </x:c>
      <x:c r="B133" s="445" t="str">
        <x:v>30 especialistas</x:v>
      </x:c>
      <x:c r="C133" s="445" t="str">
        <x:v>California Institute of the Arts</x:v>
      </x:c>
      <x:c r="D133" s="445" t="str">
        <x:v>Estados Unidos</x:v>
      </x:c>
      <x:c r="E133" s="445" t="str">
        <x:v>Norteamérica</x:v>
      </x:c>
      <x:c r="F133" s="445" t="str">
        <x:v>B</x:v>
      </x:c>
      <x:c r="G133" s="445" t="str">
        <x:v>https://calarts.edu/academics/programs-and-degrees/film-video</x:v>
      </x:c>
      <x:c r="H133" s="445" t="str">
        <x:v>Film and Video; Experimental Animation; Graphic Design; Creative Computing</x:v>
      </x:c>
      <x:c r="I133" s="445" t="str">
        <x:v>Gráficos, juegos y XR; Diseño, foto, cine y multimedia; Investigación, profesión y capstones</x:v>
      </x:c>
      <x:c r="J133" s="445" t="n">
        <x:v>3</x:v>
      </x:c>
      <x:c r="K133" s="445" t="str">
        <x:v>Cine, animación y arte</x:v>
      </x:c>
      <x:c r="L133" s="445" t="str">
        <x:v>2026-07-29</x:v>
      </x:c>
      <x:c r="M133" s="445" t="str">
        <x:v>Revisada</x:v>
      </x:c>
    </x:row>
    <x:row r="134" ht="58" customHeight="1">
      <x:c r="A134" s="442" t="n">
        <x:v>130</x:v>
      </x:c>
      <x:c r="B134" s="442" t="str">
        <x:v>30 especialistas</x:v>
      </x:c>
      <x:c r="C134" s="442" t="str">
        <x:v>Savannah College of Art and Design</x:v>
      </x:c>
      <x:c r="D134" s="442" t="str">
        <x:v>Estados Unidos</x:v>
      </x:c>
      <x:c r="E134" s="442" t="str">
        <x:v>Norteamérica</x:v>
      </x:c>
      <x:c r="F134" s="442" t="str">
        <x:v>B</x:v>
      </x:c>
      <x:c r="G134" s="442" t="str">
        <x:v>https://www.scad.edu/academics/programs</x:v>
      </x:c>
      <x:c r="H134" s="442" t="str">
        <x:v>Animation; Game Development; Immersive Reality; Film and Television; Photography</x:v>
      </x:c>
      <x:c r="I134" s="442" t="str">
        <x:v>Gráficos, juegos y XR; Diseño, foto, cine y multimedia; Investigación, profesión y capstones</x:v>
      </x:c>
      <x:c r="J134" s="442" t="n">
        <x:v>3</x:v>
      </x:c>
      <x:c r="K134" s="442" t="str">
        <x:v>Diseño, XR y audiovisual</x:v>
      </x:c>
      <x:c r="L134" s="442" t="str">
        <x:v>2026-07-29</x:v>
      </x:c>
      <x:c r="M134" s="442" t="str">
        <x:v>Revisada</x:v>
      </x:c>
    </x:row>
    <x:row r="135" ht="58" customHeight="1">
      <x:c r="A135" s="445" t="n">
        <x:v>131</x:v>
      </x:c>
      <x:c r="B135" s="445" t="str">
        <x:v>20 referentes regionales</x:v>
      </x:c>
      <x:c r="C135" s="445" t="str">
        <x:v>Universidad Nacional Autónoma de México</x:v>
      </x:c>
      <x:c r="D135" s="445" t="str">
        <x:v>México</x:v>
      </x:c>
      <x:c r="E135" s="445" t="str">
        <x:v>Latinoamérica</x:v>
      </x:c>
      <x:c r="F135" s="445" t="str">
        <x:v>B</x:v>
      </x:c>
      <x:c r="G135" s="445" t="str">
        <x:v>https://oferta.unam.mx/ingenieria-en-computacion.html</x:v>
      </x:c>
      <x:c r="H135" s="445" t="str">
        <x:v>Ingeniería en Computación; Ciencias de la Computación; Informática; Mecatrónica</x:v>
      </x:c>
      <x:c r="I135" s="445"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Gráficos, juegos y XR; Sistemas de información y gestión TI; Bioinformática y salud digital; Investigación, profesión y capstones</x:v>
      </x:c>
      <x:c r="J135" s="445" t="n">
        <x:v>15</x:v>
      </x:c>
      <x:c r="K135" s="445" t="str">
        <x:v>Referencia pública mexicana</x:v>
      </x:c>
      <x:c r="L135" s="445" t="str">
        <x:v>2026-07-29</x:v>
      </x:c>
      <x:c r="M135" s="445" t="str">
        <x:v>Revisada</x:v>
      </x:c>
    </x:row>
    <x:row r="136" ht="58" customHeight="1">
      <x:c r="A136" s="442" t="n">
        <x:v>132</x:v>
      </x:c>
      <x:c r="B136" s="442" t="str">
        <x:v>20 referentes regionales</x:v>
      </x:c>
      <x:c r="C136" s="442" t="str">
        <x:v>Tecnológico de Monterrey</x:v>
      </x:c>
      <x:c r="D136" s="442" t="str">
        <x:v>México</x:v>
      </x:c>
      <x:c r="E136" s="442" t="str">
        <x:v>Latinoamérica</x:v>
      </x:c>
      <x:c r="F136" s="442" t="str">
        <x:v>B</x:v>
      </x:c>
      <x:c r="G136" s="442" t="str">
        <x:v>https://tec.mx/es/computacion-y-tecnologias-de-informacion</x:v>
      </x:c>
      <x:c r="H136" s="442" t="str">
        <x:v>Computer Science and Technology; Robotics and Digital Systems; Data Science; Creative Technologies</x:v>
      </x:c>
      <x:c r="I136" s="442"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Gráficos, juegos y XR; Diseño, foto, cine y multimedia; Sistemas de información y gestión TI; Bioinformática y salud digital; Investigación, profesión y capstones</x:v>
      </x:c>
      <x:c r="J136" s="442" t="n">
        <x:v>16</x:v>
      </x:c>
      <x:c r="K136" s="442" t="str">
        <x:v>Ingeniería y emprendimiento</x:v>
      </x:c>
      <x:c r="L136" s="442" t="str">
        <x:v>2026-07-29</x:v>
      </x:c>
      <x:c r="M136" s="442" t="str">
        <x:v>Revisada</x:v>
      </x:c>
    </x:row>
    <x:row r="137" ht="58" customHeight="1">
      <x:c r="A137" s="445" t="n">
        <x:v>133</x:v>
      </x:c>
      <x:c r="B137" s="445" t="str">
        <x:v>20 referentes regionales</x:v>
      </x:c>
      <x:c r="C137" s="445" t="str">
        <x:v>Universidade de São Paulo</x:v>
      </x:c>
      <x:c r="D137" s="445" t="str">
        <x:v>Brasil</x:v>
      </x:c>
      <x:c r="E137" s="445" t="str">
        <x:v>Latinoamérica</x:v>
      </x:c>
      <x:c r="F137" s="445" t="str">
        <x:v>B</x:v>
      </x:c>
      <x:c r="G137" s="445" t="str">
        <x:v>https://www5.usp.br/ensino/graduacao/cursos-oferecidos/ciencia-da-computacao/</x:v>
      </x:c>
      <x:c r="H137" s="445" t="str">
        <x:v>Computer Science; Computer Engineering; Information Systems; Mechatronics</x:v>
      </x:c>
      <x:c r="I137" s="445"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Computación cuántica; Investigación, profesión y capstones</x:v>
      </x:c>
      <x:c r="J137" s="445" t="n">
        <x:v>13</x:v>
      </x:c>
      <x:c r="K137" s="445" t="str">
        <x:v>Referencia brasileña</x:v>
      </x:c>
      <x:c r="L137" s="445" t="str">
        <x:v>2026-07-29</x:v>
      </x:c>
      <x:c r="M137" s="445" t="str">
        <x:v>Revisada</x:v>
      </x:c>
    </x:row>
    <x:row r="138" ht="58" customHeight="1">
      <x:c r="A138" s="442" t="n">
        <x:v>134</x:v>
      </x:c>
      <x:c r="B138" s="442" t="str">
        <x:v>20 referentes regionales</x:v>
      </x:c>
      <x:c r="C138" s="442" t="str">
        <x:v>Universidade Estadual de Campinas</x:v>
      </x:c>
      <x:c r="D138" s="442" t="str">
        <x:v>Brasil</x:v>
      </x:c>
      <x:c r="E138" s="442" t="str">
        <x:v>Latinoamérica</x:v>
      </x:c>
      <x:c r="F138" s="442" t="str">
        <x:v>B</x:v>
      </x:c>
      <x:c r="G138" s="442" t="str">
        <x:v>https://www.dac.unicamp.br/portal/caderno-de-horarios/2026/curso/34/sg</x:v>
      </x:c>
      <x:c r="H138" s="442" t="str">
        <x:v>Computer Science; Computer Engineering; Information Systems; Data Science</x:v>
      </x:c>
      <x:c r="I138" s="442"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Computación cuántica; Investigación, profesión y capstones</x:v>
      </x:c>
      <x:c r="J138" s="442" t="n">
        <x:v>13</x:v>
      </x:c>
      <x:c r="K138" s="442" t="str">
        <x:v>CS e ingeniería</x:v>
      </x:c>
      <x:c r="L138" s="442" t="str">
        <x:v>2026-07-29</x:v>
      </x:c>
      <x:c r="M138" s="442" t="str">
        <x:v>Revisada</x:v>
      </x:c>
    </x:row>
    <x:row r="139" ht="58" customHeight="1">
      <x:c r="A139" s="445" t="n">
        <x:v>135</x:v>
      </x:c>
      <x:c r="B139" s="445" t="str">
        <x:v>20 referentes regionales</x:v>
      </x:c>
      <x:c r="C139" s="445" t="str">
        <x:v>Universidad de Buenos Aires</x:v>
      </x:c>
      <x:c r="D139" s="445" t="str">
        <x:v>Argentina</x:v>
      </x:c>
      <x:c r="E139" s="445" t="str">
        <x:v>Latinoamérica</x:v>
      </x:c>
      <x:c r="F139" s="445" t="str">
        <x:v>A</x:v>
      </x:c>
      <x:c r="G139" s="445" t="str">
        <x:v>https://computacion.dc.uba.ar/plan-de-estudios-2023/</x:v>
      </x:c>
      <x:c r="H139" s="445" t="str">
        <x:v>Ciencias de la Computación; Ingeniería Informática; Ciencia de Datos</x:v>
      </x:c>
      <x:c r="I139" s="445"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Investigación, profesión y capstones</x:v>
      </x:c>
      <x:c r="J139" s="445" t="n">
        <x:v>12</x:v>
      </x:c>
      <x:c r="K139" s="445" t="str">
        <x:v>Plan latinoamericano de CS</x:v>
      </x:c>
      <x:c r="L139" s="445" t="str">
        <x:v>2026-07-29</x:v>
      </x:c>
      <x:c r="M139" s="445" t="str">
        <x:v>Revisada</x:v>
      </x:c>
    </x:row>
    <x:row r="140" ht="58" customHeight="1">
      <x:c r="A140" s="442" t="n">
        <x:v>136</x:v>
      </x:c>
      <x:c r="B140" s="442" t="str">
        <x:v>20 referentes regionales</x:v>
      </x:c>
      <x:c r="C140" s="442" t="str">
        <x:v>Universidad de Chile</x:v>
      </x:c>
      <x:c r="D140" s="442" t="str">
        <x:v>Chile</x:v>
      </x:c>
      <x:c r="E140" s="442" t="str">
        <x:v>Latinoamérica</x:v>
      </x:c>
      <x:c r="F140" s="442" t="str">
        <x:v>B</x:v>
      </x:c>
      <x:c r="G140" s="442" t="str">
        <x:v>https://uchile.cl/carreras/4963/ingenieria-civil-en-computacion</x:v>
      </x:c>
      <x:c r="H140" s="442" t="str">
        <x:v>Ingeniería Civil en Computación; Eléctrica; Ciencia de Datos; Robótica</x:v>
      </x:c>
      <x:c r="I140" s="442"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Computación cuántica; Investigación, profesión y capstones</x:v>
      </x:c>
      <x:c r="J140" s="442" t="n">
        <x:v>13</x:v>
      </x:c>
      <x:c r="K140" s="442" t="str">
        <x:v>Ingeniería pública chilena</x:v>
      </x:c>
      <x:c r="L140" s="442" t="str">
        <x:v>2026-07-29</x:v>
      </x:c>
      <x:c r="M140" s="442" t="str">
        <x:v>Revisada</x:v>
      </x:c>
    </x:row>
    <x:row r="141" ht="58" customHeight="1">
      <x:c r="A141" s="445" t="n">
        <x:v>137</x:v>
      </x:c>
      <x:c r="B141" s="445" t="str">
        <x:v>20 referentes regionales</x:v>
      </x:c>
      <x:c r="C141" s="445" t="str">
        <x:v>Pontificia Universidad Católica de Chile</x:v>
      </x:c>
      <x:c r="D141" s="445" t="str">
        <x:v>Chile</x:v>
      </x:c>
      <x:c r="E141" s="445" t="str">
        <x:v>Latinoamérica</x:v>
      </x:c>
      <x:c r="F141" s="445" t="str">
        <x:v>B</x:v>
      </x:c>
      <x:c r="G141" s="445" t="str">
        <x:v>https://admision.uc.cl/carreras/ingenieria/</x:v>
      </x:c>
      <x:c r="H141" s="445" t="str">
        <x:v>Ingeniería; Computación; Ciencia de Datos; Eléctrica; Diseño</x:v>
      </x:c>
      <x:c r="I141" s="445"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Sistemas de información y gestión TI; Bioinformática y salud digital; Investigación, profesión y capstones</x:v>
      </x:c>
      <x:c r="J141" s="445" t="n">
        <x:v>14</x:v>
      </x:c>
      <x:c r="K141" s="445" t="str">
        <x:v>Ingeniería interdisciplinaria</x:v>
      </x:c>
      <x:c r="L141" s="445" t="str">
        <x:v>2026-07-29</x:v>
      </x:c>
      <x:c r="M141" s="445" t="str">
        <x:v>Revisada</x:v>
      </x:c>
    </x:row>
    <x:row r="142" ht="58" customHeight="1">
      <x:c r="A142" s="442" t="n">
        <x:v>138</x:v>
      </x:c>
      <x:c r="B142" s="442" t="str">
        <x:v>20 referentes regionales</x:v>
      </x:c>
      <x:c r="C142" s="442" t="str">
        <x:v>Universidad de los Andes</x:v>
      </x:c>
      <x:c r="D142" s="442" t="str">
        <x:v>Colombia</x:v>
      </x:c>
      <x:c r="E142" s="442" t="str">
        <x:v>Latinoamérica</x:v>
      </x:c>
      <x:c r="F142" s="442" t="str">
        <x:v>B</x:v>
      </x:c>
      <x:c r="G142" s="442" t="str">
        <x:v>https://sistemas.uniandes.edu.co/es/isis</x:v>
      </x:c>
      <x:c r="H142" s="442" t="str">
        <x:v>Ingeniería de Sistemas y Computación; Ciencia de Datos; Electrónica; Diseño</x:v>
      </x:c>
      <x:c r="I142"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Sistemas de información y gestión TI; Bioinformática y salud digital; Investigación, profesión y capstones</x:v>
      </x:c>
      <x:c r="J142" s="442" t="n">
        <x:v>14</x:v>
      </x:c>
      <x:c r="K142" s="442" t="str">
        <x:v>Sistemas y computación</x:v>
      </x:c>
      <x:c r="L142" s="442" t="str">
        <x:v>2026-07-29</x:v>
      </x:c>
      <x:c r="M142" s="442" t="str">
        <x:v>Revisada</x:v>
      </x:c>
    </x:row>
    <x:row r="143" ht="58" customHeight="1">
      <x:c r="A143" s="445" t="n">
        <x:v>139</x:v>
      </x:c>
      <x:c r="B143" s="445" t="str">
        <x:v>20 referentes regionales</x:v>
      </x:c>
      <x:c r="C143" s="445" t="str">
        <x:v>Universidad Nacional de Colombia</x:v>
      </x:c>
      <x:c r="D143" s="445" t="str">
        <x:v>Colombia</x:v>
      </x:c>
      <x:c r="E143" s="445" t="str">
        <x:v>Latinoamérica</x:v>
      </x:c>
      <x:c r="F143" s="445" t="str">
        <x:v>B</x:v>
      </x:c>
      <x:c r="G143" s="445" t="str">
        <x:v>https://ingenieria.bogota.unal.edu.co/es/formacion/pregrado/ingenieria-de-sistemas-y-computacion.html</x:v>
      </x:c>
      <x:c r="H143" s="445" t="str">
        <x:v>Ingeniería de Sistemas y Computación; Electrónica; Mecatrónica; Diseño</x:v>
      </x:c>
      <x:c r="I143" s="445"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Gráficos, juegos y XR; Diseño, foto, cine y multimedia; Sistemas de información y gestión TI; Bioinformática y salud digital; Investigación, profesión y capstones</x:v>
      </x:c>
      <x:c r="J143" s="445" t="n">
        <x:v>16</x:v>
      </x:c>
      <x:c r="K143" s="445" t="str">
        <x:v>Ingeniería pública colombiana</x:v>
      </x:c>
      <x:c r="L143" s="445" t="str">
        <x:v>2026-07-29</x:v>
      </x:c>
      <x:c r="M143" s="445" t="str">
        <x:v>Revisada</x:v>
      </x:c>
    </x:row>
    <x:row r="144" ht="58" customHeight="1">
      <x:c r="A144" s="442" t="n">
        <x:v>140</x:v>
      </x:c>
      <x:c r="B144" s="442" t="str">
        <x:v>20 referentes regionales</x:v>
      </x:c>
      <x:c r="C144" s="442" t="str">
        <x:v>Pontificia Universidad Católica del Perú</x:v>
      </x:c>
      <x:c r="D144" s="442" t="str">
        <x:v>Perú</x:v>
      </x:c>
      <x:c r="E144" s="442" t="str">
        <x:v>Latinoamérica</x:v>
      </x:c>
      <x:c r="F144" s="442" t="str">
        <x:v>A</x:v>
      </x:c>
      <x:c r="G144" s="442" t="str">
        <x:v>https://facultad-ciencias-ingenieria.pucp.edu.pe/carreras/ingenieria-informatica/plan-de-estudios/</x:v>
      </x:c>
      <x:c r="H144" s="442" t="str">
        <x:v>Ingeniería Informática; Ingeniería Electrónica; Mecatrónica; Diseño; Comunicaciones</x:v>
      </x:c>
      <x:c r="I144" s="442"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Gráficos, juegos y XR; Diseño, foto, cine y multimedia; Sistemas de información y gestión TI; Bioinformática y salud digital; Investigación, profesión y capstones</x:v>
      </x:c>
      <x:c r="J144" s="442" t="n">
        <x:v>16</x:v>
      </x:c>
      <x:c r="K144" s="442" t="str">
        <x:v>Referencia peruana multidisciplinaria</x:v>
      </x:c>
      <x:c r="L144" s="442" t="str">
        <x:v>2026-07-29</x:v>
      </x:c>
      <x:c r="M144" s="442" t="str">
        <x:v>Revisada</x:v>
      </x:c>
    </x:row>
    <x:row r="145" ht="58" customHeight="1">
      <x:c r="A145" s="445" t="n">
        <x:v>141</x:v>
      </x:c>
      <x:c r="B145" s="445" t="str">
        <x:v>20 referentes regionales</x:v>
      </x:c>
      <x:c r="C145" s="445" t="str">
        <x:v>Universidad Nacional de Ingeniería</x:v>
      </x:c>
      <x:c r="D145" s="445" t="str">
        <x:v>Perú</x:v>
      </x:c>
      <x:c r="E145" s="445" t="str">
        <x:v>Latinoamérica</x:v>
      </x:c>
      <x:c r="F145" s="445" t="str">
        <x:v>B</x:v>
      </x:c>
      <x:c r="G145" s="445" t="str">
        <x:v>https://portal.uni.edu.pe/index.php/facultades/facultad-de-ingenieria-industrial-y-de-sistemas</x:v>
      </x:c>
      <x:c r="H145" s="445" t="str">
        <x:v>Ingeniería de Sistemas; Electrónica; Telecomunicaciones; Mecatrónica</x:v>
      </x:c>
      <x:c r="I145" s="445"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Sistemas de información y gestión TI; Investigación, profesión y capstones</x:v>
      </x:c>
      <x:c r="J145" s="445" t="n">
        <x:v>13</x:v>
      </x:c>
      <x:c r="K145" s="445" t="str">
        <x:v>Referencia pública de ingeniería del Perú</x:v>
      </x:c>
      <x:c r="L145" s="445" t="str">
        <x:v>2026-07-29</x:v>
      </x:c>
      <x:c r="M145" s="445" t="str">
        <x:v>Revisada</x:v>
      </x:c>
    </x:row>
    <x:row r="146" ht="58" customHeight="1">
      <x:c r="A146" s="442" t="n">
        <x:v>142</x:v>
      </x:c>
      <x:c r="B146" s="442" t="str">
        <x:v>20 referentes regionales</x:v>
      </x:c>
      <x:c r="C146" s="442" t="str">
        <x:v>Universidad Nacional Mayor de San Marcos</x:v>
      </x:c>
      <x:c r="D146" s="442" t="str">
        <x:v>Perú</x:v>
      </x:c>
      <x:c r="E146" s="442" t="str">
        <x:v>Latinoamérica</x:v>
      </x:c>
      <x:c r="F146" s="442" t="str">
        <x:v>B</x:v>
      </x:c>
      <x:c r="G146" s="442" t="str">
        <x:v>https://sistemas.unmsm.edu.pe/site/pregrado</x:v>
      </x:c>
      <x:c r="H146" s="442" t="str">
        <x:v>Ingeniería de Sistemas; Ingeniería de Software; Ciencia de Datos; Computación Científica</x:v>
      </x:c>
      <x:c r="I146" s="442" t="str">
        <x:v>Preparación y ofimática; Matemática y ciencias; Programación y teoría CS; Sistemas y arquitectura; Ingeniería de software; Datos, BI e IA; Redes, telecom y cloud; Ciberseguridad, forense y auditoría; Electrónica, embebidos e IoT; Robótica y mecatrónica; Soporte y reparación; Sistemas de información y gestión TI; Bioinformática y salud digital; Investigación, profesión y capstones</x:v>
      </x:c>
      <x:c r="J146" s="442" t="n">
        <x:v>14</x:v>
      </x:c>
      <x:c r="K146" s="442" t="str">
        <x:v>Referencia pública peruana</x:v>
      </x:c>
      <x:c r="L146" s="442" t="str">
        <x:v>2026-07-29</x:v>
      </x:c>
      <x:c r="M146" s="442" t="str">
        <x:v>Revisada</x:v>
      </x:c>
    </x:row>
    <x:row r="147" ht="58" customHeight="1">
      <x:c r="A147" s="445" t="n">
        <x:v>143</x:v>
      </x:c>
      <x:c r="B147" s="445" t="str">
        <x:v>20 referentes regionales</x:v>
      </x:c>
      <x:c r="C147" s="445" t="str">
        <x:v>University of Cape Town</x:v>
      </x:c>
      <x:c r="D147" s="445" t="str">
        <x:v>Sudáfrica</x:v>
      </x:c>
      <x:c r="E147" s="445" t="str">
        <x:v>África</x:v>
      </x:c>
      <x:c r="F147" s="445" t="str">
        <x:v>B</x:v>
      </x:c>
      <x:c r="G147" s="445" t="str">
        <x:v>https://science.uct.ac.za/cs/study-us/undergraduate</x:v>
      </x:c>
      <x:c r="H147" s="445" t="str">
        <x:v>Computer Science; Information Systems; Data Science; Electrical Engineering</x:v>
      </x:c>
      <x:c r="I147" s="445" t="str">
        <x:v>Matemática y ciencias; Programación y teoría CS; Sistemas y arquitectura; Ingeniería de software; Datos, BI e IA; Redes, telecom y cloud; Ciberseguridad, forense y auditoría; Electrónica, embebidos e IoT; Robótica y mecatrónica; Sistemas de información y gestión TI; Bioinformática y salud digital; Investigación, profesión y capstones</x:v>
      </x:c>
      <x:c r="J147" s="445" t="n">
        <x:v>12</x:v>
      </x:c>
      <x:c r="K147" s="445" t="str">
        <x:v>Referencia africana</x:v>
      </x:c>
      <x:c r="L147" s="445" t="str">
        <x:v>2026-07-29</x:v>
      </x:c>
      <x:c r="M147" s="445" t="str">
        <x:v>Revisada</x:v>
      </x:c>
    </x:row>
    <x:row r="148" ht="58" customHeight="1">
      <x:c r="A148" s="442" t="n">
        <x:v>144</x:v>
      </x:c>
      <x:c r="B148" s="442" t="str">
        <x:v>20 referentes regionales</x:v>
      </x:c>
      <x:c r="C148" s="442" t="str">
        <x:v>University of Pretoria</x:v>
      </x:c>
      <x:c r="D148" s="442" t="str">
        <x:v>Sudáfrica</x:v>
      </x:c>
      <x:c r="E148" s="442" t="str">
        <x:v>África</x:v>
      </x:c>
      <x:c r="F148" s="442" t="str">
        <x:v>B</x:v>
      </x:c>
      <x:c r="G148" s="442" t="str">
        <x:v>https://www.up.ac.za/school-of-information-technology</x:v>
      </x:c>
      <x:c r="H148" s="442" t="str">
        <x:v>Computer Science; Informatics; Information Science; Computer Engineering</x:v>
      </x:c>
      <x:c r="I148" s="442"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148" s="442" t="n">
        <x:v>11</x:v>
      </x:c>
      <x:c r="K148" s="442" t="str">
        <x:v>TI y computación</x:v>
      </x:c>
      <x:c r="L148" s="442" t="str">
        <x:v>2026-07-29</x:v>
      </x:c>
      <x:c r="M148" s="442" t="str">
        <x:v>Revisada</x:v>
      </x:c>
    </x:row>
    <x:row r="149" ht="58" customHeight="1">
      <x:c r="A149" s="445" t="n">
        <x:v>145</x:v>
      </x:c>
      <x:c r="B149" s="445" t="str">
        <x:v>20 referentes regionales</x:v>
      </x:c>
      <x:c r="C149" s="445" t="str">
        <x:v>Stellenbosch University</x:v>
      </x:c>
      <x:c r="D149" s="445" t="str">
        <x:v>Sudáfrica</x:v>
      </x:c>
      <x:c r="E149" s="445" t="str">
        <x:v>África</x:v>
      </x:c>
      <x:c r="F149" s="445" t="str">
        <x:v>B</x:v>
      </x:c>
      <x:c r="G149" s="445" t="str">
        <x:v>https://www.cs.sun.ac.za/undergraduate/</x:v>
      </x:c>
      <x:c r="H149" s="445" t="str">
        <x:v>Computer Science; Data Science; Electrical and Electronic Engineering; Bioinformatics</x:v>
      </x:c>
      <x:c r="I149"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49" s="445" t="n">
        <x:v>12</x:v>
      </x:c>
      <x:c r="K149" s="445" t="str">
        <x:v>CS y datos</x:v>
      </x:c>
      <x:c r="L149" s="445" t="str">
        <x:v>2026-07-29</x:v>
      </x:c>
      <x:c r="M149" s="445" t="str">
        <x:v>Revisada</x:v>
      </x:c>
    </x:row>
    <x:row r="150" ht="58" customHeight="1">
      <x:c r="A150" s="442" t="n">
        <x:v>146</x:v>
      </x:c>
      <x:c r="B150" s="442" t="str">
        <x:v>20 referentes regionales</x:v>
      </x:c>
      <x:c r="C150" s="442" t="str">
        <x:v>University of the Witwatersrand</x:v>
      </x:c>
      <x:c r="D150" s="442" t="str">
        <x:v>Sudáfrica</x:v>
      </x:c>
      <x:c r="E150" s="442" t="str">
        <x:v>África</x:v>
      </x:c>
      <x:c r="F150" s="442" t="str">
        <x:v>B</x:v>
      </x:c>
      <x:c r="G150" s="442" t="str">
        <x:v>https://www.wits.ac.za/course-finder/undergraduate/science/computer-science/</x:v>
      </x:c>
      <x:c r="H150" s="442" t="str">
        <x:v>Computer Science; Information Engineering; Digital Arts; Biomedical Engineering</x:v>
      </x:c>
      <x:c r="I150" s="442" t="str">
        <x:v>Matemática y ciencias; Programación y teoría CS; Sistemas y arquitectura; Ingeniería de software; Datos, BI e IA; Redes, telecom y cloud; Ciberseguridad, forense y auditoría; Electrónica, embebidos e IoT; Robótica y mecatrónica; Gráficos, juegos y XR; Diseño, foto, cine y multimedia; Bioinformática y salud digital; Investigación, profesión y capstones</x:v>
      </x:c>
      <x:c r="J150" s="442" t="n">
        <x:v>13</x:v>
      </x:c>
      <x:c r="K150" s="442" t="str">
        <x:v>Computación y artes digitales</x:v>
      </x:c>
      <x:c r="L150" s="442" t="str">
        <x:v>2026-07-29</x:v>
      </x:c>
      <x:c r="M150" s="442" t="str">
        <x:v>Revisada</x:v>
      </x:c>
    </x:row>
    <x:row r="151" ht="58" customHeight="1">
      <x:c r="A151" s="445" t="n">
        <x:v>147</x:v>
      </x:c>
      <x:c r="B151" s="445" t="str">
        <x:v>20 referentes regionales</x:v>
      </x:c>
      <x:c r="C151" s="445" t="str">
        <x:v>Technion – Israel Institute of Technology</x:v>
      </x:c>
      <x:c r="D151" s="445" t="str">
        <x:v>Israel</x:v>
      </x:c>
      <x:c r="E151" s="445" t="str">
        <x:v>Oriente Medio</x:v>
      </x:c>
      <x:c r="F151" s="445" t="str">
        <x:v>B</x:v>
      </x:c>
      <x:c r="G151" s="445" t="str">
        <x:v>https://undergraduate.cs.technion.ac.il/en/</x:v>
      </x:c>
      <x:c r="H151" s="445" t="str">
        <x:v>Computer Science; Computer Engineering; Electrical Engineering; Autonomous Systems</x:v>
      </x:c>
      <x:c r="I151"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51" s="445" t="n">
        <x:v>12</x:v>
      </x:c>
      <x:c r="K151" s="445" t="str">
        <x:v>Ingeniería e investigación</x:v>
      </x:c>
      <x:c r="L151" s="445" t="str">
        <x:v>2026-07-29</x:v>
      </x:c>
      <x:c r="M151" s="445" t="str">
        <x:v>Revisada</x:v>
      </x:c>
    </x:row>
    <x:row r="152" ht="58" customHeight="1">
      <x:c r="A152" s="442" t="n">
        <x:v>148</x:v>
      </x:c>
      <x:c r="B152" s="442" t="str">
        <x:v>20 referentes regionales</x:v>
      </x:c>
      <x:c r="C152" s="442" t="str">
        <x:v>Tel Aviv University</x:v>
      </x:c>
      <x:c r="D152" s="442" t="str">
        <x:v>Israel</x:v>
      </x:c>
      <x:c r="E152" s="442" t="str">
        <x:v>Oriente Medio</x:v>
      </x:c>
      <x:c r="F152" s="442" t="str">
        <x:v>B</x:v>
      </x:c>
      <x:c r="G152" s="442" t="str">
        <x:v>https://en-exact-sciences.tau.ac.il/computer</x:v>
      </x:c>
      <x:c r="H152" s="442" t="str">
        <x:v>Computer Science; Electrical Engineering; Data Science; Bioinformatics</x:v>
      </x:c>
      <x:c r="I152" s="442"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52" s="442" t="n">
        <x:v>12</x:v>
      </x:c>
      <x:c r="K152" s="442" t="str">
        <x:v>CS e interdisciplinariedad</x:v>
      </x:c>
      <x:c r="L152" s="442" t="str">
        <x:v>2026-07-29</x:v>
      </x:c>
      <x:c r="M152" s="442" t="str">
        <x:v>Revisada</x:v>
      </x:c>
    </x:row>
    <x:row r="153" ht="58" customHeight="1">
      <x:c r="A153" s="445" t="n">
        <x:v>149</x:v>
      </x:c>
      <x:c r="B153" s="445" t="str">
        <x:v>20 referentes regionales</x:v>
      </x:c>
      <x:c r="C153" s="445" t="str">
        <x:v>King Abdullah University of Science and Technology</x:v>
      </x:c>
      <x:c r="D153" s="445" t="str">
        <x:v>Arabia Saudita</x:v>
      </x:c>
      <x:c r="E153" s="445" t="str">
        <x:v>Oriente Medio</x:v>
      </x:c>
      <x:c r="F153" s="445" t="str">
        <x:v>B</x:v>
      </x:c>
      <x:c r="G153" s="445" t="str">
        <x:v>https://cemse.kaust.edu.sa/cs</x:v>
      </x:c>
      <x:c r="H153" s="445" t="str">
        <x:v>Computer Science; Electrical and Computer Engineering; Statistics; Bioscience</x:v>
      </x:c>
      <x:c r="I153" s="445" t="str">
        <x:v>Matemática y ciencias; Programación y teoría CS; Sistemas y arquitectura; Ingeniería de software; Datos, BI e IA; Redes, telecom y cloud; Ciberseguridad, forense y auditoría; Electrónica, embebidos e IoT; Robótica y mecatrónica; Bioinformática y salud digital; Computación cuántica; Investigación, profesión y capstones</x:v>
      </x:c>
      <x:c r="J153" s="445" t="n">
        <x:v>12</x:v>
      </x:c>
      <x:c r="K153" s="445" t="str">
        <x:v>Investigación de posgrado</x:v>
      </x:c>
      <x:c r="L153" s="445" t="str">
        <x:v>2026-07-29</x:v>
      </x:c>
      <x:c r="M153" s="445" t="str">
        <x:v>Revisada</x:v>
      </x:c>
    </x:row>
    <x:row r="154" ht="58" customHeight="1">
      <x:c r="A154" s="443" t="n">
        <x:v>150</x:v>
      </x:c>
      <x:c r="B154" s="443" t="str">
        <x:v>20 referentes regionales</x:v>
      </x:c>
      <x:c r="C154" s="443" t="str">
        <x:v>King Fahd University of Petroleum and Minerals</x:v>
      </x:c>
      <x:c r="D154" s="443" t="str">
        <x:v>Arabia Saudita</x:v>
      </x:c>
      <x:c r="E154" s="443" t="str">
        <x:v>Oriente Medio</x:v>
      </x:c>
      <x:c r="F154" s="443" t="str">
        <x:v>B</x:v>
      </x:c>
      <x:c r="G154" s="443" t="str">
        <x:v>https://ics.kfupm.edu.sa/</x:v>
      </x:c>
      <x:c r="H154" s="443" t="str">
        <x:v>Computer Science; Software Engineering; Computer Engineering; Cybersecurity</x:v>
      </x:c>
      <x:c r="I154" s="443" t="str">
        <x:v>Matemática y ciencias; Programación y teoría CS; Sistemas y arquitectura; Ingeniería de software; Datos, BI e IA; Redes, telecom y cloud; Ciberseguridad, forense y auditoría; Electrónica, embebidos e IoT; Robótica y mecatrónica; Sistemas de información y gestión TI; Investigación, profesión y capstones</x:v>
      </x:c>
      <x:c r="J154" s="443" t="n">
        <x:v>11</x:v>
      </x:c>
      <x:c r="K154" s="443" t="str">
        <x:v>Ingeniería regional</x:v>
      </x:c>
      <x:c r="L154" s="443" t="str">
        <x:v>2026-07-29</x:v>
      </x:c>
      <x:c r="M154" s="443" t="str">
        <x:v>Revisada</x:v>
      </x:c>
    </x:row>
  </x:sheetData>
  <x:mergeCells>
    <x:mergeCell ref="A1:M1"/>
    <x:mergeCell ref="A2:M2"/>
  </x:mergeCells>
  <x:conditionalFormatting sqref="F5:F154">
    <x:cfRule type="containsText" dxfId="5" priority="1" operator="containsText" text="A"/>
    <x:cfRule type="containsText" dxfId="6" priority="2" operator="containsText" text="B"/>
    <x:cfRule type="containsText" dxfId="7" priority="3" operator="containsText" text="C"/>
  </x:conditionalFormatting>
  <x:pageMargins left="0.7" right="0.7" top="0.75" bottom="0.75" header="0.3" footer="0.3"/>
  <x:tableParts count="1">
    <x:tablePart xmlns:r="http://schemas.openxmlformats.org/officeDocument/2006/relationships" r:id="R7815a33691fe4b3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36" hidden="0" customWidth="1"/>
    <x:col min="4" max="4" width="18" hidden="0" customWidth="1"/>
    <x:col min="5" max="5" width="17" hidden="0" customWidth="1"/>
    <x:col min="6" max="6" width="10" hidden="0" customWidth="1"/>
    <x:col min="7" max="7" width="10"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7" hidden="0" customWidth="1"/>
    <x:col min="21" max="21" width="7" hidden="0" customWidth="1"/>
    <x:col min="22" max="22" width="7" hidden="0" customWidth="1"/>
    <x:col min="23" max="23" width="7" hidden="0" customWidth="1"/>
    <x:col min="24" max="24" width="7" hidden="0" customWidth="1"/>
  </x:cols>
  <x:sheetData>
    <x:row r="1" ht="34" customHeight="1">
      <x:c r="A1" s="4" t="str">
        <x:v>MATRIZ DE COBERTURA: 150 × 17 RUTAS</x:v>
      </x:c>
      <x:c r="B1" s="4" t="str">
        <x:v>MATRIZ DE COBERTURA: 150 × 17 RUTAS</x:v>
      </x:c>
      <x:c r="C1" s="4" t="str">
        <x:v>MATRIZ DE COBERTURA: 150 × 17 RUTAS</x:v>
      </x:c>
      <x:c r="D1" s="4" t="str">
        <x:v>MATRIZ DE COBERTURA: 150 × 17 RUTAS</x:v>
      </x:c>
      <x:c r="E1" s="4" t="str">
        <x:v>MATRIZ DE COBERTURA: 150 × 17 RUTAS</x:v>
      </x:c>
      <x:c r="F1" s="4" t="str">
        <x:v>MATRIZ DE COBERTURA: 150 × 17 RUTAS</x:v>
      </x:c>
      <x:c r="G1" s="4" t="str">
        <x:v>MATRIZ DE COBERTURA: 150 × 17 RUTAS</x:v>
      </x:c>
      <x:c r="H1" s="4" t="str">
        <x:v>MATRIZ DE COBERTURA: 150 × 17 RUTAS</x:v>
      </x:c>
      <x:c r="I1" s="4" t="str">
        <x:v>MATRIZ DE COBERTURA: 150 × 17 RUTAS</x:v>
      </x:c>
      <x:c r="J1" s="4" t="str">
        <x:v>MATRIZ DE COBERTURA: 150 × 17 RUTAS</x:v>
      </x:c>
      <x:c r="K1" s="4" t="str">
        <x:v>MATRIZ DE COBERTURA: 150 × 17 RUTAS</x:v>
      </x:c>
      <x:c r="L1" s="4" t="str">
        <x:v>MATRIZ DE COBERTURA: 150 × 17 RUTAS</x:v>
      </x:c>
      <x:c r="M1" s="4" t="str">
        <x:v>MATRIZ DE COBERTURA: 150 × 17 RUTAS</x:v>
      </x:c>
      <x:c r="N1" s="4" t="str">
        <x:v>MATRIZ DE COBERTURA: 150 × 17 RUTAS</x:v>
      </x:c>
      <x:c r="O1" s="4" t="str">
        <x:v>MATRIZ DE COBERTURA: 150 × 17 RUTAS</x:v>
      </x:c>
      <x:c r="P1" s="4" t="str">
        <x:v>MATRIZ DE COBERTURA: 150 × 17 RUTAS</x:v>
      </x:c>
      <x:c r="Q1" s="4" t="str">
        <x:v>MATRIZ DE COBERTURA: 150 × 17 RUTAS</x:v>
      </x:c>
      <x:c r="R1" s="4" t="str">
        <x:v>MATRIZ DE COBERTURA: 150 × 17 RUTAS</x:v>
      </x:c>
      <x:c r="S1" s="4" t="str">
        <x:v>MATRIZ DE COBERTURA: 150 × 17 RUTAS</x:v>
      </x:c>
      <x:c r="T1" s="4" t="str">
        <x:v>MATRIZ DE COBERTURA: 150 × 17 RUTAS</x:v>
      </x:c>
      <x:c r="U1" s="4" t="str">
        <x:v>MATRIZ DE COBERTURA: 150 × 17 RUTAS</x:v>
      </x:c>
      <x:c r="V1" s="4" t="str">
        <x:v>MATRIZ DE COBERTURA: 150 × 17 RUTAS</x:v>
      </x:c>
      <x:c r="W1" s="4" t="str">
        <x:v>MATRIZ DE COBERTURA: 150 × 17 RUTAS</x:v>
      </x:c>
      <x:c r="X1" s="4" t="str">
        <x:v>MATRIZ DE COBERTURA: 150 × 17 RUTAS</x:v>
      </x:c>
    </x:row>
    <x:row r="2" ht="30" customHeight="1">
      <x:c r="A2" s="8" t="str">
        <x:v>1 = la cartera oficial observada cubre la familia temática; 0 = no se observó en la fuente registrada. No significa que cada institución enseñe literalmente las 533 materias.</x:v>
      </x:c>
      <x:c r="B2" s="8" t="str">
        <x:v>1 = la cartera oficial observada cubre la familia temática; 0 = no se observó en la fuente registrada. No significa que cada institución enseñe literalmente las 533 materias.</x:v>
      </x:c>
      <x:c r="C2" s="8" t="str">
        <x:v>1 = la cartera oficial observada cubre la familia temática; 0 = no se observó en la fuente registrada. No significa que cada institución enseñe literalmente las 533 materias.</x:v>
      </x:c>
      <x:c r="D2" s="8" t="str">
        <x:v>1 = la cartera oficial observada cubre la familia temática; 0 = no se observó en la fuente registrada. No significa que cada institución enseñe literalmente las 533 materias.</x:v>
      </x:c>
      <x:c r="E2" s="8" t="str">
        <x:v>1 = la cartera oficial observada cubre la familia temática; 0 = no se observó en la fuente registrada. No significa que cada institución enseñe literalmente las 533 materias.</x:v>
      </x:c>
      <x:c r="F2" s="8" t="str">
        <x:v>1 = la cartera oficial observada cubre la familia temática; 0 = no se observó en la fuente registrada. No significa que cada institución enseñe literalmente las 533 materias.</x:v>
      </x:c>
      <x:c r="G2" s="8" t="str">
        <x:v>1 = la cartera oficial observada cubre la familia temática; 0 = no se observó en la fuente registrada. No significa que cada institución enseñe literalmente las 533 materias.</x:v>
      </x:c>
      <x:c r="H2" s="8" t="str">
        <x:v>1 = la cartera oficial observada cubre la familia temática; 0 = no se observó en la fuente registrada. No significa que cada institución enseñe literalmente las 533 materias.</x:v>
      </x:c>
      <x:c r="I2" s="8" t="str">
        <x:v>1 = la cartera oficial observada cubre la familia temática; 0 = no se observó en la fuente registrada. No significa que cada institución enseñe literalmente las 533 materias.</x:v>
      </x:c>
      <x:c r="J2" s="8" t="str">
        <x:v>1 = la cartera oficial observada cubre la familia temática; 0 = no se observó en la fuente registrada. No significa que cada institución enseñe literalmente las 533 materias.</x:v>
      </x:c>
      <x:c r="K2" s="8" t="str">
        <x:v>1 = la cartera oficial observada cubre la familia temática; 0 = no se observó en la fuente registrada. No significa que cada institución enseñe literalmente las 533 materias.</x:v>
      </x:c>
      <x:c r="L2" s="8" t="str">
        <x:v>1 = la cartera oficial observada cubre la familia temática; 0 = no se observó en la fuente registrada. No significa que cada institución enseñe literalmente las 533 materias.</x:v>
      </x:c>
      <x:c r="M2" s="8" t="str">
        <x:v>1 = la cartera oficial observada cubre la familia temática; 0 = no se observó en la fuente registrada. No significa que cada institución enseñe literalmente las 533 materias.</x:v>
      </x:c>
      <x:c r="N2" s="8" t="str">
        <x:v>1 = la cartera oficial observada cubre la familia temática; 0 = no se observó en la fuente registrada. No significa que cada institución enseñe literalmente las 533 materias.</x:v>
      </x:c>
      <x:c r="O2" s="8" t="str">
        <x:v>1 = la cartera oficial observada cubre la familia temática; 0 = no se observó en la fuente registrada. No significa que cada institución enseñe literalmente las 533 materias.</x:v>
      </x:c>
      <x:c r="P2" s="8" t="str">
        <x:v>1 = la cartera oficial observada cubre la familia temática; 0 = no se observó en la fuente registrada. No significa que cada institución enseñe literalmente las 533 materias.</x:v>
      </x:c>
      <x:c r="Q2" s="8" t="str">
        <x:v>1 = la cartera oficial observada cubre la familia temática; 0 = no se observó en la fuente registrada. No significa que cada institución enseñe literalmente las 533 materias.</x:v>
      </x:c>
      <x:c r="R2" s="8" t="str">
        <x:v>1 = la cartera oficial observada cubre la familia temática; 0 = no se observó en la fuente registrada. No significa que cada institución enseñe literalmente las 533 materias.</x:v>
      </x:c>
      <x:c r="S2" s="8" t="str">
        <x:v>1 = la cartera oficial observada cubre la familia temática; 0 = no se observó en la fuente registrada. No significa que cada institución enseñe literalmente las 533 materias.</x:v>
      </x:c>
      <x:c r="T2" s="8" t="str">
        <x:v>1 = la cartera oficial observada cubre la familia temática; 0 = no se observó en la fuente registrada. No significa que cada institución enseñe literalmente las 533 materias.</x:v>
      </x:c>
      <x:c r="U2" s="8" t="str">
        <x:v>1 = la cartera oficial observada cubre la familia temática; 0 = no se observó en la fuente registrada. No significa que cada institución enseñe literalmente las 533 materias.</x:v>
      </x:c>
      <x:c r="V2" s="8" t="str">
        <x:v>1 = la cartera oficial observada cubre la familia temática; 0 = no se observó en la fuente registrada. No significa que cada institución enseñe literalmente las 533 materias.</x:v>
      </x:c>
      <x:c r="W2" s="8" t="str">
        <x:v>1 = la cartera oficial observada cubre la familia temática; 0 = no se observó en la fuente registrada. No significa que cada institución enseñe literalmente las 533 materias.</x:v>
      </x:c>
      <x:c r="X2" s="8" t="str">
        <x:v>1 = la cartera oficial observada cubre la familia temática; 0 = no se observó en la fuente registrada. No significa que cada institución enseñe literalmente las 533 materias.</x:v>
      </x:c>
    </x:row>
    <x:row r="4">
      <x:c r="A4" s="449" t="str">
        <x:v>Orden</x:v>
      </x:c>
      <x:c r="B4" s="449" t="str">
        <x:v>Segmento</x:v>
      </x:c>
      <x:c r="C4" s="449" t="str">
        <x:v>Institución</x:v>
      </x:c>
      <x:c r="D4" s="449" t="str">
        <x:v>País</x:v>
      </x:c>
      <x:c r="E4" s="449" t="str">
        <x:v>Región</x:v>
      </x:c>
      <x:c r="F4" s="449" t="str">
        <x:v>Evidencia</x:v>
      </x:c>
      <x:c r="G4" s="449" t="str">
        <x:v>N.º rutas</x:v>
      </x:c>
      <x:c r="H4" s="449" t="str">
        <x:v>PRE</x:v>
      </x:c>
      <x:c r="I4" s="449" t="str">
        <x:v>MAT</x:v>
      </x:c>
      <x:c r="J4" s="449" t="str">
        <x:v>CST</x:v>
      </x:c>
      <x:c r="K4" s="449" t="str">
        <x:v>SYS</x:v>
      </x:c>
      <x:c r="L4" s="449" t="str">
        <x:v>SWE</x:v>
      </x:c>
      <x:c r="M4" s="449" t="str">
        <x:v>DAI</x:v>
      </x:c>
      <x:c r="N4" s="449" t="str">
        <x:v>NET</x:v>
      </x:c>
      <x:c r="O4" s="449" t="str">
        <x:v>CYB</x:v>
      </x:c>
      <x:c r="P4" s="449" t="str">
        <x:v>EIO</x:v>
      </x:c>
      <x:c r="Q4" s="449" t="str">
        <x:v>ROB</x:v>
      </x:c>
      <x:c r="R4" s="449" t="str">
        <x:v>REP</x:v>
      </x:c>
      <x:c r="S4" s="449" t="str">
        <x:v>GXR</x:v>
      </x:c>
      <x:c r="T4" s="449" t="str">
        <x:v>MED</x:v>
      </x:c>
      <x:c r="U4" s="449" t="str">
        <x:v>ISM</x:v>
      </x:c>
      <x:c r="V4" s="449" t="str">
        <x:v>BIO</x:v>
      </x:c>
      <x:c r="W4" s="449" t="str">
        <x:v>QUA</x:v>
      </x:c>
      <x:c r="X4" s="449" t="str">
        <x:v>CAP</x:v>
      </x:c>
    </x:row>
    <x:row r="5" ht="24" customHeight="1">
      <x:c r="A5" s="450" t="n">
        <x:v>1</x:v>
      </x:c>
      <x:c r="B5" s="450" t="str">
        <x:v>100 líderes globales</x:v>
      </x:c>
      <x:c r="C5" s="450" t="str">
        <x:v>Massachusetts Institute of Technology (MIT)</x:v>
      </x:c>
      <x:c r="D5" s="450" t="str">
        <x:v>Estados Unidos</x:v>
      </x:c>
      <x:c r="E5" s="450" t="str">
        <x:v>Norteamérica</x:v>
      </x:c>
      <x:c r="F5" s="450" t="str">
        <x:v>A</x:v>
      </x:c>
      <x:c r="G5" s="450" t="n">
        <x:v>12</x:v>
      </x:c>
      <x:c r="H5" s="450" t="n">
        <x:v>0</x:v>
      </x:c>
      <x:c r="I5" s="450" t="n">
        <x:v>1</x:v>
      </x:c>
      <x:c r="J5" s="450" t="n">
        <x:v>1</x:v>
      </x:c>
      <x:c r="K5" s="450" t="n">
        <x:v>1</x:v>
      </x:c>
      <x:c r="L5" s="450" t="n">
        <x:v>1</x:v>
      </x:c>
      <x:c r="M5" s="450" t="n">
        <x:v>1</x:v>
      </x:c>
      <x:c r="N5" s="450" t="n">
        <x:v>1</x:v>
      </x:c>
      <x:c r="O5" s="450" t="n">
        <x:v>1</x:v>
      </x:c>
      <x:c r="P5" s="450" t="n">
        <x:v>1</x:v>
      </x:c>
      <x:c r="Q5" s="450" t="n">
        <x:v>1</x:v>
      </x:c>
      <x:c r="R5" s="450" t="n">
        <x:v>0</x:v>
      </x:c>
      <x:c r="S5" s="450" t="n">
        <x:v>0</x:v>
      </x:c>
      <x:c r="T5" s="450" t="n">
        <x:v>0</x:v>
      </x:c>
      <x:c r="U5" s="450" t="n">
        <x:v>0</x:v>
      </x:c>
      <x:c r="V5" s="450" t="n">
        <x:v>1</x:v>
      </x:c>
      <x:c r="W5" s="450" t="n">
        <x:v>1</x:v>
      </x:c>
      <x:c r="X5" s="450" t="n">
        <x:v>1</x:v>
      </x:c>
    </x:row>
    <x:row r="6" ht="24" customHeight="1">
      <x:c r="A6" s="451" t="n">
        <x:v>2</x:v>
      </x:c>
      <x:c r="B6" s="451" t="str">
        <x:v>100 líderes globales</x:v>
      </x:c>
      <x:c r="C6" s="451" t="str">
        <x:v>Stanford University</x:v>
      </x:c>
      <x:c r="D6" s="451" t="str">
        <x:v>Estados Unidos</x:v>
      </x:c>
      <x:c r="E6" s="451" t="str">
        <x:v>Norteamérica</x:v>
      </x:c>
      <x:c r="F6" s="451" t="str">
        <x:v>A</x:v>
      </x:c>
      <x:c r="G6" s="451" t="n">
        <x:v>13</x:v>
      </x:c>
      <x:c r="H6" s="451" t="n">
        <x:v>0</x:v>
      </x:c>
      <x:c r="I6" s="451" t="n">
        <x:v>1</x:v>
      </x:c>
      <x:c r="J6" s="451" t="n">
        <x:v>1</x:v>
      </x:c>
      <x:c r="K6" s="451" t="n">
        <x:v>1</x:v>
      </x:c>
      <x:c r="L6" s="451" t="n">
        <x:v>1</x:v>
      </x:c>
      <x:c r="M6" s="451" t="n">
        <x:v>1</x:v>
      </x:c>
      <x:c r="N6" s="451" t="n">
        <x:v>1</x:v>
      </x:c>
      <x:c r="O6" s="451" t="n">
        <x:v>1</x:v>
      </x:c>
      <x:c r="P6" s="451" t="n">
        <x:v>1</x:v>
      </x:c>
      <x:c r="Q6" s="451" t="n">
        <x:v>1</x:v>
      </x:c>
      <x:c r="R6" s="451" t="n">
        <x:v>0</x:v>
      </x:c>
      <x:c r="S6" s="451" t="n">
        <x:v>1</x:v>
      </x:c>
      <x:c r="T6" s="451" t="n">
        <x:v>0</x:v>
      </x:c>
      <x:c r="U6" s="451" t="n">
        <x:v>0</x:v>
      </x:c>
      <x:c r="V6" s="451" t="n">
        <x:v>1</x:v>
      </x:c>
      <x:c r="W6" s="451" t="n">
        <x:v>1</x:v>
      </x:c>
      <x:c r="X6" s="451" t="n">
        <x:v>1</x:v>
      </x:c>
    </x:row>
    <x:row r="7" ht="24" customHeight="1">
      <x:c r="A7" s="451" t="n">
        <x:v>3</x:v>
      </x:c>
      <x:c r="B7" s="451" t="str">
        <x:v>100 líderes globales</x:v>
      </x:c>
      <x:c r="C7" s="451" t="str">
        <x:v>Carnegie Mellon University</x:v>
      </x:c>
      <x:c r="D7" s="451" t="str">
        <x:v>Estados Unidos</x:v>
      </x:c>
      <x:c r="E7" s="451" t="str">
        <x:v>Norteamérica</x:v>
      </x:c>
      <x:c r="F7" s="451" t="str">
        <x:v>A</x:v>
      </x:c>
      <x:c r="G7" s="451" t="n">
        <x:v>13</x:v>
      </x:c>
      <x:c r="H7" s="451" t="n">
        <x:v>0</x:v>
      </x:c>
      <x:c r="I7" s="451" t="n">
        <x:v>1</x:v>
      </x:c>
      <x:c r="J7" s="451" t="n">
        <x:v>1</x:v>
      </x:c>
      <x:c r="K7" s="451" t="n">
        <x:v>1</x:v>
      </x:c>
      <x:c r="L7" s="451" t="n">
        <x:v>1</x:v>
      </x:c>
      <x:c r="M7" s="451" t="n">
        <x:v>1</x:v>
      </x:c>
      <x:c r="N7" s="451" t="n">
        <x:v>1</x:v>
      </x:c>
      <x:c r="O7" s="451" t="n">
        <x:v>1</x:v>
      </x:c>
      <x:c r="P7" s="451" t="n">
        <x:v>1</x:v>
      </x:c>
      <x:c r="Q7" s="451" t="n">
        <x:v>1</x:v>
      </x:c>
      <x:c r="R7" s="451" t="n">
        <x:v>0</x:v>
      </x:c>
      <x:c r="S7" s="451" t="n">
        <x:v>1</x:v>
      </x:c>
      <x:c r="T7" s="451" t="n">
        <x:v>0</x:v>
      </x:c>
      <x:c r="U7" s="451" t="n">
        <x:v>1</x:v>
      </x:c>
      <x:c r="V7" s="451" t="n">
        <x:v>1</x:v>
      </x:c>
      <x:c r="W7" s="451" t="n">
        <x:v>0</x:v>
      </x:c>
      <x:c r="X7" s="451" t="n">
        <x:v>1</x:v>
      </x:c>
    </x:row>
    <x:row r="8" ht="24" customHeight="1">
      <x:c r="A8" s="451" t="n">
        <x:v>4</x:v>
      </x:c>
      <x:c r="B8" s="451" t="str">
        <x:v>100 líderes globales</x:v>
      </x:c>
      <x:c r="C8" s="451" t="str">
        <x:v>University of California, Berkeley</x:v>
      </x:c>
      <x:c r="D8" s="451" t="str">
        <x:v>Estados Unidos</x:v>
      </x:c>
      <x:c r="E8" s="451" t="str">
        <x:v>Norteamérica</x:v>
      </x:c>
      <x:c r="F8" s="451" t="str">
        <x:v>A</x:v>
      </x:c>
      <x:c r="G8" s="451" t="n">
        <x:v>13</x:v>
      </x:c>
      <x:c r="H8" s="451" t="n">
        <x:v>0</x:v>
      </x:c>
      <x:c r="I8" s="451" t="n">
        <x:v>1</x:v>
      </x:c>
      <x:c r="J8" s="451" t="n">
        <x:v>1</x:v>
      </x:c>
      <x:c r="K8" s="451" t="n">
        <x:v>1</x:v>
      </x:c>
      <x:c r="L8" s="451" t="n">
        <x:v>1</x:v>
      </x:c>
      <x:c r="M8" s="451" t="n">
        <x:v>1</x:v>
      </x:c>
      <x:c r="N8" s="451" t="n">
        <x:v>1</x:v>
      </x:c>
      <x:c r="O8" s="451" t="n">
        <x:v>1</x:v>
      </x:c>
      <x:c r="P8" s="451" t="n">
        <x:v>1</x:v>
      </x:c>
      <x:c r="Q8" s="451" t="n">
        <x:v>1</x:v>
      </x:c>
      <x:c r="R8" s="451" t="n">
        <x:v>0</x:v>
      </x:c>
      <x:c r="S8" s="451" t="n">
        <x:v>1</x:v>
      </x:c>
      <x:c r="T8" s="451" t="n">
        <x:v>0</x:v>
      </x:c>
      <x:c r="U8" s="451" t="n">
        <x:v>0</x:v>
      </x:c>
      <x:c r="V8" s="451" t="n">
        <x:v>1</x:v>
      </x:c>
      <x:c r="W8" s="451" t="n">
        <x:v>1</x:v>
      </x:c>
      <x:c r="X8" s="451" t="n">
        <x:v>1</x:v>
      </x:c>
    </x:row>
    <x:row r="9" ht="24" customHeight="1">
      <x:c r="A9" s="451" t="n">
        <x:v>5</x:v>
      </x:c>
      <x:c r="B9" s="451" t="str">
        <x:v>100 líderes globales</x:v>
      </x:c>
      <x:c r="C9" s="451" t="str">
        <x:v>Harvard University</x:v>
      </x:c>
      <x:c r="D9" s="451" t="str">
        <x:v>Estados Unidos</x:v>
      </x:c>
      <x:c r="E9" s="451" t="str">
        <x:v>Norteamérica</x:v>
      </x:c>
      <x:c r="F9" s="451" t="str">
        <x:v>B</x:v>
      </x:c>
      <x:c r="G9" s="451" t="n">
        <x:v>11</x:v>
      </x:c>
      <x:c r="H9" s="451" t="n">
        <x:v>0</x:v>
      </x:c>
      <x:c r="I9" s="451" t="n">
        <x:v>1</x:v>
      </x:c>
      <x:c r="J9" s="451" t="n">
        <x:v>1</x:v>
      </x:c>
      <x:c r="K9" s="451" t="n">
        <x:v>1</x:v>
      </x:c>
      <x:c r="L9" s="451" t="n">
        <x:v>1</x:v>
      </x:c>
      <x:c r="M9" s="451" t="n">
        <x:v>1</x:v>
      </x:c>
      <x:c r="N9" s="451" t="n">
        <x:v>0</x:v>
      </x:c>
      <x:c r="O9" s="451" t="n">
        <x:v>1</x:v>
      </x:c>
      <x:c r="P9" s="451" t="n">
        <x:v>1</x:v>
      </x:c>
      <x:c r="Q9" s="451" t="n">
        <x:v>1</x:v>
      </x:c>
      <x:c r="R9" s="451" t="n">
        <x:v>0</x:v>
      </x:c>
      <x:c r="S9" s="451" t="n">
        <x:v>0</x:v>
      </x:c>
      <x:c r="T9" s="451" t="n">
        <x:v>0</x:v>
      </x:c>
      <x:c r="U9" s="451" t="n">
        <x:v>0</x:v>
      </x:c>
      <x:c r="V9" s="451" t="n">
        <x:v>1</x:v>
      </x:c>
      <x:c r="W9" s="451" t="n">
        <x:v>1</x:v>
      </x:c>
      <x:c r="X9" s="451" t="n">
        <x:v>1</x:v>
      </x:c>
    </x:row>
    <x:row r="10" ht="24" customHeight="1">
      <x:c r="A10" s="451" t="n">
        <x:v>6</x:v>
      </x:c>
      <x:c r="B10" s="451" t="str">
        <x:v>100 líderes globales</x:v>
      </x:c>
      <x:c r="C10" s="451" t="str">
        <x:v>Princeton University</x:v>
      </x:c>
      <x:c r="D10" s="451" t="str">
        <x:v>Estados Unidos</x:v>
      </x:c>
      <x:c r="E10" s="451" t="str">
        <x:v>Norteamérica</x:v>
      </x:c>
      <x:c r="F10" s="451" t="str">
        <x:v>B</x:v>
      </x:c>
      <x:c r="G10" s="451" t="n">
        <x:v>12</x:v>
      </x:c>
      <x:c r="H10" s="451" t="n">
        <x:v>0</x:v>
      </x:c>
      <x:c r="I10" s="451" t="n">
        <x:v>1</x:v>
      </x:c>
      <x:c r="J10" s="451" t="n">
        <x:v>1</x:v>
      </x:c>
      <x:c r="K10" s="451" t="n">
        <x:v>1</x:v>
      </x:c>
      <x:c r="L10" s="451" t="n">
        <x:v>1</x:v>
      </x:c>
      <x:c r="M10" s="451" t="n">
        <x:v>1</x:v>
      </x:c>
      <x:c r="N10" s="451" t="n">
        <x:v>1</x:v>
      </x:c>
      <x:c r="O10" s="451" t="n">
        <x:v>1</x:v>
      </x:c>
      <x:c r="P10" s="451" t="n">
        <x:v>1</x:v>
      </x:c>
      <x:c r="Q10" s="451" t="n">
        <x:v>1</x:v>
      </x:c>
      <x:c r="R10" s="451" t="n">
        <x:v>0</x:v>
      </x:c>
      <x:c r="S10" s="451" t="n">
        <x:v>0</x:v>
      </x:c>
      <x:c r="T10" s="451" t="n">
        <x:v>0</x:v>
      </x:c>
      <x:c r="U10" s="451" t="n">
        <x:v>0</x:v>
      </x:c>
      <x:c r="V10" s="451" t="n">
        <x:v>1</x:v>
      </x:c>
      <x:c r="W10" s="451" t="n">
        <x:v>1</x:v>
      </x:c>
      <x:c r="X10" s="451" t="n">
        <x:v>1</x:v>
      </x:c>
    </x:row>
    <x:row r="11" ht="24" customHeight="1">
      <x:c r="A11" s="451" t="n">
        <x:v>7</x:v>
      </x:c>
      <x:c r="B11" s="451" t="str">
        <x:v>100 líderes globales</x:v>
      </x:c>
      <x:c r="C11" s="451" t="str">
        <x:v>Cornell University</x:v>
      </x:c>
      <x:c r="D11" s="451" t="str">
        <x:v>Estados Unidos</x:v>
      </x:c>
      <x:c r="E11" s="451" t="str">
        <x:v>Norteamérica</x:v>
      </x:c>
      <x:c r="F11" s="451" t="str">
        <x:v>B</x:v>
      </x:c>
      <x:c r="G11" s="451" t="n">
        <x:v>14</x:v>
      </x:c>
      <x:c r="H11" s="451" t="n">
        <x:v>0</x:v>
      </x:c>
      <x:c r="I11" s="451" t="n">
        <x:v>1</x:v>
      </x:c>
      <x:c r="J11" s="451" t="n">
        <x:v>1</x:v>
      </x:c>
      <x:c r="K11" s="451" t="n">
        <x:v>1</x:v>
      </x:c>
      <x:c r="L11" s="451" t="n">
        <x:v>1</x:v>
      </x:c>
      <x:c r="M11" s="451" t="n">
        <x:v>1</x:v>
      </x:c>
      <x:c r="N11" s="451" t="n">
        <x:v>1</x:v>
      </x:c>
      <x:c r="O11" s="451" t="n">
        <x:v>1</x:v>
      </x:c>
      <x:c r="P11" s="451" t="n">
        <x:v>1</x:v>
      </x:c>
      <x:c r="Q11" s="451" t="n">
        <x:v>1</x:v>
      </x:c>
      <x:c r="R11" s="451" t="n">
        <x:v>0</x:v>
      </x:c>
      <x:c r="S11" s="451" t="n">
        <x:v>1</x:v>
      </x:c>
      <x:c r="T11" s="451" t="n">
        <x:v>0</x:v>
      </x:c>
      <x:c r="U11" s="451" t="n">
        <x:v>1</x:v>
      </x:c>
      <x:c r="V11" s="451" t="n">
        <x:v>1</x:v>
      </x:c>
      <x:c r="W11" s="451" t="n">
        <x:v>1</x:v>
      </x:c>
      <x:c r="X11" s="451" t="n">
        <x:v>1</x:v>
      </x:c>
    </x:row>
    <x:row r="12" ht="24" customHeight="1">
      <x:c r="A12" s="451" t="n">
        <x:v>8</x:v>
      </x:c>
      <x:c r="B12" s="451" t="str">
        <x:v>100 líderes globales</x:v>
      </x:c>
      <x:c r="C12" s="451" t="str">
        <x:v>University of Illinois Urbana-Champaign</x:v>
      </x:c>
      <x:c r="D12" s="451" t="str">
        <x:v>Estados Unidos</x:v>
      </x:c>
      <x:c r="E12" s="451" t="str">
        <x:v>Norteamérica</x:v>
      </x:c>
      <x:c r="F12" s="451" t="str">
        <x:v>B</x:v>
      </x:c>
      <x:c r="G12" s="451" t="n">
        <x:v>14</x:v>
      </x:c>
      <x:c r="H12" s="451" t="n">
        <x:v>0</x:v>
      </x:c>
      <x:c r="I12" s="451" t="n">
        <x:v>1</x:v>
      </x:c>
      <x:c r="J12" s="451" t="n">
        <x:v>1</x:v>
      </x:c>
      <x:c r="K12" s="451" t="n">
        <x:v>1</x:v>
      </x:c>
      <x:c r="L12" s="451" t="n">
        <x:v>1</x:v>
      </x:c>
      <x:c r="M12" s="451" t="n">
        <x:v>1</x:v>
      </x:c>
      <x:c r="N12" s="451" t="n">
        <x:v>1</x:v>
      </x:c>
      <x:c r="O12" s="451" t="n">
        <x:v>1</x:v>
      </x:c>
      <x:c r="P12" s="451" t="n">
        <x:v>1</x:v>
      </x:c>
      <x:c r="Q12" s="451" t="n">
        <x:v>1</x:v>
      </x:c>
      <x:c r="R12" s="451" t="n">
        <x:v>0</x:v>
      </x:c>
      <x:c r="S12" s="451" t="n">
        <x:v>1</x:v>
      </x:c>
      <x:c r="T12" s="451" t="n">
        <x:v>0</x:v>
      </x:c>
      <x:c r="U12" s="451" t="n">
        <x:v>1</x:v>
      </x:c>
      <x:c r="V12" s="451" t="n">
        <x:v>1</x:v>
      </x:c>
      <x:c r="W12" s="451" t="n">
        <x:v>1</x:v>
      </x:c>
      <x:c r="X12" s="451" t="n">
        <x:v>1</x:v>
      </x:c>
    </x:row>
    <x:row r="13" ht="24" customHeight="1">
      <x:c r="A13" s="451" t="n">
        <x:v>9</x:v>
      </x:c>
      <x:c r="B13" s="451" t="str">
        <x:v>100 líderes globales</x:v>
      </x:c>
      <x:c r="C13" s="451" t="str">
        <x:v>Georgia Institute of Technology</x:v>
      </x:c>
      <x:c r="D13" s="451" t="str">
        <x:v>Estados Unidos</x:v>
      </x:c>
      <x:c r="E13" s="451" t="str">
        <x:v>Norteamérica</x:v>
      </x:c>
      <x:c r="F13" s="451" t="str">
        <x:v>B</x:v>
      </x:c>
      <x:c r="G13" s="451" t="n">
        <x:v>13</x:v>
      </x:c>
      <x:c r="H13" s="451" t="n">
        <x:v>0</x:v>
      </x:c>
      <x:c r="I13" s="451" t="n">
        <x:v>1</x:v>
      </x:c>
      <x:c r="J13" s="451" t="n">
        <x:v>1</x:v>
      </x:c>
      <x:c r="K13" s="451" t="n">
        <x:v>1</x:v>
      </x:c>
      <x:c r="L13" s="451" t="n">
        <x:v>1</x:v>
      </x:c>
      <x:c r="M13" s="451" t="n">
        <x:v>1</x:v>
      </x:c>
      <x:c r="N13" s="451" t="n">
        <x:v>1</x:v>
      </x:c>
      <x:c r="O13" s="451" t="n">
        <x:v>1</x:v>
      </x:c>
      <x:c r="P13" s="451" t="n">
        <x:v>1</x:v>
      </x:c>
      <x:c r="Q13" s="451" t="n">
        <x:v>1</x:v>
      </x:c>
      <x:c r="R13" s="451" t="n">
        <x:v>0</x:v>
      </x:c>
      <x:c r="S13" s="451" t="n">
        <x:v>1</x:v>
      </x:c>
      <x:c r="T13" s="451" t="n">
        <x:v>1</x:v>
      </x:c>
      <x:c r="U13" s="451" t="n">
        <x:v>1</x:v>
      </x:c>
      <x:c r="V13" s="451" t="n">
        <x:v>0</x:v>
      </x:c>
      <x:c r="W13" s="451" t="n">
        <x:v>0</x:v>
      </x:c>
      <x:c r="X13" s="451" t="n">
        <x:v>1</x:v>
      </x:c>
    </x:row>
    <x:row r="14" ht="24" customHeight="1">
      <x:c r="A14" s="451" t="n">
        <x:v>10</x:v>
      </x:c>
      <x:c r="B14" s="451" t="str">
        <x:v>100 líderes globales</x:v>
      </x:c>
      <x:c r="C14" s="451" t="str">
        <x:v>University of Washington</x:v>
      </x:c>
      <x:c r="D14" s="451" t="str">
        <x:v>Estados Unidos</x:v>
      </x:c>
      <x:c r="E14" s="451" t="str">
        <x:v>Norteamérica</x:v>
      </x:c>
      <x:c r="F14" s="451" t="str">
        <x:v>B</x:v>
      </x:c>
      <x:c r="G14" s="451" t="n">
        <x:v>13</x:v>
      </x:c>
      <x:c r="H14" s="451" t="n">
        <x:v>0</x:v>
      </x:c>
      <x:c r="I14" s="451" t="n">
        <x:v>1</x:v>
      </x:c>
      <x:c r="J14" s="451" t="n">
        <x:v>1</x:v>
      </x:c>
      <x:c r="K14" s="451" t="n">
        <x:v>1</x:v>
      </x:c>
      <x:c r="L14" s="451" t="n">
        <x:v>1</x:v>
      </x:c>
      <x:c r="M14" s="451" t="n">
        <x:v>1</x:v>
      </x:c>
      <x:c r="N14" s="451" t="n">
        <x:v>1</x:v>
      </x:c>
      <x:c r="O14" s="451" t="n">
        <x:v>1</x:v>
      </x:c>
      <x:c r="P14" s="451" t="n">
        <x:v>1</x:v>
      </x:c>
      <x:c r="Q14" s="451" t="n">
        <x:v>1</x:v>
      </x:c>
      <x:c r="R14" s="451" t="n">
        <x:v>0</x:v>
      </x:c>
      <x:c r="S14" s="451" t="n">
        <x:v>1</x:v>
      </x:c>
      <x:c r="T14" s="451" t="n">
        <x:v>0</x:v>
      </x:c>
      <x:c r="U14" s="451" t="n">
        <x:v>1</x:v>
      </x:c>
      <x:c r="V14" s="451" t="n">
        <x:v>1</x:v>
      </x:c>
      <x:c r="W14" s="451" t="n">
        <x:v>0</x:v>
      </x:c>
      <x:c r="X14" s="451" t="n">
        <x:v>1</x:v>
      </x:c>
    </x:row>
    <x:row r="15" ht="24" customHeight="1">
      <x:c r="A15" s="451" t="n">
        <x:v>11</x:v>
      </x:c>
      <x:c r="B15" s="451" t="str">
        <x:v>100 líderes globales</x:v>
      </x:c>
      <x:c r="C15" s="451" t="str">
        <x:v>University of Texas at Austin</x:v>
      </x:c>
      <x:c r="D15" s="451" t="str">
        <x:v>Estados Unidos</x:v>
      </x:c>
      <x:c r="E15" s="451" t="str">
        <x:v>Norteamérica</x:v>
      </x:c>
      <x:c r="F15" s="451" t="str">
        <x:v>B</x:v>
      </x:c>
      <x:c r="G15" s="451" t="n">
        <x:v>13</x:v>
      </x:c>
      <x:c r="H15" s="451" t="n">
        <x:v>0</x:v>
      </x:c>
      <x:c r="I15" s="451" t="n">
        <x:v>1</x:v>
      </x:c>
      <x:c r="J15" s="451" t="n">
        <x:v>1</x:v>
      </x:c>
      <x:c r="K15" s="451" t="n">
        <x:v>1</x:v>
      </x:c>
      <x:c r="L15" s="451" t="n">
        <x:v>1</x:v>
      </x:c>
      <x:c r="M15" s="451" t="n">
        <x:v>1</x:v>
      </x:c>
      <x:c r="N15" s="451" t="n">
        <x:v>1</x:v>
      </x:c>
      <x:c r="O15" s="451" t="n">
        <x:v>1</x:v>
      </x:c>
      <x:c r="P15" s="451" t="n">
        <x:v>1</x:v>
      </x:c>
      <x:c r="Q15" s="451" t="n">
        <x:v>1</x:v>
      </x:c>
      <x:c r="R15" s="451" t="n">
        <x:v>0</x:v>
      </x:c>
      <x:c r="S15" s="451" t="n">
        <x:v>1</x:v>
      </x:c>
      <x:c r="T15" s="451" t="n">
        <x:v>0</x:v>
      </x:c>
      <x:c r="U15" s="451" t="n">
        <x:v>0</x:v>
      </x:c>
      <x:c r="V15" s="451" t="n">
        <x:v>1</x:v>
      </x:c>
      <x:c r="W15" s="451" t="n">
        <x:v>1</x:v>
      </x:c>
      <x:c r="X15" s="451" t="n">
        <x:v>1</x:v>
      </x:c>
    </x:row>
    <x:row r="16" ht="24" customHeight="1">
      <x:c r="A16" s="451" t="n">
        <x:v>12</x:v>
      </x:c>
      <x:c r="B16" s="451" t="str">
        <x:v>100 líderes globales</x:v>
      </x:c>
      <x:c r="C16" s="451" t="str">
        <x:v>University of Michigan</x:v>
      </x:c>
      <x:c r="D16" s="451" t="str">
        <x:v>Estados Unidos</x:v>
      </x:c>
      <x:c r="E16" s="451" t="str">
        <x:v>Norteamérica</x:v>
      </x:c>
      <x:c r="F16" s="451" t="str">
        <x:v>B</x:v>
      </x:c>
      <x:c r="G16" s="451" t="n">
        <x:v>13</x:v>
      </x:c>
      <x:c r="H16" s="451" t="n">
        <x:v>0</x:v>
      </x:c>
      <x:c r="I16" s="451" t="n">
        <x:v>1</x:v>
      </x:c>
      <x:c r="J16" s="451" t="n">
        <x:v>1</x:v>
      </x:c>
      <x:c r="K16" s="451" t="n">
        <x:v>1</x:v>
      </x:c>
      <x:c r="L16" s="451" t="n">
        <x:v>1</x:v>
      </x:c>
      <x:c r="M16" s="451" t="n">
        <x:v>1</x:v>
      </x:c>
      <x:c r="N16" s="451" t="n">
        <x:v>1</x:v>
      </x:c>
      <x:c r="O16" s="451" t="n">
        <x:v>1</x:v>
      </x:c>
      <x:c r="P16" s="451" t="n">
        <x:v>1</x:v>
      </x:c>
      <x:c r="Q16" s="451" t="n">
        <x:v>1</x:v>
      </x:c>
      <x:c r="R16" s="451" t="n">
        <x:v>0</x:v>
      </x:c>
      <x:c r="S16" s="451" t="n">
        <x:v>1</x:v>
      </x:c>
      <x:c r="T16" s="451" t="n">
        <x:v>0</x:v>
      </x:c>
      <x:c r="U16" s="451" t="n">
        <x:v>0</x:v>
      </x:c>
      <x:c r="V16" s="451" t="n">
        <x:v>1</x:v>
      </x:c>
      <x:c r="W16" s="451" t="n">
        <x:v>1</x:v>
      </x:c>
      <x:c r="X16" s="451" t="n">
        <x:v>1</x:v>
      </x:c>
    </x:row>
    <x:row r="17" ht="24" customHeight="1">
      <x:c r="A17" s="451" t="n">
        <x:v>13</x:v>
      </x:c>
      <x:c r="B17" s="451" t="str">
        <x:v>100 líderes globales</x:v>
      </x:c>
      <x:c r="C17" s="451" t="str">
        <x:v>University of California, Los Angeles</x:v>
      </x:c>
      <x:c r="D17" s="451" t="str">
        <x:v>Estados Unidos</x:v>
      </x:c>
      <x:c r="E17" s="451" t="str">
        <x:v>Norteamérica</x:v>
      </x:c>
      <x:c r="F17" s="451" t="str">
        <x:v>B</x:v>
      </x:c>
      <x:c r="G17" s="451" t="n">
        <x:v>13</x:v>
      </x:c>
      <x:c r="H17" s="451" t="n">
        <x:v>0</x:v>
      </x:c>
      <x:c r="I17" s="451" t="n">
        <x:v>1</x:v>
      </x:c>
      <x:c r="J17" s="451" t="n">
        <x:v>1</x:v>
      </x:c>
      <x:c r="K17" s="451" t="n">
        <x:v>1</x:v>
      </x:c>
      <x:c r="L17" s="451" t="n">
        <x:v>1</x:v>
      </x:c>
      <x:c r="M17" s="451" t="n">
        <x:v>1</x:v>
      </x:c>
      <x:c r="N17" s="451" t="n">
        <x:v>1</x:v>
      </x:c>
      <x:c r="O17" s="451" t="n">
        <x:v>1</x:v>
      </x:c>
      <x:c r="P17" s="451" t="n">
        <x:v>1</x:v>
      </x:c>
      <x:c r="Q17" s="451" t="n">
        <x:v>1</x:v>
      </x:c>
      <x:c r="R17" s="451" t="n">
        <x:v>0</x:v>
      </x:c>
      <x:c r="S17" s="451" t="n">
        <x:v>1</x:v>
      </x:c>
      <x:c r="T17" s="451" t="n">
        <x:v>0</x:v>
      </x:c>
      <x:c r="U17" s="451" t="n">
        <x:v>0</x:v>
      </x:c>
      <x:c r="V17" s="451" t="n">
        <x:v>1</x:v>
      </x:c>
      <x:c r="W17" s="451" t="n">
        <x:v>1</x:v>
      </x:c>
      <x:c r="X17" s="451" t="n">
        <x:v>1</x:v>
      </x:c>
    </x:row>
    <x:row r="18" ht="24" customHeight="1">
      <x:c r="A18" s="451" t="n">
        <x:v>14</x:v>
      </x:c>
      <x:c r="B18" s="451" t="str">
        <x:v>100 líderes globales</x:v>
      </x:c>
      <x:c r="C18" s="451" t="str">
        <x:v>University of California, San Diego</x:v>
      </x:c>
      <x:c r="D18" s="451" t="str">
        <x:v>Estados Unidos</x:v>
      </x:c>
      <x:c r="E18" s="451" t="str">
        <x:v>Norteamérica</x:v>
      </x:c>
      <x:c r="F18" s="451" t="str">
        <x:v>B</x:v>
      </x:c>
      <x:c r="G18" s="451" t="n">
        <x:v>13</x:v>
      </x:c>
      <x:c r="H18" s="451" t="n">
        <x:v>0</x:v>
      </x:c>
      <x:c r="I18" s="451" t="n">
        <x:v>1</x:v>
      </x:c>
      <x:c r="J18" s="451" t="n">
        <x:v>1</x:v>
      </x:c>
      <x:c r="K18" s="451" t="n">
        <x:v>1</x:v>
      </x:c>
      <x:c r="L18" s="451" t="n">
        <x:v>1</x:v>
      </x:c>
      <x:c r="M18" s="451" t="n">
        <x:v>1</x:v>
      </x:c>
      <x:c r="N18" s="451" t="n">
        <x:v>1</x:v>
      </x:c>
      <x:c r="O18" s="451" t="n">
        <x:v>1</x:v>
      </x:c>
      <x:c r="P18" s="451" t="n">
        <x:v>1</x:v>
      </x:c>
      <x:c r="Q18" s="451" t="n">
        <x:v>1</x:v>
      </x:c>
      <x:c r="R18" s="451" t="n">
        <x:v>0</x:v>
      </x:c>
      <x:c r="S18" s="451" t="n">
        <x:v>1</x:v>
      </x:c>
      <x:c r="T18" s="451" t="n">
        <x:v>0</x:v>
      </x:c>
      <x:c r="U18" s="451" t="n">
        <x:v>0</x:v>
      </x:c>
      <x:c r="V18" s="451" t="n">
        <x:v>1</x:v>
      </x:c>
      <x:c r="W18" s="451" t="n">
        <x:v>1</x:v>
      </x:c>
      <x:c r="X18" s="451" t="n">
        <x:v>1</x:v>
      </x:c>
    </x:row>
    <x:row r="19" ht="24" customHeight="1">
      <x:c r="A19" s="451" t="n">
        <x:v>15</x:v>
      </x:c>
      <x:c r="B19" s="451" t="str">
        <x:v>100 líderes globales</x:v>
      </x:c>
      <x:c r="C19" s="451" t="str">
        <x:v>California Institute of Technology</x:v>
      </x:c>
      <x:c r="D19" s="451" t="str">
        <x:v>Estados Unidos</x:v>
      </x:c>
      <x:c r="E19" s="451" t="str">
        <x:v>Norteamérica</x:v>
      </x:c>
      <x:c r="F19" s="451" t="str">
        <x:v>B</x:v>
      </x:c>
      <x:c r="G19" s="451" t="n">
        <x:v>12</x:v>
      </x:c>
      <x:c r="H19" s="451" t="n">
        <x:v>0</x:v>
      </x:c>
      <x:c r="I19" s="451" t="n">
        <x:v>1</x:v>
      </x:c>
      <x:c r="J19" s="451" t="n">
        <x:v>1</x:v>
      </x:c>
      <x:c r="K19" s="451" t="n">
        <x:v>1</x:v>
      </x:c>
      <x:c r="L19" s="451" t="n">
        <x:v>1</x:v>
      </x:c>
      <x:c r="M19" s="451" t="n">
        <x:v>1</x:v>
      </x:c>
      <x:c r="N19" s="451" t="n">
        <x:v>1</x:v>
      </x:c>
      <x:c r="O19" s="451" t="n">
        <x:v>1</x:v>
      </x:c>
      <x:c r="P19" s="451" t="n">
        <x:v>1</x:v>
      </x:c>
      <x:c r="Q19" s="451" t="n">
        <x:v>1</x:v>
      </x:c>
      <x:c r="R19" s="451" t="n">
        <x:v>0</x:v>
      </x:c>
      <x:c r="S19" s="451" t="n">
        <x:v>0</x:v>
      </x:c>
      <x:c r="T19" s="451" t="n">
        <x:v>0</x:v>
      </x:c>
      <x:c r="U19" s="451" t="n">
        <x:v>0</x:v>
      </x:c>
      <x:c r="V19" s="451" t="n">
        <x:v>1</x:v>
      </x:c>
      <x:c r="W19" s="451" t="n">
        <x:v>1</x:v>
      </x:c>
      <x:c r="X19" s="451" t="n">
        <x:v>1</x:v>
      </x:c>
    </x:row>
    <x:row r="20" ht="24" customHeight="1">
      <x:c r="A20" s="451" t="n">
        <x:v>16</x:v>
      </x:c>
      <x:c r="B20" s="451" t="str">
        <x:v>100 líderes globales</x:v>
      </x:c>
      <x:c r="C20" s="451" t="str">
        <x:v>Columbia University</x:v>
      </x:c>
      <x:c r="D20" s="451" t="str">
        <x:v>Estados Unidos</x:v>
      </x:c>
      <x:c r="E20" s="451" t="str">
        <x:v>Norteamérica</x:v>
      </x:c>
      <x:c r="F20" s="451" t="str">
        <x:v>B</x:v>
      </x:c>
      <x:c r="G20" s="451" t="n">
        <x:v>13</x:v>
      </x:c>
      <x:c r="H20" s="451" t="n">
        <x:v>0</x:v>
      </x:c>
      <x:c r="I20" s="451" t="n">
        <x:v>1</x:v>
      </x:c>
      <x:c r="J20" s="451" t="n">
        <x:v>1</x:v>
      </x:c>
      <x:c r="K20" s="451" t="n">
        <x:v>1</x:v>
      </x:c>
      <x:c r="L20" s="451" t="n">
        <x:v>1</x:v>
      </x:c>
      <x:c r="M20" s="451" t="n">
        <x:v>1</x:v>
      </x:c>
      <x:c r="N20" s="451" t="n">
        <x:v>1</x:v>
      </x:c>
      <x:c r="O20" s="451" t="n">
        <x:v>1</x:v>
      </x:c>
      <x:c r="P20" s="451" t="n">
        <x:v>1</x:v>
      </x:c>
      <x:c r="Q20" s="451" t="n">
        <x:v>1</x:v>
      </x:c>
      <x:c r="R20" s="451" t="n">
        <x:v>0</x:v>
      </x:c>
      <x:c r="S20" s="451" t="n">
        <x:v>1</x:v>
      </x:c>
      <x:c r="T20" s="451" t="n">
        <x:v>0</x:v>
      </x:c>
      <x:c r="U20" s="451" t="n">
        <x:v>0</x:v>
      </x:c>
      <x:c r="V20" s="451" t="n">
        <x:v>1</x:v>
      </x:c>
      <x:c r="W20" s="451" t="n">
        <x:v>1</x:v>
      </x:c>
      <x:c r="X20" s="451" t="n">
        <x:v>1</x:v>
      </x:c>
    </x:row>
    <x:row r="21" ht="24" customHeight="1">
      <x:c r="A21" s="451" t="n">
        <x:v>17</x:v>
      </x:c>
      <x:c r="B21" s="451" t="str">
        <x:v>100 líderes globales</x:v>
      </x:c>
      <x:c r="C21" s="451" t="str">
        <x:v>New York University</x:v>
      </x:c>
      <x:c r="D21" s="451" t="str">
        <x:v>Estados Unidos</x:v>
      </x:c>
      <x:c r="E21" s="451" t="str">
        <x:v>Norteamérica</x:v>
      </x:c>
      <x:c r="F21" s="451" t="str">
        <x:v>B</x:v>
      </x:c>
      <x:c r="G21" s="451" t="n">
        <x:v>11</x:v>
      </x:c>
      <x:c r="H21" s="451" t="n">
        <x:v>0</x:v>
      </x:c>
      <x:c r="I21" s="451" t="n">
        <x:v>1</x:v>
      </x:c>
      <x:c r="J21" s="451" t="n">
        <x:v>1</x:v>
      </x:c>
      <x:c r="K21" s="451" t="n">
        <x:v>1</x:v>
      </x:c>
      <x:c r="L21" s="451" t="n">
        <x:v>1</x:v>
      </x:c>
      <x:c r="M21" s="451" t="n">
        <x:v>1</x:v>
      </x:c>
      <x:c r="N21" s="451" t="n">
        <x:v>1</x:v>
      </x:c>
      <x:c r="O21" s="451" t="n">
        <x:v>1</x:v>
      </x:c>
      <x:c r="P21" s="451" t="n">
        <x:v>0</x:v>
      </x:c>
      <x:c r="Q21" s="451" t="n">
        <x:v>0</x:v>
      </x:c>
      <x:c r="R21" s="451" t="n">
        <x:v>0</x:v>
      </x:c>
      <x:c r="S21" s="451" t="n">
        <x:v>1</x:v>
      </x:c>
      <x:c r="T21" s="451" t="n">
        <x:v>1</x:v>
      </x:c>
      <x:c r="U21" s="451" t="n">
        <x:v>1</x:v>
      </x:c>
      <x:c r="V21" s="451" t="n">
        <x:v>0</x:v>
      </x:c>
      <x:c r="W21" s="451" t="n">
        <x:v>0</x:v>
      </x:c>
      <x:c r="X21" s="451" t="n">
        <x:v>1</x:v>
      </x:c>
    </x:row>
    <x:row r="22" ht="24" customHeight="1">
      <x:c r="A22" s="451" t="n">
        <x:v>18</x:v>
      </x:c>
      <x:c r="B22" s="451" t="str">
        <x:v>100 líderes globales</x:v>
      </x:c>
      <x:c r="C22" s="451" t="str">
        <x:v>University of Southern California</x:v>
      </x:c>
      <x:c r="D22" s="451" t="str">
        <x:v>Estados Unidos</x:v>
      </x:c>
      <x:c r="E22" s="451" t="str">
        <x:v>Norteamérica</x:v>
      </x:c>
      <x:c r="F22" s="451" t="str">
        <x:v>B</x:v>
      </x:c>
      <x:c r="G22" s="451" t="n">
        <x:v>12</x:v>
      </x:c>
      <x:c r="H22" s="451" t="n">
        <x:v>0</x:v>
      </x:c>
      <x:c r="I22" s="451" t="n">
        <x:v>1</x:v>
      </x:c>
      <x:c r="J22" s="451" t="n">
        <x:v>1</x:v>
      </x:c>
      <x:c r="K22" s="451" t="n">
        <x:v>1</x:v>
      </x:c>
      <x:c r="L22" s="451" t="n">
        <x:v>1</x:v>
      </x:c>
      <x:c r="M22" s="451" t="n">
        <x:v>1</x:v>
      </x:c>
      <x:c r="N22" s="451" t="n">
        <x:v>1</x:v>
      </x:c>
      <x:c r="O22" s="451" t="n">
        <x:v>1</x:v>
      </x:c>
      <x:c r="P22" s="451" t="n">
        <x:v>1</x:v>
      </x:c>
      <x:c r="Q22" s="451" t="n">
        <x:v>1</x:v>
      </x:c>
      <x:c r="R22" s="451" t="n">
        <x:v>0</x:v>
      </x:c>
      <x:c r="S22" s="451" t="n">
        <x:v>1</x:v>
      </x:c>
      <x:c r="T22" s="451" t="n">
        <x:v>1</x:v>
      </x:c>
      <x:c r="U22" s="451" t="n">
        <x:v>0</x:v>
      </x:c>
      <x:c r="V22" s="451" t="n">
        <x:v>0</x:v>
      </x:c>
      <x:c r="W22" s="451" t="n">
        <x:v>0</x:v>
      </x:c>
      <x:c r="X22" s="451" t="n">
        <x:v>1</x:v>
      </x:c>
    </x:row>
    <x:row r="23" ht="24" customHeight="1">
      <x:c r="A23" s="451" t="n">
        <x:v>19</x:v>
      </x:c>
      <x:c r="B23" s="451" t="str">
        <x:v>100 líderes globales</x:v>
      </x:c>
      <x:c r="C23" s="451" t="str">
        <x:v>University of Wisconsin–Madison</x:v>
      </x:c>
      <x:c r="D23" s="451" t="str">
        <x:v>Estados Unidos</x:v>
      </x:c>
      <x:c r="E23" s="451" t="str">
        <x:v>Norteamérica</x:v>
      </x:c>
      <x:c r="F23" s="451" t="str">
        <x:v>B</x:v>
      </x:c>
      <x:c r="G23" s="451" t="n">
        <x:v>12</x:v>
      </x:c>
      <x:c r="H23" s="451" t="n">
        <x:v>0</x:v>
      </x:c>
      <x:c r="I23" s="451" t="n">
        <x:v>1</x:v>
      </x:c>
      <x:c r="J23" s="451" t="n">
        <x:v>1</x:v>
      </x:c>
      <x:c r="K23" s="451" t="n">
        <x:v>1</x:v>
      </x:c>
      <x:c r="L23" s="451" t="n">
        <x:v>1</x:v>
      </x:c>
      <x:c r="M23" s="451" t="n">
        <x:v>1</x:v>
      </x:c>
      <x:c r="N23" s="451" t="n">
        <x:v>1</x:v>
      </x:c>
      <x:c r="O23" s="451" t="n">
        <x:v>1</x:v>
      </x:c>
      <x:c r="P23" s="451" t="n">
        <x:v>1</x:v>
      </x:c>
      <x:c r="Q23" s="451" t="n">
        <x:v>1</x:v>
      </x:c>
      <x:c r="R23" s="451" t="n">
        <x:v>0</x:v>
      </x:c>
      <x:c r="S23" s="451" t="n">
        <x:v>0</x:v>
      </x:c>
      <x:c r="T23" s="451" t="n">
        <x:v>0</x:v>
      </x:c>
      <x:c r="U23" s="451" t="n">
        <x:v>0</x:v>
      </x:c>
      <x:c r="V23" s="451" t="n">
        <x:v>1</x:v>
      </x:c>
      <x:c r="W23" s="451" t="n">
        <x:v>1</x:v>
      </x:c>
      <x:c r="X23" s="451" t="n">
        <x:v>1</x:v>
      </x:c>
    </x:row>
    <x:row r="24" ht="24" customHeight="1">
      <x:c r="A24" s="451" t="n">
        <x:v>20</x:v>
      </x:c>
      <x:c r="B24" s="451" t="str">
        <x:v>100 líderes globales</x:v>
      </x:c>
      <x:c r="C24" s="451" t="str">
        <x:v>University of Maryland, College Park</x:v>
      </x:c>
      <x:c r="D24" s="451" t="str">
        <x:v>Estados Unidos</x:v>
      </x:c>
      <x:c r="E24" s="451" t="str">
        <x:v>Norteamérica</x:v>
      </x:c>
      <x:c r="F24" s="451" t="str">
        <x:v>B</x:v>
      </x:c>
      <x:c r="G24" s="451" t="n">
        <x:v>14</x:v>
      </x:c>
      <x:c r="H24" s="451" t="n">
        <x:v>0</x:v>
      </x:c>
      <x:c r="I24" s="451" t="n">
        <x:v>1</x:v>
      </x:c>
      <x:c r="J24" s="451" t="n">
        <x:v>1</x:v>
      </x:c>
      <x:c r="K24" s="451" t="n">
        <x:v>1</x:v>
      </x:c>
      <x:c r="L24" s="451" t="n">
        <x:v>1</x:v>
      </x:c>
      <x:c r="M24" s="451" t="n">
        <x:v>1</x:v>
      </x:c>
      <x:c r="N24" s="451" t="n">
        <x:v>1</x:v>
      </x:c>
      <x:c r="O24" s="451" t="n">
        <x:v>1</x:v>
      </x:c>
      <x:c r="P24" s="451" t="n">
        <x:v>1</x:v>
      </x:c>
      <x:c r="Q24" s="451" t="n">
        <x:v>1</x:v>
      </x:c>
      <x:c r="R24" s="451" t="n">
        <x:v>0</x:v>
      </x:c>
      <x:c r="S24" s="451" t="n">
        <x:v>1</x:v>
      </x:c>
      <x:c r="T24" s="451" t="n">
        <x:v>1</x:v>
      </x:c>
      <x:c r="U24" s="451" t="n">
        <x:v>0</x:v>
      </x:c>
      <x:c r="V24" s="451" t="n">
        <x:v>1</x:v>
      </x:c>
      <x:c r="W24" s="451" t="n">
        <x:v>1</x:v>
      </x:c>
      <x:c r="X24" s="451" t="n">
        <x:v>1</x:v>
      </x:c>
    </x:row>
    <x:row r="25" ht="24" customHeight="1">
      <x:c r="A25" s="451" t="n">
        <x:v>21</x:v>
      </x:c>
      <x:c r="B25" s="451" t="str">
        <x:v>100 líderes globales</x:v>
      </x:c>
      <x:c r="C25" s="451" t="str">
        <x:v>Purdue University</x:v>
      </x:c>
      <x:c r="D25" s="451" t="str">
        <x:v>Estados Unidos</x:v>
      </x:c>
      <x:c r="E25" s="451" t="str">
        <x:v>Norteamérica</x:v>
      </x:c>
      <x:c r="F25" s="451" t="str">
        <x:v>A</x:v>
      </x:c>
      <x:c r="G25" s="451" t="n">
        <x:v>13</x:v>
      </x:c>
      <x:c r="H25" s="451" t="n">
        <x:v>1</x:v>
      </x:c>
      <x:c r="I25" s="451" t="n">
        <x:v>1</x:v>
      </x:c>
      <x:c r="J25" s="451" t="n">
        <x:v>1</x:v>
      </x:c>
      <x:c r="K25" s="451" t="n">
        <x:v>1</x:v>
      </x:c>
      <x:c r="L25" s="451" t="n">
        <x:v>1</x:v>
      </x:c>
      <x:c r="M25" s="451" t="n">
        <x:v>1</x:v>
      </x:c>
      <x:c r="N25" s="451" t="n">
        <x:v>1</x:v>
      </x:c>
      <x:c r="O25" s="451" t="n">
        <x:v>1</x:v>
      </x:c>
      <x:c r="P25" s="451" t="n">
        <x:v>1</x:v>
      </x:c>
      <x:c r="Q25" s="451" t="n">
        <x:v>1</x:v>
      </x:c>
      <x:c r="R25" s="451" t="n">
        <x:v>1</x:v>
      </x:c>
      <x:c r="S25" s="451" t="n">
        <x:v>0</x:v>
      </x:c>
      <x:c r="T25" s="451" t="n">
        <x:v>0</x:v>
      </x:c>
      <x:c r="U25" s="451" t="n">
        <x:v>1</x:v>
      </x:c>
      <x:c r="V25" s="451" t="n">
        <x:v>0</x:v>
      </x:c>
      <x:c r="W25" s="451" t="n">
        <x:v>0</x:v>
      </x:c>
      <x:c r="X25" s="451" t="n">
        <x:v>1</x:v>
      </x:c>
    </x:row>
    <x:row r="26" ht="24" customHeight="1">
      <x:c r="A26" s="451" t="n">
        <x:v>22</x:v>
      </x:c>
      <x:c r="B26" s="451" t="str">
        <x:v>100 líderes globales</x:v>
      </x:c>
      <x:c r="C26" s="451" t="str">
        <x:v>University of Pennsylvania</x:v>
      </x:c>
      <x:c r="D26" s="451" t="str">
        <x:v>Estados Unidos</x:v>
      </x:c>
      <x:c r="E26" s="451" t="str">
        <x:v>Norteamérica</x:v>
      </x:c>
      <x:c r="F26" s="451" t="str">
        <x:v>B</x:v>
      </x:c>
      <x:c r="G26" s="451" t="n">
        <x:v>14</x:v>
      </x:c>
      <x:c r="H26" s="451" t="n">
        <x:v>0</x:v>
      </x:c>
      <x:c r="I26" s="451" t="n">
        <x:v>1</x:v>
      </x:c>
      <x:c r="J26" s="451" t="n">
        <x:v>1</x:v>
      </x:c>
      <x:c r="K26" s="451" t="n">
        <x:v>1</x:v>
      </x:c>
      <x:c r="L26" s="451" t="n">
        <x:v>1</x:v>
      </x:c>
      <x:c r="M26" s="451" t="n">
        <x:v>1</x:v>
      </x:c>
      <x:c r="N26" s="451" t="n">
        <x:v>1</x:v>
      </x:c>
      <x:c r="O26" s="451" t="n">
        <x:v>1</x:v>
      </x:c>
      <x:c r="P26" s="451" t="n">
        <x:v>1</x:v>
      </x:c>
      <x:c r="Q26" s="451" t="n">
        <x:v>1</x:v>
      </x:c>
      <x:c r="R26" s="451" t="n">
        <x:v>0</x:v>
      </x:c>
      <x:c r="S26" s="451" t="n">
        <x:v>1</x:v>
      </x:c>
      <x:c r="T26" s="451" t="n">
        <x:v>1</x:v>
      </x:c>
      <x:c r="U26" s="451" t="n">
        <x:v>0</x:v>
      </x:c>
      <x:c r="V26" s="451" t="n">
        <x:v>1</x:v>
      </x:c>
      <x:c r="W26" s="451" t="n">
        <x:v>1</x:v>
      </x:c>
      <x:c r="X26" s="451" t="n">
        <x:v>1</x:v>
      </x:c>
    </x:row>
    <x:row r="27" ht="24" customHeight="1">
      <x:c r="A27" s="451" t="n">
        <x:v>23</x:v>
      </x:c>
      <x:c r="B27" s="451" t="str">
        <x:v>100 líderes globales</x:v>
      </x:c>
      <x:c r="C27" s="451" t="str">
        <x:v>Yale University</x:v>
      </x:c>
      <x:c r="D27" s="451" t="str">
        <x:v>Estados Unidos</x:v>
      </x:c>
      <x:c r="E27" s="451" t="str">
        <x:v>Norteamérica</x:v>
      </x:c>
      <x:c r="F27" s="451" t="str">
        <x:v>B</x:v>
      </x:c>
      <x:c r="G27" s="451" t="n">
        <x:v>11</x:v>
      </x:c>
      <x:c r="H27" s="451" t="n">
        <x:v>0</x:v>
      </x:c>
      <x:c r="I27" s="451" t="n">
        <x:v>1</x:v>
      </x:c>
      <x:c r="J27" s="451" t="n">
        <x:v>1</x:v>
      </x:c>
      <x:c r="K27" s="451" t="n">
        <x:v>1</x:v>
      </x:c>
      <x:c r="L27" s="451" t="n">
        <x:v>1</x:v>
      </x:c>
      <x:c r="M27" s="451" t="n">
        <x:v>1</x:v>
      </x:c>
      <x:c r="N27" s="451" t="n">
        <x:v>0</x:v>
      </x:c>
      <x:c r="O27" s="451" t="n">
        <x:v>1</x:v>
      </x:c>
      <x:c r="P27" s="451" t="n">
        <x:v>1</x:v>
      </x:c>
      <x:c r="Q27" s="451" t="n">
        <x:v>1</x:v>
      </x:c>
      <x:c r="R27" s="451" t="n">
        <x:v>0</x:v>
      </x:c>
      <x:c r="S27" s="451" t="n">
        <x:v>0</x:v>
      </x:c>
      <x:c r="T27" s="451" t="n">
        <x:v>0</x:v>
      </x:c>
      <x:c r="U27" s="451" t="n">
        <x:v>0</x:v>
      </x:c>
      <x:c r="V27" s="451" t="n">
        <x:v>1</x:v>
      </x:c>
      <x:c r="W27" s="451" t="n">
        <x:v>1</x:v>
      </x:c>
      <x:c r="X27" s="451" t="n">
        <x:v>1</x:v>
      </x:c>
    </x:row>
    <x:row r="28" ht="24" customHeight="1">
      <x:c r="A28" s="451" t="n">
        <x:v>24</x:v>
      </x:c>
      <x:c r="B28" s="451" t="str">
        <x:v>100 líderes globales</x:v>
      </x:c>
      <x:c r="C28" s="451" t="str">
        <x:v>Duke University</x:v>
      </x:c>
      <x:c r="D28" s="451" t="str">
        <x:v>Estados Unidos</x:v>
      </x:c>
      <x:c r="E28" s="451" t="str">
        <x:v>Norteamérica</x:v>
      </x:c>
      <x:c r="F28" s="451" t="str">
        <x:v>B</x:v>
      </x:c>
      <x:c r="G28" s="451" t="n">
        <x:v>12</x:v>
      </x:c>
      <x:c r="H28" s="451" t="n">
        <x:v>0</x:v>
      </x:c>
      <x:c r="I28" s="451" t="n">
        <x:v>1</x:v>
      </x:c>
      <x:c r="J28" s="451" t="n">
        <x:v>1</x:v>
      </x:c>
      <x:c r="K28" s="451" t="n">
        <x:v>1</x:v>
      </x:c>
      <x:c r="L28" s="451" t="n">
        <x:v>1</x:v>
      </x:c>
      <x:c r="M28" s="451" t="n">
        <x:v>1</x:v>
      </x:c>
      <x:c r="N28" s="451" t="n">
        <x:v>1</x:v>
      </x:c>
      <x:c r="O28" s="451" t="n">
        <x:v>1</x:v>
      </x:c>
      <x:c r="P28" s="451" t="n">
        <x:v>1</x:v>
      </x:c>
      <x:c r="Q28" s="451" t="n">
        <x:v>1</x:v>
      </x:c>
      <x:c r="R28" s="451" t="n">
        <x:v>0</x:v>
      </x:c>
      <x:c r="S28" s="451" t="n">
        <x:v>0</x:v>
      </x:c>
      <x:c r="T28" s="451" t="n">
        <x:v>0</x:v>
      </x:c>
      <x:c r="U28" s="451" t="n">
        <x:v>0</x:v>
      </x:c>
      <x:c r="V28" s="451" t="n">
        <x:v>1</x:v>
      </x:c>
      <x:c r="W28" s="451" t="n">
        <x:v>1</x:v>
      </x:c>
      <x:c r="X28" s="451" t="n">
        <x:v>1</x:v>
      </x:c>
    </x:row>
    <x:row r="29" ht="24" customHeight="1">
      <x:c r="A29" s="451" t="n">
        <x:v>25</x:v>
      </x:c>
      <x:c r="B29" s="451" t="str">
        <x:v>100 líderes globales</x:v>
      </x:c>
      <x:c r="C29" s="451" t="str">
        <x:v>Johns Hopkins University</x:v>
      </x:c>
      <x:c r="D29" s="451" t="str">
        <x:v>Estados Unidos</x:v>
      </x:c>
      <x:c r="E29" s="451" t="str">
        <x:v>Norteamérica</x:v>
      </x:c>
      <x:c r="F29" s="451" t="str">
        <x:v>B</x:v>
      </x:c>
      <x:c r="G29" s="451" t="n">
        <x:v>12</x:v>
      </x:c>
      <x:c r="H29" s="451" t="n">
        <x:v>0</x:v>
      </x:c>
      <x:c r="I29" s="451" t="n">
        <x:v>1</x:v>
      </x:c>
      <x:c r="J29" s="451" t="n">
        <x:v>1</x:v>
      </x:c>
      <x:c r="K29" s="451" t="n">
        <x:v>1</x:v>
      </x:c>
      <x:c r="L29" s="451" t="n">
        <x:v>1</x:v>
      </x:c>
      <x:c r="M29" s="451" t="n">
        <x:v>1</x:v>
      </x:c>
      <x:c r="N29" s="451" t="n">
        <x:v>1</x:v>
      </x:c>
      <x:c r="O29" s="451" t="n">
        <x:v>1</x:v>
      </x:c>
      <x:c r="P29" s="451" t="n">
        <x:v>1</x:v>
      </x:c>
      <x:c r="Q29" s="451" t="n">
        <x:v>1</x:v>
      </x:c>
      <x:c r="R29" s="451" t="n">
        <x:v>0</x:v>
      </x:c>
      <x:c r="S29" s="451" t="n">
        <x:v>0</x:v>
      </x:c>
      <x:c r="T29" s="451" t="n">
        <x:v>0</x:v>
      </x:c>
      <x:c r="U29" s="451" t="n">
        <x:v>0</x:v>
      </x:c>
      <x:c r="V29" s="451" t="n">
        <x:v>1</x:v>
      </x:c>
      <x:c r="W29" s="451" t="n">
        <x:v>1</x:v>
      </x:c>
      <x:c r="X29" s="451" t="n">
        <x:v>1</x:v>
      </x:c>
    </x:row>
    <x:row r="30" ht="24" customHeight="1">
      <x:c r="A30" s="451" t="n">
        <x:v>26</x:v>
      </x:c>
      <x:c r="B30" s="451" t="str">
        <x:v>100 líderes globales</x:v>
      </x:c>
      <x:c r="C30" s="451" t="str">
        <x:v>Northwestern University</x:v>
      </x:c>
      <x:c r="D30" s="451" t="str">
        <x:v>Estados Unidos</x:v>
      </x:c>
      <x:c r="E30" s="451" t="str">
        <x:v>Norteamérica</x:v>
      </x:c>
      <x:c r="F30" s="451" t="str">
        <x:v>B</x:v>
      </x:c>
      <x:c r="G30" s="451" t="n">
        <x:v>13</x:v>
      </x:c>
      <x:c r="H30" s="451" t="n">
        <x:v>0</x:v>
      </x:c>
      <x:c r="I30" s="451" t="n">
        <x:v>1</x:v>
      </x:c>
      <x:c r="J30" s="451" t="n">
        <x:v>1</x:v>
      </x:c>
      <x:c r="K30" s="451" t="n">
        <x:v>1</x:v>
      </x:c>
      <x:c r="L30" s="451" t="n">
        <x:v>1</x:v>
      </x:c>
      <x:c r="M30" s="451" t="n">
        <x:v>1</x:v>
      </x:c>
      <x:c r="N30" s="451" t="n">
        <x:v>1</x:v>
      </x:c>
      <x:c r="O30" s="451" t="n">
        <x:v>1</x:v>
      </x:c>
      <x:c r="P30" s="451" t="n">
        <x:v>1</x:v>
      </x:c>
      <x:c r="Q30" s="451" t="n">
        <x:v>1</x:v>
      </x:c>
      <x:c r="R30" s="451" t="n">
        <x:v>0</x:v>
      </x:c>
      <x:c r="S30" s="451" t="n">
        <x:v>1</x:v>
      </x:c>
      <x:c r="T30" s="451" t="n">
        <x:v>0</x:v>
      </x:c>
      <x:c r="U30" s="451" t="n">
        <x:v>0</x:v>
      </x:c>
      <x:c r="V30" s="451" t="n">
        <x:v>1</x:v>
      </x:c>
      <x:c r="W30" s="451" t="n">
        <x:v>1</x:v>
      </x:c>
      <x:c r="X30" s="451" t="n">
        <x:v>1</x:v>
      </x:c>
    </x:row>
    <x:row r="31" ht="24" customHeight="1">
      <x:c r="A31" s="451" t="n">
        <x:v>27</x:v>
      </x:c>
      <x:c r="B31" s="451" t="str">
        <x:v>100 líderes globales</x:v>
      </x:c>
      <x:c r="C31" s="451" t="str">
        <x:v>University of Massachusetts Amherst</x:v>
      </x:c>
      <x:c r="D31" s="451" t="str">
        <x:v>Estados Unidos</x:v>
      </x:c>
      <x:c r="E31" s="451" t="str">
        <x:v>Norteamérica</x:v>
      </x:c>
      <x:c r="F31" s="451" t="str">
        <x:v>B</x:v>
      </x:c>
      <x:c r="G31" s="451" t="n">
        <x:v>12</x:v>
      </x:c>
      <x:c r="H31" s="451" t="n">
        <x:v>0</x:v>
      </x:c>
      <x:c r="I31" s="451" t="n">
        <x:v>1</x:v>
      </x:c>
      <x:c r="J31" s="451" t="n">
        <x:v>1</x:v>
      </x:c>
      <x:c r="K31" s="451" t="n">
        <x:v>1</x:v>
      </x:c>
      <x:c r="L31" s="451" t="n">
        <x:v>1</x:v>
      </x:c>
      <x:c r="M31" s="451" t="n">
        <x:v>1</x:v>
      </x:c>
      <x:c r="N31" s="451" t="n">
        <x:v>1</x:v>
      </x:c>
      <x:c r="O31" s="451" t="n">
        <x:v>1</x:v>
      </x:c>
      <x:c r="P31" s="451" t="n">
        <x:v>1</x:v>
      </x:c>
      <x:c r="Q31" s="451" t="n">
        <x:v>1</x:v>
      </x:c>
      <x:c r="R31" s="451" t="n">
        <x:v>0</x:v>
      </x:c>
      <x:c r="S31" s="451" t="n">
        <x:v>0</x:v>
      </x:c>
      <x:c r="T31" s="451" t="n">
        <x:v>0</x:v>
      </x:c>
      <x:c r="U31" s="451" t="n">
        <x:v>1</x:v>
      </x:c>
      <x:c r="V31" s="451" t="n">
        <x:v>1</x:v>
      </x:c>
      <x:c r="W31" s="451" t="n">
        <x:v>0</x:v>
      </x:c>
      <x:c r="X31" s="451" t="n">
        <x:v>1</x:v>
      </x:c>
    </x:row>
    <x:row r="32" ht="24" customHeight="1">
      <x:c r="A32" s="451" t="n">
        <x:v>28</x:v>
      </x:c>
      <x:c r="B32" s="451" t="str">
        <x:v>100 líderes globales</x:v>
      </x:c>
      <x:c r="C32" s="451" t="str">
        <x:v>Brown University</x:v>
      </x:c>
      <x:c r="D32" s="451" t="str">
        <x:v>Estados Unidos</x:v>
      </x:c>
      <x:c r="E32" s="451" t="str">
        <x:v>Norteamérica</x:v>
      </x:c>
      <x:c r="F32" s="451" t="str">
        <x:v>B</x:v>
      </x:c>
      <x:c r="G32" s="451" t="n">
        <x:v>11</x:v>
      </x:c>
      <x:c r="H32" s="451" t="n">
        <x:v>0</x:v>
      </x:c>
      <x:c r="I32" s="451" t="n">
        <x:v>1</x:v>
      </x:c>
      <x:c r="J32" s="451" t="n">
        <x:v>1</x:v>
      </x:c>
      <x:c r="K32" s="451" t="n">
        <x:v>1</x:v>
      </x:c>
      <x:c r="L32" s="451" t="n">
        <x:v>1</x:v>
      </x:c>
      <x:c r="M32" s="451" t="n">
        <x:v>1</x:v>
      </x:c>
      <x:c r="N32" s="451" t="n">
        <x:v>0</x:v>
      </x:c>
      <x:c r="O32" s="451" t="n">
        <x:v>1</x:v>
      </x:c>
      <x:c r="P32" s="451" t="n">
        <x:v>0</x:v>
      </x:c>
      <x:c r="Q32" s="451" t="n">
        <x:v>1</x:v>
      </x:c>
      <x:c r="R32" s="451" t="n">
        <x:v>0</x:v>
      </x:c>
      <x:c r="S32" s="451" t="n">
        <x:v>1</x:v>
      </x:c>
      <x:c r="T32" s="451" t="n">
        <x:v>0</x:v>
      </x:c>
      <x:c r="U32" s="451" t="n">
        <x:v>0</x:v>
      </x:c>
      <x:c r="V32" s="451" t="n">
        <x:v>1</x:v>
      </x:c>
      <x:c r="W32" s="451" t="n">
        <x:v>1</x:v>
      </x:c>
      <x:c r="X32" s="451" t="n">
        <x:v>1</x:v>
      </x:c>
    </x:row>
    <x:row r="33" ht="24" customHeight="1">
      <x:c r="A33" s="451" t="n">
        <x:v>29</x:v>
      </x:c>
      <x:c r="B33" s="451" t="str">
        <x:v>100 líderes globales</x:v>
      </x:c>
      <x:c r="C33" s="451" t="str">
        <x:v>Rice University</x:v>
      </x:c>
      <x:c r="D33" s="451" t="str">
        <x:v>Estados Unidos</x:v>
      </x:c>
      <x:c r="E33" s="451" t="str">
        <x:v>Norteamérica</x:v>
      </x:c>
      <x:c r="F33" s="451" t="str">
        <x:v>B</x:v>
      </x:c>
      <x:c r="G33" s="451" t="n">
        <x:v>12</x:v>
      </x:c>
      <x:c r="H33" s="451" t="n">
        <x:v>0</x:v>
      </x:c>
      <x:c r="I33" s="451" t="n">
        <x:v>1</x:v>
      </x:c>
      <x:c r="J33" s="451" t="n">
        <x:v>1</x:v>
      </x:c>
      <x:c r="K33" s="451" t="n">
        <x:v>1</x:v>
      </x:c>
      <x:c r="L33" s="451" t="n">
        <x:v>1</x:v>
      </x:c>
      <x:c r="M33" s="451" t="n">
        <x:v>1</x:v>
      </x:c>
      <x:c r="N33" s="451" t="n">
        <x:v>1</x:v>
      </x:c>
      <x:c r="O33" s="451" t="n">
        <x:v>1</x:v>
      </x:c>
      <x:c r="P33" s="451" t="n">
        <x:v>1</x:v>
      </x:c>
      <x:c r="Q33" s="451" t="n">
        <x:v>1</x:v>
      </x:c>
      <x:c r="R33" s="451" t="n">
        <x:v>0</x:v>
      </x:c>
      <x:c r="S33" s="451" t="n">
        <x:v>0</x:v>
      </x:c>
      <x:c r="T33" s="451" t="n">
        <x:v>0</x:v>
      </x:c>
      <x:c r="U33" s="451" t="n">
        <x:v>0</x:v>
      </x:c>
      <x:c r="V33" s="451" t="n">
        <x:v>1</x:v>
      </x:c>
      <x:c r="W33" s="451" t="n">
        <x:v>1</x:v>
      </x:c>
      <x:c r="X33" s="451" t="n">
        <x:v>1</x:v>
      </x:c>
    </x:row>
    <x:row r="34" ht="24" customHeight="1">
      <x:c r="A34" s="451" t="n">
        <x:v>30</x:v>
      </x:c>
      <x:c r="B34" s="451" t="str">
        <x:v>100 líderes globales</x:v>
      </x:c>
      <x:c r="C34" s="451" t="str">
        <x:v>Virginia Tech</x:v>
      </x:c>
      <x:c r="D34" s="451" t="str">
        <x:v>Estados Unidos</x:v>
      </x:c>
      <x:c r="E34" s="451" t="str">
        <x:v>Norteamérica</x:v>
      </x:c>
      <x:c r="F34" s="451" t="str">
        <x:v>B</x:v>
      </x:c>
      <x:c r="G34" s="451" t="n">
        <x:v>12</x:v>
      </x:c>
      <x:c r="H34" s="451" t="n">
        <x:v>0</x:v>
      </x:c>
      <x:c r="I34" s="451" t="n">
        <x:v>1</x:v>
      </x:c>
      <x:c r="J34" s="451" t="n">
        <x:v>1</x:v>
      </x:c>
      <x:c r="K34" s="451" t="n">
        <x:v>1</x:v>
      </x:c>
      <x:c r="L34" s="451" t="n">
        <x:v>1</x:v>
      </x:c>
      <x:c r="M34" s="451" t="n">
        <x:v>1</x:v>
      </x:c>
      <x:c r="N34" s="451" t="n">
        <x:v>1</x:v>
      </x:c>
      <x:c r="O34" s="451" t="n">
        <x:v>1</x:v>
      </x:c>
      <x:c r="P34" s="451" t="n">
        <x:v>1</x:v>
      </x:c>
      <x:c r="Q34" s="451" t="n">
        <x:v>1</x:v>
      </x:c>
      <x:c r="R34" s="451" t="n">
        <x:v>0</x:v>
      </x:c>
      <x:c r="S34" s="451" t="n">
        <x:v>1</x:v>
      </x:c>
      <x:c r="T34" s="451" t="n">
        <x:v>0</x:v>
      </x:c>
      <x:c r="U34" s="451" t="n">
        <x:v>1</x:v>
      </x:c>
      <x:c r="V34" s="451" t="n">
        <x:v>0</x:v>
      </x:c>
      <x:c r="W34" s="451" t="n">
        <x:v>0</x:v>
      </x:c>
      <x:c r="X34" s="451" t="n">
        <x:v>1</x:v>
      </x:c>
    </x:row>
    <x:row r="35" ht="24" customHeight="1">
      <x:c r="A35" s="451" t="n">
        <x:v>31</x:v>
      </x:c>
      <x:c r="B35" s="451" t="str">
        <x:v>100 líderes globales</x:v>
      </x:c>
      <x:c r="C35" s="451" t="str">
        <x:v>Pennsylvania State University</x:v>
      </x:c>
      <x:c r="D35" s="451" t="str">
        <x:v>Estados Unidos</x:v>
      </x:c>
      <x:c r="E35" s="451" t="str">
        <x:v>Norteamérica</x:v>
      </x:c>
      <x:c r="F35" s="451" t="str">
        <x:v>B</x:v>
      </x:c>
      <x:c r="G35" s="451" t="n">
        <x:v>11</x:v>
      </x:c>
      <x:c r="H35" s="451" t="n">
        <x:v>0</x:v>
      </x:c>
      <x:c r="I35" s="451" t="n">
        <x:v>1</x:v>
      </x:c>
      <x:c r="J35" s="451" t="n">
        <x:v>1</x:v>
      </x:c>
      <x:c r="K35" s="451" t="n">
        <x:v>1</x:v>
      </x:c>
      <x:c r="L35" s="451" t="n">
        <x:v>1</x:v>
      </x:c>
      <x:c r="M35" s="451" t="n">
        <x:v>1</x:v>
      </x:c>
      <x:c r="N35" s="451" t="n">
        <x:v>1</x:v>
      </x:c>
      <x:c r="O35" s="451" t="n">
        <x:v>1</x:v>
      </x:c>
      <x:c r="P35" s="451" t="n">
        <x:v>1</x:v>
      </x:c>
      <x:c r="Q35" s="451" t="n">
        <x:v>1</x:v>
      </x:c>
      <x:c r="R35" s="451" t="n">
        <x:v>0</x:v>
      </x:c>
      <x:c r="S35" s="451" t="n">
        <x:v>0</x:v>
      </x:c>
      <x:c r="T35" s="451" t="n">
        <x:v>0</x:v>
      </x:c>
      <x:c r="U35" s="451" t="n">
        <x:v>1</x:v>
      </x:c>
      <x:c r="V35" s="451" t="n">
        <x:v>0</x:v>
      </x:c>
      <x:c r="W35" s="451" t="n">
        <x:v>0</x:v>
      </x:c>
      <x:c r="X35" s="451" t="n">
        <x:v>1</x:v>
      </x:c>
    </x:row>
    <x:row r="36" ht="24" customHeight="1">
      <x:c r="A36" s="451" t="n">
        <x:v>32</x:v>
      </x:c>
      <x:c r="B36" s="451" t="str">
        <x:v>100 líderes globales</x:v>
      </x:c>
      <x:c r="C36" s="451" t="str">
        <x:v>Ohio State University</x:v>
      </x:c>
      <x:c r="D36" s="451" t="str">
        <x:v>Estados Unidos</x:v>
      </x:c>
      <x:c r="E36" s="451" t="str">
        <x:v>Norteamérica</x:v>
      </x:c>
      <x:c r="F36" s="451" t="str">
        <x:v>B</x:v>
      </x:c>
      <x:c r="G36" s="451" t="n">
        <x:v>10</x:v>
      </x:c>
      <x:c r="H36" s="451" t="n">
        <x:v>0</x:v>
      </x:c>
      <x:c r="I36" s="451" t="n">
        <x:v>1</x:v>
      </x:c>
      <x:c r="J36" s="451" t="n">
        <x:v>1</x:v>
      </x:c>
      <x:c r="K36" s="451" t="n">
        <x:v>1</x:v>
      </x:c>
      <x:c r="L36" s="451" t="n">
        <x:v>1</x:v>
      </x:c>
      <x:c r="M36" s="451" t="n">
        <x:v>1</x:v>
      </x:c>
      <x:c r="N36" s="451" t="n">
        <x:v>1</x:v>
      </x:c>
      <x:c r="O36" s="451" t="n">
        <x:v>1</x:v>
      </x:c>
      <x:c r="P36" s="451" t="n">
        <x:v>1</x:v>
      </x:c>
      <x:c r="Q36" s="451" t="n">
        <x:v>1</x:v>
      </x:c>
      <x:c r="R36" s="451" t="n">
        <x:v>0</x:v>
      </x:c>
      <x:c r="S36" s="451" t="n">
        <x:v>0</x:v>
      </x:c>
      <x:c r="T36" s="451" t="n">
        <x:v>0</x:v>
      </x:c>
      <x:c r="U36" s="451" t="n">
        <x:v>0</x:v>
      </x:c>
      <x:c r="V36" s="451" t="n">
        <x:v>0</x:v>
      </x:c>
      <x:c r="W36" s="451" t="n">
        <x:v>0</x:v>
      </x:c>
      <x:c r="X36" s="451" t="n">
        <x:v>1</x:v>
      </x:c>
    </x:row>
    <x:row r="37" ht="24" customHeight="1">
      <x:c r="A37" s="451" t="n">
        <x:v>33</x:v>
      </x:c>
      <x:c r="B37" s="451" t="str">
        <x:v>100 líderes globales</x:v>
      </x:c>
      <x:c r="C37" s="451" t="str">
        <x:v>University of Minnesota Twin Cities</x:v>
      </x:c>
      <x:c r="D37" s="451" t="str">
        <x:v>Estados Unidos</x:v>
      </x:c>
      <x:c r="E37" s="451" t="str">
        <x:v>Norteamérica</x:v>
      </x:c>
      <x:c r="F37" s="451" t="str">
        <x:v>B</x:v>
      </x:c>
      <x:c r="G37" s="451" t="n">
        <x:v>11</x:v>
      </x:c>
      <x:c r="H37" s="451" t="n">
        <x:v>0</x:v>
      </x:c>
      <x:c r="I37" s="451" t="n">
        <x:v>1</x:v>
      </x:c>
      <x:c r="J37" s="451" t="n">
        <x:v>1</x:v>
      </x:c>
      <x:c r="K37" s="451" t="n">
        <x:v>1</x:v>
      </x:c>
      <x:c r="L37" s="451" t="n">
        <x:v>1</x:v>
      </x:c>
      <x:c r="M37" s="451" t="n">
        <x:v>1</x:v>
      </x:c>
      <x:c r="N37" s="451" t="n">
        <x:v>1</x:v>
      </x:c>
      <x:c r="O37" s="451" t="n">
        <x:v>1</x:v>
      </x:c>
      <x:c r="P37" s="451" t="n">
        <x:v>1</x:v>
      </x:c>
      <x:c r="Q37" s="451" t="n">
        <x:v>1</x:v>
      </x:c>
      <x:c r="R37" s="451" t="n">
        <x:v>0</x:v>
      </x:c>
      <x:c r="S37" s="451" t="n">
        <x:v>0</x:v>
      </x:c>
      <x:c r="T37" s="451" t="n">
        <x:v>0</x:v>
      </x:c>
      <x:c r="U37" s="451" t="n">
        <x:v>0</x:v>
      </x:c>
      <x:c r="V37" s="451" t="n">
        <x:v>1</x:v>
      </x:c>
      <x:c r="W37" s="451" t="n">
        <x:v>0</x:v>
      </x:c>
      <x:c r="X37" s="451" t="n">
        <x:v>1</x:v>
      </x:c>
    </x:row>
    <x:row r="38" ht="24" customHeight="1">
      <x:c r="A38" s="451" t="n">
        <x:v>34</x:v>
      </x:c>
      <x:c r="B38" s="451" t="str">
        <x:v>100 líderes globales</x:v>
      </x:c>
      <x:c r="C38" s="451" t="str">
        <x:v>Texas A&amp;M University</x:v>
      </x:c>
      <x:c r="D38" s="451" t="str">
        <x:v>Estados Unidos</x:v>
      </x:c>
      <x:c r="E38" s="451" t="str">
        <x:v>Norteamérica</x:v>
      </x:c>
      <x:c r="F38" s="451" t="str">
        <x:v>B</x:v>
      </x:c>
      <x:c r="G38" s="451" t="n">
        <x:v>11</x:v>
      </x:c>
      <x:c r="H38" s="451" t="n">
        <x:v>0</x:v>
      </x:c>
      <x:c r="I38" s="451" t="n">
        <x:v>1</x:v>
      </x:c>
      <x:c r="J38" s="451" t="n">
        <x:v>1</x:v>
      </x:c>
      <x:c r="K38" s="451" t="n">
        <x:v>1</x:v>
      </x:c>
      <x:c r="L38" s="451" t="n">
        <x:v>1</x:v>
      </x:c>
      <x:c r="M38" s="451" t="n">
        <x:v>1</x:v>
      </x:c>
      <x:c r="N38" s="451" t="n">
        <x:v>1</x:v>
      </x:c>
      <x:c r="O38" s="451" t="n">
        <x:v>1</x:v>
      </x:c>
      <x:c r="P38" s="451" t="n">
        <x:v>1</x:v>
      </x:c>
      <x:c r="Q38" s="451" t="n">
        <x:v>1</x:v>
      </x:c>
      <x:c r="R38" s="451" t="n">
        <x:v>0</x:v>
      </x:c>
      <x:c r="S38" s="451" t="n">
        <x:v>0</x:v>
      </x:c>
      <x:c r="T38" s="451" t="n">
        <x:v>0</x:v>
      </x:c>
      <x:c r="U38" s="451" t="n">
        <x:v>1</x:v>
      </x:c>
      <x:c r="V38" s="451" t="n">
        <x:v>0</x:v>
      </x:c>
      <x:c r="W38" s="451" t="n">
        <x:v>0</x:v>
      </x:c>
      <x:c r="X38" s="451" t="n">
        <x:v>1</x:v>
      </x:c>
    </x:row>
    <x:row r="39" ht="24" customHeight="1">
      <x:c r="A39" s="451" t="n">
        <x:v>35</x:v>
      </x:c>
      <x:c r="B39" s="451" t="str">
        <x:v>100 líderes globales</x:v>
      </x:c>
      <x:c r="C39" s="451" t="str">
        <x:v>University of Toronto</x:v>
      </x:c>
      <x:c r="D39" s="451" t="str">
        <x:v>Canadá</x:v>
      </x:c>
      <x:c r="E39" s="451" t="str">
        <x:v>Norteamérica</x:v>
      </x:c>
      <x:c r="F39" s="451" t="str">
        <x:v>B</x:v>
      </x:c>
      <x:c r="G39" s="451" t="n">
        <x:v>13</x:v>
      </x:c>
      <x:c r="H39" s="451" t="n">
        <x:v>0</x:v>
      </x:c>
      <x:c r="I39" s="451" t="n">
        <x:v>1</x:v>
      </x:c>
      <x:c r="J39" s="451" t="n">
        <x:v>1</x:v>
      </x:c>
      <x:c r="K39" s="451" t="n">
        <x:v>1</x:v>
      </x:c>
      <x:c r="L39" s="451" t="n">
        <x:v>1</x:v>
      </x:c>
      <x:c r="M39" s="451" t="n">
        <x:v>1</x:v>
      </x:c>
      <x:c r="N39" s="451" t="n">
        <x:v>1</x:v>
      </x:c>
      <x:c r="O39" s="451" t="n">
        <x:v>1</x:v>
      </x:c>
      <x:c r="P39" s="451" t="n">
        <x:v>1</x:v>
      </x:c>
      <x:c r="Q39" s="451" t="n">
        <x:v>1</x:v>
      </x:c>
      <x:c r="R39" s="451" t="n">
        <x:v>0</x:v>
      </x:c>
      <x:c r="S39" s="451" t="n">
        <x:v>1</x:v>
      </x:c>
      <x:c r="T39" s="451" t="n">
        <x:v>0</x:v>
      </x:c>
      <x:c r="U39" s="451" t="n">
        <x:v>0</x:v>
      </x:c>
      <x:c r="V39" s="451" t="n">
        <x:v>1</x:v>
      </x:c>
      <x:c r="W39" s="451" t="n">
        <x:v>1</x:v>
      </x:c>
      <x:c r="X39" s="451" t="n">
        <x:v>1</x:v>
      </x:c>
    </x:row>
    <x:row r="40" ht="24" customHeight="1">
      <x:c r="A40" s="451" t="n">
        <x:v>36</x:v>
      </x:c>
      <x:c r="B40" s="451" t="str">
        <x:v>100 líderes globales</x:v>
      </x:c>
      <x:c r="C40" s="451" t="str">
        <x:v>University of Waterloo</x:v>
      </x:c>
      <x:c r="D40" s="451" t="str">
        <x:v>Canadá</x:v>
      </x:c>
      <x:c r="E40" s="451" t="str">
        <x:v>Norteamérica</x:v>
      </x:c>
      <x:c r="F40" s="451" t="str">
        <x:v>B</x:v>
      </x:c>
      <x:c r="G40" s="451" t="n">
        <x:v>13</x:v>
      </x:c>
      <x:c r="H40" s="451" t="n">
        <x:v>0</x:v>
      </x:c>
      <x:c r="I40" s="451" t="n">
        <x:v>1</x:v>
      </x:c>
      <x:c r="J40" s="451" t="n">
        <x:v>1</x:v>
      </x:c>
      <x:c r="K40" s="451" t="n">
        <x:v>1</x:v>
      </x:c>
      <x:c r="L40" s="451" t="n">
        <x:v>1</x:v>
      </x:c>
      <x:c r="M40" s="451" t="n">
        <x:v>1</x:v>
      </x:c>
      <x:c r="N40" s="451" t="n">
        <x:v>1</x:v>
      </x:c>
      <x:c r="O40" s="451" t="n">
        <x:v>1</x:v>
      </x:c>
      <x:c r="P40" s="451" t="n">
        <x:v>1</x:v>
      </x:c>
      <x:c r="Q40" s="451" t="n">
        <x:v>1</x:v>
      </x:c>
      <x:c r="R40" s="451" t="n">
        <x:v>0</x:v>
      </x:c>
      <x:c r="S40" s="451" t="n">
        <x:v>1</x:v>
      </x:c>
      <x:c r="T40" s="451" t="n">
        <x:v>0</x:v>
      </x:c>
      <x:c r="U40" s="451" t="n">
        <x:v>0</x:v>
      </x:c>
      <x:c r="V40" s="451" t="n">
        <x:v>1</x:v>
      </x:c>
      <x:c r="W40" s="451" t="n">
        <x:v>1</x:v>
      </x:c>
      <x:c r="X40" s="451" t="n">
        <x:v>1</x:v>
      </x:c>
    </x:row>
    <x:row r="41" ht="24" customHeight="1">
      <x:c r="A41" s="451" t="n">
        <x:v>37</x:v>
      </x:c>
      <x:c r="B41" s="451" t="str">
        <x:v>100 líderes globales</x:v>
      </x:c>
      <x:c r="C41" s="451" t="str">
        <x:v>University of British Columbia</x:v>
      </x:c>
      <x:c r="D41" s="451" t="str">
        <x:v>Canadá</x:v>
      </x:c>
      <x:c r="E41" s="451" t="str">
        <x:v>Norteamérica</x:v>
      </x:c>
      <x:c r="F41" s="451" t="str">
        <x:v>B</x:v>
      </x:c>
      <x:c r="G41" s="451" t="n">
        <x:v>13</x:v>
      </x:c>
      <x:c r="H41" s="451" t="n">
        <x:v>0</x:v>
      </x:c>
      <x:c r="I41" s="451" t="n">
        <x:v>1</x:v>
      </x:c>
      <x:c r="J41" s="451" t="n">
        <x:v>1</x:v>
      </x:c>
      <x:c r="K41" s="451" t="n">
        <x:v>1</x:v>
      </x:c>
      <x:c r="L41" s="451" t="n">
        <x:v>1</x:v>
      </x:c>
      <x:c r="M41" s="451" t="n">
        <x:v>1</x:v>
      </x:c>
      <x:c r="N41" s="451" t="n">
        <x:v>1</x:v>
      </x:c>
      <x:c r="O41" s="451" t="n">
        <x:v>1</x:v>
      </x:c>
      <x:c r="P41" s="451" t="n">
        <x:v>1</x:v>
      </x:c>
      <x:c r="Q41" s="451" t="n">
        <x:v>1</x:v>
      </x:c>
      <x:c r="R41" s="451" t="n">
        <x:v>0</x:v>
      </x:c>
      <x:c r="S41" s="451" t="n">
        <x:v>1</x:v>
      </x:c>
      <x:c r="T41" s="451" t="n">
        <x:v>0</x:v>
      </x:c>
      <x:c r="U41" s="451" t="n">
        <x:v>0</x:v>
      </x:c>
      <x:c r="V41" s="451" t="n">
        <x:v>1</x:v>
      </x:c>
      <x:c r="W41" s="451" t="n">
        <x:v>1</x:v>
      </x:c>
      <x:c r="X41" s="451" t="n">
        <x:v>1</x:v>
      </x:c>
    </x:row>
    <x:row r="42" ht="24" customHeight="1">
      <x:c r="A42" s="451" t="n">
        <x:v>38</x:v>
      </x:c>
      <x:c r="B42" s="451" t="str">
        <x:v>100 líderes globales</x:v>
      </x:c>
      <x:c r="C42" s="451" t="str">
        <x:v>McGill University</x:v>
      </x:c>
      <x:c r="D42" s="451" t="str">
        <x:v>Canadá</x:v>
      </x:c>
      <x:c r="E42" s="451" t="str">
        <x:v>Norteamérica</x:v>
      </x:c>
      <x:c r="F42" s="451" t="str">
        <x:v>B</x:v>
      </x:c>
      <x:c r="G42" s="451" t="n">
        <x:v>12</x:v>
      </x:c>
      <x:c r="H42" s="451" t="n">
        <x:v>0</x:v>
      </x:c>
      <x:c r="I42" s="451" t="n">
        <x:v>1</x:v>
      </x:c>
      <x:c r="J42" s="451" t="n">
        <x:v>1</x:v>
      </x:c>
      <x:c r="K42" s="451" t="n">
        <x:v>1</x:v>
      </x:c>
      <x:c r="L42" s="451" t="n">
        <x:v>1</x:v>
      </x:c>
      <x:c r="M42" s="451" t="n">
        <x:v>1</x:v>
      </x:c>
      <x:c r="N42" s="451" t="n">
        <x:v>1</x:v>
      </x:c>
      <x:c r="O42" s="451" t="n">
        <x:v>1</x:v>
      </x:c>
      <x:c r="P42" s="451" t="n">
        <x:v>1</x:v>
      </x:c>
      <x:c r="Q42" s="451" t="n">
        <x:v>1</x:v>
      </x:c>
      <x:c r="R42" s="451" t="n">
        <x:v>0</x:v>
      </x:c>
      <x:c r="S42" s="451" t="n">
        <x:v>0</x:v>
      </x:c>
      <x:c r="T42" s="451" t="n">
        <x:v>0</x:v>
      </x:c>
      <x:c r="U42" s="451" t="n">
        <x:v>0</x:v>
      </x:c>
      <x:c r="V42" s="451" t="n">
        <x:v>1</x:v>
      </x:c>
      <x:c r="W42" s="451" t="n">
        <x:v>1</x:v>
      </x:c>
      <x:c r="X42" s="451" t="n">
        <x:v>1</x:v>
      </x:c>
    </x:row>
    <x:row r="43" ht="24" customHeight="1">
      <x:c r="A43" s="451" t="n">
        <x:v>39</x:v>
      </x:c>
      <x:c r="B43" s="451" t="str">
        <x:v>100 líderes globales</x:v>
      </x:c>
      <x:c r="C43" s="451" t="str">
        <x:v>University of Alberta</x:v>
      </x:c>
      <x:c r="D43" s="451" t="str">
        <x:v>Canadá</x:v>
      </x:c>
      <x:c r="E43" s="451" t="str">
        <x:v>Norteamérica</x:v>
      </x:c>
      <x:c r="F43" s="451" t="str">
        <x:v>B</x:v>
      </x:c>
      <x:c r="G43" s="451" t="n">
        <x:v>11</x:v>
      </x:c>
      <x:c r="H43" s="451" t="n">
        <x:v>0</x:v>
      </x:c>
      <x:c r="I43" s="451" t="n">
        <x:v>1</x:v>
      </x:c>
      <x:c r="J43" s="451" t="n">
        <x:v>1</x:v>
      </x:c>
      <x:c r="K43" s="451" t="n">
        <x:v>1</x:v>
      </x:c>
      <x:c r="L43" s="451" t="n">
        <x:v>1</x:v>
      </x:c>
      <x:c r="M43" s="451" t="n">
        <x:v>1</x:v>
      </x:c>
      <x:c r="N43" s="451" t="n">
        <x:v>1</x:v>
      </x:c>
      <x:c r="O43" s="451" t="n">
        <x:v>1</x:v>
      </x:c>
      <x:c r="P43" s="451" t="n">
        <x:v>1</x:v>
      </x:c>
      <x:c r="Q43" s="451" t="n">
        <x:v>1</x:v>
      </x:c>
      <x:c r="R43" s="451" t="n">
        <x:v>0</x:v>
      </x:c>
      <x:c r="S43" s="451" t="n">
        <x:v>0</x:v>
      </x:c>
      <x:c r="T43" s="451" t="n">
        <x:v>0</x:v>
      </x:c>
      <x:c r="U43" s="451" t="n">
        <x:v>0</x:v>
      </x:c>
      <x:c r="V43" s="451" t="n">
        <x:v>1</x:v>
      </x:c>
      <x:c r="W43" s="451" t="n">
        <x:v>0</x:v>
      </x:c>
      <x:c r="X43" s="451" t="n">
        <x:v>1</x:v>
      </x:c>
    </x:row>
    <x:row r="44" ht="24" customHeight="1">
      <x:c r="A44" s="451" t="n">
        <x:v>40</x:v>
      </x:c>
      <x:c r="B44" s="451" t="str">
        <x:v>100 líderes globales</x:v>
      </x:c>
      <x:c r="C44" s="451" t="str">
        <x:v>Université de Montréal</x:v>
      </x:c>
      <x:c r="D44" s="451" t="str">
        <x:v>Canadá</x:v>
      </x:c>
      <x:c r="E44" s="451" t="str">
        <x:v>Norteamérica</x:v>
      </x:c>
      <x:c r="F44" s="451" t="str">
        <x:v>B</x:v>
      </x:c>
      <x:c r="G44" s="451" t="n">
        <x:v>10</x:v>
      </x:c>
      <x:c r="H44" s="451" t="n">
        <x:v>0</x:v>
      </x:c>
      <x:c r="I44" s="451" t="n">
        <x:v>1</x:v>
      </x:c>
      <x:c r="J44" s="451" t="n">
        <x:v>1</x:v>
      </x:c>
      <x:c r="K44" s="451" t="n">
        <x:v>1</x:v>
      </x:c>
      <x:c r="L44" s="451" t="n">
        <x:v>1</x:v>
      </x:c>
      <x:c r="M44" s="451" t="n">
        <x:v>1</x:v>
      </x:c>
      <x:c r="N44" s="451" t="n">
        <x:v>0</x:v>
      </x:c>
      <x:c r="O44" s="451" t="n">
        <x:v>1</x:v>
      </x:c>
      <x:c r="P44" s="451" t="n">
        <x:v>0</x:v>
      </x:c>
      <x:c r="Q44" s="451" t="n">
        <x:v>1</x:v>
      </x:c>
      <x:c r="R44" s="451" t="n">
        <x:v>0</x:v>
      </x:c>
      <x:c r="S44" s="451" t="n">
        <x:v>0</x:v>
      </x:c>
      <x:c r="T44" s="451" t="n">
        <x:v>0</x:v>
      </x:c>
      <x:c r="U44" s="451" t="n">
        <x:v>0</x:v>
      </x:c>
      <x:c r="V44" s="451" t="n">
        <x:v>1</x:v>
      </x:c>
      <x:c r="W44" s="451" t="n">
        <x:v>1</x:v>
      </x:c>
      <x:c r="X44" s="451" t="n">
        <x:v>1</x:v>
      </x:c>
    </x:row>
    <x:row r="45" ht="24" customHeight="1">
      <x:c r="A45" s="451" t="n">
        <x:v>41</x:v>
      </x:c>
      <x:c r="B45" s="451" t="str">
        <x:v>100 líderes globales</x:v>
      </x:c>
      <x:c r="C45" s="451" t="str">
        <x:v>Simon Fraser University</x:v>
      </x:c>
      <x:c r="D45" s="451" t="str">
        <x:v>Canadá</x:v>
      </x:c>
      <x:c r="E45" s="451" t="str">
        <x:v>Norteamérica</x:v>
      </x:c>
      <x:c r="F45" s="451" t="str">
        <x:v>B</x:v>
      </x:c>
      <x:c r="G45" s="451" t="n">
        <x:v>12</x:v>
      </x:c>
      <x:c r="H45" s="451" t="n">
        <x:v>0</x:v>
      </x:c>
      <x:c r="I45" s="451" t="n">
        <x:v>1</x:v>
      </x:c>
      <x:c r="J45" s="451" t="n">
        <x:v>1</x:v>
      </x:c>
      <x:c r="K45" s="451" t="n">
        <x:v>1</x:v>
      </x:c>
      <x:c r="L45" s="451" t="n">
        <x:v>1</x:v>
      </x:c>
      <x:c r="M45" s="451" t="n">
        <x:v>1</x:v>
      </x:c>
      <x:c r="N45" s="451" t="n">
        <x:v>1</x:v>
      </x:c>
      <x:c r="O45" s="451" t="n">
        <x:v>1</x:v>
      </x:c>
      <x:c r="P45" s="451" t="n">
        <x:v>0</x:v>
      </x:c>
      <x:c r="Q45" s="451" t="n">
        <x:v>0</x:v>
      </x:c>
      <x:c r="R45" s="451" t="n">
        <x:v>0</x:v>
      </x:c>
      <x:c r="S45" s="451" t="n">
        <x:v>1</x:v>
      </x:c>
      <x:c r="T45" s="451" t="n">
        <x:v>1</x:v>
      </x:c>
      <x:c r="U45" s="451" t="n">
        <x:v>1</x:v>
      </x:c>
      <x:c r="V45" s="451" t="n">
        <x:v>1</x:v>
      </x:c>
      <x:c r="W45" s="451" t="n">
        <x:v>0</x:v>
      </x:c>
      <x:c r="X45" s="451" t="n">
        <x:v>1</x:v>
      </x:c>
    </x:row>
    <x:row r="46" ht="24" customHeight="1">
      <x:c r="A46" s="451" t="n">
        <x:v>42</x:v>
      </x:c>
      <x:c r="B46" s="451" t="str">
        <x:v>100 líderes globales</x:v>
      </x:c>
      <x:c r="C46" s="451" t="str">
        <x:v>University of Oxford</x:v>
      </x:c>
      <x:c r="D46" s="451" t="str">
        <x:v>Reino Unido</x:v>
      </x:c>
      <x:c r="E46" s="451" t="str">
        <x:v>Europa</x:v>
      </x:c>
      <x:c r="F46" s="451" t="str">
        <x:v>A</x:v>
      </x:c>
      <x:c r="G46" s="451" t="n">
        <x:v>11</x:v>
      </x:c>
      <x:c r="H46" s="451" t="n">
        <x:v>0</x:v>
      </x:c>
      <x:c r="I46" s="451" t="n">
        <x:v>1</x:v>
      </x:c>
      <x:c r="J46" s="451" t="n">
        <x:v>1</x:v>
      </x:c>
      <x:c r="K46" s="451" t="n">
        <x:v>1</x:v>
      </x:c>
      <x:c r="L46" s="451" t="n">
        <x:v>1</x:v>
      </x:c>
      <x:c r="M46" s="451" t="n">
        <x:v>1</x:v>
      </x:c>
      <x:c r="N46" s="451" t="n">
        <x:v>1</x:v>
      </x:c>
      <x:c r="O46" s="451" t="n">
        <x:v>1</x:v>
      </x:c>
      <x:c r="P46" s="451" t="n">
        <x:v>0</x:v>
      </x:c>
      <x:c r="Q46" s="451" t="n">
        <x:v>1</x:v>
      </x:c>
      <x:c r="R46" s="451" t="n">
        <x:v>0</x:v>
      </x:c>
      <x:c r="S46" s="451" t="n">
        <x:v>0</x:v>
      </x:c>
      <x:c r="T46" s="451" t="n">
        <x:v>0</x:v>
      </x:c>
      <x:c r="U46" s="451" t="n">
        <x:v>0</x:v>
      </x:c>
      <x:c r="V46" s="451" t="n">
        <x:v>1</x:v>
      </x:c>
      <x:c r="W46" s="451" t="n">
        <x:v>1</x:v>
      </x:c>
      <x:c r="X46" s="451" t="n">
        <x:v>1</x:v>
      </x:c>
    </x:row>
    <x:row r="47" ht="24" customHeight="1">
      <x:c r="A47" s="451" t="n">
        <x:v>43</x:v>
      </x:c>
      <x:c r="B47" s="451" t="str">
        <x:v>100 líderes globales</x:v>
      </x:c>
      <x:c r="C47" s="451" t="str">
        <x:v>University of Cambridge</x:v>
      </x:c>
      <x:c r="D47" s="451" t="str">
        <x:v>Reino Unido</x:v>
      </x:c>
      <x:c r="E47" s="451" t="str">
        <x:v>Europa</x:v>
      </x:c>
      <x:c r="F47" s="451" t="str">
        <x:v>A</x:v>
      </x:c>
      <x:c r="G47" s="451" t="n">
        <x:v>13</x:v>
      </x:c>
      <x:c r="H47" s="451" t="n">
        <x:v>0</x:v>
      </x:c>
      <x:c r="I47" s="451" t="n">
        <x:v>1</x:v>
      </x:c>
      <x:c r="J47" s="451" t="n">
        <x:v>1</x:v>
      </x:c>
      <x:c r="K47" s="451" t="n">
        <x:v>1</x:v>
      </x:c>
      <x:c r="L47" s="451" t="n">
        <x:v>1</x:v>
      </x:c>
      <x:c r="M47" s="451" t="n">
        <x:v>1</x:v>
      </x:c>
      <x:c r="N47" s="451" t="n">
        <x:v>1</x:v>
      </x:c>
      <x:c r="O47" s="451" t="n">
        <x:v>1</x:v>
      </x:c>
      <x:c r="P47" s="451" t="n">
        <x:v>1</x:v>
      </x:c>
      <x:c r="Q47" s="451" t="n">
        <x:v>1</x:v>
      </x:c>
      <x:c r="R47" s="451" t="n">
        <x:v>0</x:v>
      </x:c>
      <x:c r="S47" s="451" t="n">
        <x:v>1</x:v>
      </x:c>
      <x:c r="T47" s="451" t="n">
        <x:v>0</x:v>
      </x:c>
      <x:c r="U47" s="451" t="n">
        <x:v>0</x:v>
      </x:c>
      <x:c r="V47" s="451" t="n">
        <x:v>1</x:v>
      </x:c>
      <x:c r="W47" s="451" t="n">
        <x:v>1</x:v>
      </x:c>
      <x:c r="X47" s="451" t="n">
        <x:v>1</x:v>
      </x:c>
    </x:row>
    <x:row r="48" ht="24" customHeight="1">
      <x:c r="A48" s="451" t="n">
        <x:v>44</x:v>
      </x:c>
      <x:c r="B48" s="451" t="str">
        <x:v>100 líderes globales</x:v>
      </x:c>
      <x:c r="C48" s="451" t="str">
        <x:v>Imperial College London</x:v>
      </x:c>
      <x:c r="D48" s="451" t="str">
        <x:v>Reino Unido</x:v>
      </x:c>
      <x:c r="E48" s="451" t="str">
        <x:v>Europa</x:v>
      </x:c>
      <x:c r="F48" s="451" t="str">
        <x:v>A</x:v>
      </x:c>
      <x:c r="G48" s="451" t="n">
        <x:v>13</x:v>
      </x:c>
      <x:c r="H48" s="451" t="n">
        <x:v>0</x:v>
      </x:c>
      <x:c r="I48" s="451" t="n">
        <x:v>1</x:v>
      </x:c>
      <x:c r="J48" s="451" t="n">
        <x:v>1</x:v>
      </x:c>
      <x:c r="K48" s="451" t="n">
        <x:v>1</x:v>
      </x:c>
      <x:c r="L48" s="451" t="n">
        <x:v>1</x:v>
      </x:c>
      <x:c r="M48" s="451" t="n">
        <x:v>1</x:v>
      </x:c>
      <x:c r="N48" s="451" t="n">
        <x:v>1</x:v>
      </x:c>
      <x:c r="O48" s="451" t="n">
        <x:v>1</x:v>
      </x:c>
      <x:c r="P48" s="451" t="n">
        <x:v>1</x:v>
      </x:c>
      <x:c r="Q48" s="451" t="n">
        <x:v>1</x:v>
      </x:c>
      <x:c r="R48" s="451" t="n">
        <x:v>0</x:v>
      </x:c>
      <x:c r="S48" s="451" t="n">
        <x:v>1</x:v>
      </x:c>
      <x:c r="T48" s="451" t="n">
        <x:v>0</x:v>
      </x:c>
      <x:c r="U48" s="451" t="n">
        <x:v>0</x:v>
      </x:c>
      <x:c r="V48" s="451" t="n">
        <x:v>1</x:v>
      </x:c>
      <x:c r="W48" s="451" t="n">
        <x:v>1</x:v>
      </x:c>
      <x:c r="X48" s="451" t="n">
        <x:v>1</x:v>
      </x:c>
    </x:row>
    <x:row r="49" ht="24" customHeight="1">
      <x:c r="A49" s="451" t="n">
        <x:v>45</x:v>
      </x:c>
      <x:c r="B49" s="451" t="str">
        <x:v>100 líderes globales</x:v>
      </x:c>
      <x:c r="C49" s="451" t="str">
        <x:v>University College London</x:v>
      </x:c>
      <x:c r="D49" s="451" t="str">
        <x:v>Reino Unido</x:v>
      </x:c>
      <x:c r="E49" s="451" t="str">
        <x:v>Europa</x:v>
      </x:c>
      <x:c r="F49" s="451" t="str">
        <x:v>B</x:v>
      </x:c>
      <x:c r="G49" s="451" t="n">
        <x:v>14</x:v>
      </x:c>
      <x:c r="H49" s="451" t="n">
        <x:v>0</x:v>
      </x:c>
      <x:c r="I49" s="451" t="n">
        <x:v>1</x:v>
      </x:c>
      <x:c r="J49" s="451" t="n">
        <x:v>1</x:v>
      </x:c>
      <x:c r="K49" s="451" t="n">
        <x:v>1</x:v>
      </x:c>
      <x:c r="L49" s="451" t="n">
        <x:v>1</x:v>
      </x:c>
      <x:c r="M49" s="451" t="n">
        <x:v>1</x:v>
      </x:c>
      <x:c r="N49" s="451" t="n">
        <x:v>1</x:v>
      </x:c>
      <x:c r="O49" s="451" t="n">
        <x:v>1</x:v>
      </x:c>
      <x:c r="P49" s="451" t="n">
        <x:v>1</x:v>
      </x:c>
      <x:c r="Q49" s="451" t="n">
        <x:v>1</x:v>
      </x:c>
      <x:c r="R49" s="451" t="n">
        <x:v>0</x:v>
      </x:c>
      <x:c r="S49" s="451" t="n">
        <x:v>1</x:v>
      </x:c>
      <x:c r="T49" s="451" t="n">
        <x:v>0</x:v>
      </x:c>
      <x:c r="U49" s="451" t="n">
        <x:v>1</x:v>
      </x:c>
      <x:c r="V49" s="451" t="n">
        <x:v>1</x:v>
      </x:c>
      <x:c r="W49" s="451" t="n">
        <x:v>1</x:v>
      </x:c>
      <x:c r="X49" s="451" t="n">
        <x:v>1</x:v>
      </x:c>
    </x:row>
    <x:row r="50" ht="24" customHeight="1">
      <x:c r="A50" s="451" t="n">
        <x:v>46</x:v>
      </x:c>
      <x:c r="B50" s="451" t="str">
        <x:v>100 líderes globales</x:v>
      </x:c>
      <x:c r="C50" s="451" t="str">
        <x:v>University of Edinburgh</x:v>
      </x:c>
      <x:c r="D50" s="451" t="str">
        <x:v>Reino Unido</x:v>
      </x:c>
      <x:c r="E50" s="451" t="str">
        <x:v>Europa</x:v>
      </x:c>
      <x:c r="F50" s="451" t="str">
        <x:v>B</x:v>
      </x:c>
      <x:c r="G50" s="451" t="n">
        <x:v>13</x:v>
      </x:c>
      <x:c r="H50" s="451" t="n">
        <x:v>0</x:v>
      </x:c>
      <x:c r="I50" s="451" t="n">
        <x:v>1</x:v>
      </x:c>
      <x:c r="J50" s="451" t="n">
        <x:v>1</x:v>
      </x:c>
      <x:c r="K50" s="451" t="n">
        <x:v>1</x:v>
      </x:c>
      <x:c r="L50" s="451" t="n">
        <x:v>1</x:v>
      </x:c>
      <x:c r="M50" s="451" t="n">
        <x:v>1</x:v>
      </x:c>
      <x:c r="N50" s="451" t="n">
        <x:v>1</x:v>
      </x:c>
      <x:c r="O50" s="451" t="n">
        <x:v>1</x:v>
      </x:c>
      <x:c r="P50" s="451" t="n">
        <x:v>0</x:v>
      </x:c>
      <x:c r="Q50" s="451" t="n">
        <x:v>1</x:v>
      </x:c>
      <x:c r="R50" s="451" t="n">
        <x:v>0</x:v>
      </x:c>
      <x:c r="S50" s="451" t="n">
        <x:v>1</x:v>
      </x:c>
      <x:c r="T50" s="451" t="n">
        <x:v>0</x:v>
      </x:c>
      <x:c r="U50" s="451" t="n">
        <x:v>1</x:v>
      </x:c>
      <x:c r="V50" s="451" t="n">
        <x:v>1</x:v>
      </x:c>
      <x:c r="W50" s="451" t="n">
        <x:v>1</x:v>
      </x:c>
      <x:c r="X50" s="451" t="n">
        <x:v>1</x:v>
      </x:c>
    </x:row>
    <x:row r="51" ht="24" customHeight="1">
      <x:c r="A51" s="451" t="n">
        <x:v>47</x:v>
      </x:c>
      <x:c r="B51" s="451" t="str">
        <x:v>100 líderes globales</x:v>
      </x:c>
      <x:c r="C51" s="451" t="str">
        <x:v>University of Manchester</x:v>
      </x:c>
      <x:c r="D51" s="451" t="str">
        <x:v>Reino Unido</x:v>
      </x:c>
      <x:c r="E51" s="451" t="str">
        <x:v>Europa</x:v>
      </x:c>
      <x:c r="F51" s="451" t="str">
        <x:v>B</x:v>
      </x:c>
      <x:c r="G51" s="451" t="n">
        <x:v>13</x:v>
      </x:c>
      <x:c r="H51" s="451" t="n">
        <x:v>0</x:v>
      </x:c>
      <x:c r="I51" s="451" t="n">
        <x:v>1</x:v>
      </x:c>
      <x:c r="J51" s="451" t="n">
        <x:v>1</x:v>
      </x:c>
      <x:c r="K51" s="451" t="n">
        <x:v>1</x:v>
      </x:c>
      <x:c r="L51" s="451" t="n">
        <x:v>1</x:v>
      </x:c>
      <x:c r="M51" s="451" t="n">
        <x:v>1</x:v>
      </x:c>
      <x:c r="N51" s="451" t="n">
        <x:v>1</x:v>
      </x:c>
      <x:c r="O51" s="451" t="n">
        <x:v>1</x:v>
      </x:c>
      <x:c r="P51" s="451" t="n">
        <x:v>1</x:v>
      </x:c>
      <x:c r="Q51" s="451" t="n">
        <x:v>1</x:v>
      </x:c>
      <x:c r="R51" s="451" t="n">
        <x:v>0</x:v>
      </x:c>
      <x:c r="S51" s="451" t="n">
        <x:v>1</x:v>
      </x:c>
      <x:c r="T51" s="451" t="n">
        <x:v>0</x:v>
      </x:c>
      <x:c r="U51" s="451" t="n">
        <x:v>0</x:v>
      </x:c>
      <x:c r="V51" s="451" t="n">
        <x:v>1</x:v>
      </x:c>
      <x:c r="W51" s="451" t="n">
        <x:v>1</x:v>
      </x:c>
      <x:c r="X51" s="451" t="n">
        <x:v>1</x:v>
      </x:c>
    </x:row>
    <x:row r="52" ht="24" customHeight="1">
      <x:c r="A52" s="451" t="n">
        <x:v>48</x:v>
      </x:c>
      <x:c r="B52" s="451" t="str">
        <x:v>100 líderes globales</x:v>
      </x:c>
      <x:c r="C52" s="451" t="str">
        <x:v>King's College London</x:v>
      </x:c>
      <x:c r="D52" s="451" t="str">
        <x:v>Reino Unido</x:v>
      </x:c>
      <x:c r="E52" s="451" t="str">
        <x:v>Europa</x:v>
      </x:c>
      <x:c r="F52" s="451" t="str">
        <x:v>B</x:v>
      </x:c>
      <x:c r="G52" s="451" t="n">
        <x:v>10</x:v>
      </x:c>
      <x:c r="H52" s="451" t="n">
        <x:v>0</x:v>
      </x:c>
      <x:c r="I52" s="451" t="n">
        <x:v>1</x:v>
      </x:c>
      <x:c r="J52" s="451" t="n">
        <x:v>1</x:v>
      </x:c>
      <x:c r="K52" s="451" t="n">
        <x:v>1</x:v>
      </x:c>
      <x:c r="L52" s="451" t="n">
        <x:v>1</x:v>
      </x:c>
      <x:c r="M52" s="451" t="n">
        <x:v>1</x:v>
      </x:c>
      <x:c r="N52" s="451" t="n">
        <x:v>1</x:v>
      </x:c>
      <x:c r="O52" s="451" t="n">
        <x:v>1</x:v>
      </x:c>
      <x:c r="P52" s="451" t="n">
        <x:v>0</x:v>
      </x:c>
      <x:c r="Q52" s="451" t="n">
        <x:v>1</x:v>
      </x:c>
      <x:c r="R52" s="451" t="n">
        <x:v>0</x:v>
      </x:c>
      <x:c r="S52" s="451" t="n">
        <x:v>0</x:v>
      </x:c>
      <x:c r="T52" s="451" t="n">
        <x:v>0</x:v>
      </x:c>
      <x:c r="U52" s="451" t="n">
        <x:v>0</x:v>
      </x:c>
      <x:c r="V52" s="451" t="n">
        <x:v>1</x:v>
      </x:c>
      <x:c r="W52" s="451" t="n">
        <x:v>0</x:v>
      </x:c>
      <x:c r="X52" s="451" t="n">
        <x:v>1</x:v>
      </x:c>
    </x:row>
    <x:row r="53" ht="24" customHeight="1">
      <x:c r="A53" s="451" t="n">
        <x:v>49</x:v>
      </x:c>
      <x:c r="B53" s="451" t="str">
        <x:v>100 líderes globales</x:v>
      </x:c>
      <x:c r="C53" s="451" t="str">
        <x:v>University of Warwick</x:v>
      </x:c>
      <x:c r="D53" s="451" t="str">
        <x:v>Reino Unido</x:v>
      </x:c>
      <x:c r="E53" s="451" t="str">
        <x:v>Europa</x:v>
      </x:c>
      <x:c r="F53" s="451" t="str">
        <x:v>B</x:v>
      </x:c>
      <x:c r="G53" s="451" t="n">
        <x:v>8</x:v>
      </x:c>
      <x:c r="H53" s="451" t="n">
        <x:v>0</x:v>
      </x:c>
      <x:c r="I53" s="451" t="n">
        <x:v>1</x:v>
      </x:c>
      <x:c r="J53" s="451" t="n">
        <x:v>1</x:v>
      </x:c>
      <x:c r="K53" s="451" t="n">
        <x:v>1</x:v>
      </x:c>
      <x:c r="L53" s="451" t="n">
        <x:v>1</x:v>
      </x:c>
      <x:c r="M53" s="451" t="n">
        <x:v>1</x:v>
      </x:c>
      <x:c r="N53" s="451" t="n">
        <x:v>1</x:v>
      </x:c>
      <x:c r="O53" s="451" t="n">
        <x:v>1</x:v>
      </x:c>
      <x:c r="P53" s="451" t="n">
        <x:v>0</x:v>
      </x:c>
      <x:c r="Q53" s="451" t="n">
        <x:v>0</x:v>
      </x:c>
      <x:c r="R53" s="451" t="n">
        <x:v>0</x:v>
      </x:c>
      <x:c r="S53" s="451" t="n">
        <x:v>0</x:v>
      </x:c>
      <x:c r="T53" s="451" t="n">
        <x:v>0</x:v>
      </x:c>
      <x:c r="U53" s="451" t="n">
        <x:v>0</x:v>
      </x:c>
      <x:c r="V53" s="451" t="n">
        <x:v>0</x:v>
      </x:c>
      <x:c r="W53" s="451" t="n">
        <x:v>0</x:v>
      </x:c>
      <x:c r="X53" s="451" t="n">
        <x:v>1</x:v>
      </x:c>
    </x:row>
    <x:row r="54" ht="24" customHeight="1">
      <x:c r="A54" s="451" t="n">
        <x:v>50</x:v>
      </x:c>
      <x:c r="B54" s="451" t="str">
        <x:v>100 líderes globales</x:v>
      </x:c>
      <x:c r="C54" s="451" t="str">
        <x:v>University of Southampton</x:v>
      </x:c>
      <x:c r="D54" s="451" t="str">
        <x:v>Reino Unido</x:v>
      </x:c>
      <x:c r="E54" s="451" t="str">
        <x:v>Europa</x:v>
      </x:c>
      <x:c r="F54" s="451" t="str">
        <x:v>B</x:v>
      </x:c>
      <x:c r="G54" s="451" t="n">
        <x:v>13</x:v>
      </x:c>
      <x:c r="H54" s="451" t="n">
        <x:v>0</x:v>
      </x:c>
      <x:c r="I54" s="451" t="n">
        <x:v>1</x:v>
      </x:c>
      <x:c r="J54" s="451" t="n">
        <x:v>1</x:v>
      </x:c>
      <x:c r="K54" s="451" t="n">
        <x:v>1</x:v>
      </x:c>
      <x:c r="L54" s="451" t="n">
        <x:v>1</x:v>
      </x:c>
      <x:c r="M54" s="451" t="n">
        <x:v>1</x:v>
      </x:c>
      <x:c r="N54" s="451" t="n">
        <x:v>1</x:v>
      </x:c>
      <x:c r="O54" s="451" t="n">
        <x:v>1</x:v>
      </x:c>
      <x:c r="P54" s="451" t="n">
        <x:v>1</x:v>
      </x:c>
      <x:c r="Q54" s="451" t="n">
        <x:v>1</x:v>
      </x:c>
      <x:c r="R54" s="451" t="n">
        <x:v>0</x:v>
      </x:c>
      <x:c r="S54" s="451" t="n">
        <x:v>1</x:v>
      </x:c>
      <x:c r="T54" s="451" t="n">
        <x:v>0</x:v>
      </x:c>
      <x:c r="U54" s="451" t="n">
        <x:v>0</x:v>
      </x:c>
      <x:c r="V54" s="451" t="n">
        <x:v>1</x:v>
      </x:c>
      <x:c r="W54" s="451" t="n">
        <x:v>1</x:v>
      </x:c>
      <x:c r="X54" s="451" t="n">
        <x:v>1</x:v>
      </x:c>
    </x:row>
    <x:row r="55" ht="24" customHeight="1">
      <x:c r="A55" s="451" t="n">
        <x:v>51</x:v>
      </x:c>
      <x:c r="B55" s="451" t="str">
        <x:v>100 líderes globales</x:v>
      </x:c>
      <x:c r="C55" s="451" t="str">
        <x:v>ETH Zürich</x:v>
      </x:c>
      <x:c r="D55" s="451" t="str">
        <x:v>Suiza</x:v>
      </x:c>
      <x:c r="E55" s="451" t="str">
        <x:v>Europa</x:v>
      </x:c>
      <x:c r="F55" s="451" t="str">
        <x:v>A</x:v>
      </x:c>
      <x:c r="G55" s="451" t="n">
        <x:v>12</x:v>
      </x:c>
      <x:c r="H55" s="451" t="n">
        <x:v>0</x:v>
      </x:c>
      <x:c r="I55" s="451" t="n">
        <x:v>1</x:v>
      </x:c>
      <x:c r="J55" s="451" t="n">
        <x:v>1</x:v>
      </x:c>
      <x:c r="K55" s="451" t="n">
        <x:v>1</x:v>
      </x:c>
      <x:c r="L55" s="451" t="n">
        <x:v>1</x:v>
      </x:c>
      <x:c r="M55" s="451" t="n">
        <x:v>1</x:v>
      </x:c>
      <x:c r="N55" s="451" t="n">
        <x:v>1</x:v>
      </x:c>
      <x:c r="O55" s="451" t="n">
        <x:v>1</x:v>
      </x:c>
      <x:c r="P55" s="451" t="n">
        <x:v>1</x:v>
      </x:c>
      <x:c r="Q55" s="451" t="n">
        <x:v>1</x:v>
      </x:c>
      <x:c r="R55" s="451" t="n">
        <x:v>0</x:v>
      </x:c>
      <x:c r="S55" s="451" t="n">
        <x:v>0</x:v>
      </x:c>
      <x:c r="T55" s="451" t="n">
        <x:v>0</x:v>
      </x:c>
      <x:c r="U55" s="451" t="n">
        <x:v>0</x:v>
      </x:c>
      <x:c r="V55" s="451" t="n">
        <x:v>1</x:v>
      </x:c>
      <x:c r="W55" s="451" t="n">
        <x:v>1</x:v>
      </x:c>
      <x:c r="X55" s="451" t="n">
        <x:v>1</x:v>
      </x:c>
    </x:row>
    <x:row r="56" ht="24" customHeight="1">
      <x:c r="A56" s="451" t="n">
        <x:v>52</x:v>
      </x:c>
      <x:c r="B56" s="451" t="str">
        <x:v>100 líderes globales</x:v>
      </x:c>
      <x:c r="C56" s="451" t="str">
        <x:v>EPFL</x:v>
      </x:c>
      <x:c r="D56" s="451" t="str">
        <x:v>Suiza</x:v>
      </x:c>
      <x:c r="E56" s="451" t="str">
        <x:v>Europa</x:v>
      </x:c>
      <x:c r="F56" s="451" t="str">
        <x:v>A</x:v>
      </x:c>
      <x:c r="G56" s="451" t="n">
        <x:v>13</x:v>
      </x:c>
      <x:c r="H56" s="451" t="n">
        <x:v>0</x:v>
      </x:c>
      <x:c r="I56" s="451" t="n">
        <x:v>1</x:v>
      </x:c>
      <x:c r="J56" s="451" t="n">
        <x:v>1</x:v>
      </x:c>
      <x:c r="K56" s="451" t="n">
        <x:v>1</x:v>
      </x:c>
      <x:c r="L56" s="451" t="n">
        <x:v>1</x:v>
      </x:c>
      <x:c r="M56" s="451" t="n">
        <x:v>1</x:v>
      </x:c>
      <x:c r="N56" s="451" t="n">
        <x:v>1</x:v>
      </x:c>
      <x:c r="O56" s="451" t="n">
        <x:v>1</x:v>
      </x:c>
      <x:c r="P56" s="451" t="n">
        <x:v>1</x:v>
      </x:c>
      <x:c r="Q56" s="451" t="n">
        <x:v>1</x:v>
      </x:c>
      <x:c r="R56" s="451" t="n">
        <x:v>0</x:v>
      </x:c>
      <x:c r="S56" s="451" t="n">
        <x:v>1</x:v>
      </x:c>
      <x:c r="T56" s="451" t="n">
        <x:v>0</x:v>
      </x:c>
      <x:c r="U56" s="451" t="n">
        <x:v>0</x:v>
      </x:c>
      <x:c r="V56" s="451" t="n">
        <x:v>1</x:v>
      </x:c>
      <x:c r="W56" s="451" t="n">
        <x:v>1</x:v>
      </x:c>
      <x:c r="X56" s="451" t="n">
        <x:v>1</x:v>
      </x:c>
    </x:row>
    <x:row r="57" ht="24" customHeight="1">
      <x:c r="A57" s="451" t="n">
        <x:v>53</x:v>
      </x:c>
      <x:c r="B57" s="451" t="str">
        <x:v>100 líderes globales</x:v>
      </x:c>
      <x:c r="C57" s="451" t="str">
        <x:v>Technical University of Munich</x:v>
      </x:c>
      <x:c r="D57" s="451" t="str">
        <x:v>Alemania</x:v>
      </x:c>
      <x:c r="E57" s="451" t="str">
        <x:v>Europa</x:v>
      </x:c>
      <x:c r="F57" s="451" t="str">
        <x:v>A</x:v>
      </x:c>
      <x:c r="G57" s="451" t="n">
        <x:v>14</x:v>
      </x:c>
      <x:c r="H57" s="451" t="n">
        <x:v>0</x:v>
      </x:c>
      <x:c r="I57" s="451" t="n">
        <x:v>1</x:v>
      </x:c>
      <x:c r="J57" s="451" t="n">
        <x:v>1</x:v>
      </x:c>
      <x:c r="K57" s="451" t="n">
        <x:v>1</x:v>
      </x:c>
      <x:c r="L57" s="451" t="n">
        <x:v>1</x:v>
      </x:c>
      <x:c r="M57" s="451" t="n">
        <x:v>1</x:v>
      </x:c>
      <x:c r="N57" s="451" t="n">
        <x:v>1</x:v>
      </x:c>
      <x:c r="O57" s="451" t="n">
        <x:v>1</x:v>
      </x:c>
      <x:c r="P57" s="451" t="n">
        <x:v>1</x:v>
      </x:c>
      <x:c r="Q57" s="451" t="n">
        <x:v>1</x:v>
      </x:c>
      <x:c r="R57" s="451" t="n">
        <x:v>0</x:v>
      </x:c>
      <x:c r="S57" s="451" t="n">
        <x:v>1</x:v>
      </x:c>
      <x:c r="T57" s="451" t="n">
        <x:v>0</x:v>
      </x:c>
      <x:c r="U57" s="451" t="n">
        <x:v>1</x:v>
      </x:c>
      <x:c r="V57" s="451" t="n">
        <x:v>1</x:v>
      </x:c>
      <x:c r="W57" s="451" t="n">
        <x:v>1</x:v>
      </x:c>
      <x:c r="X57" s="451" t="n">
        <x:v>1</x:v>
      </x:c>
    </x:row>
    <x:row r="58" ht="24" customHeight="1">
      <x:c r="A58" s="451" t="n">
        <x:v>54</x:v>
      </x:c>
      <x:c r="B58" s="451" t="str">
        <x:v>100 líderes globales</x:v>
      </x:c>
      <x:c r="C58" s="451" t="str">
        <x:v>RWTH Aachen University</x:v>
      </x:c>
      <x:c r="D58" s="451" t="str">
        <x:v>Alemania</x:v>
      </x:c>
      <x:c r="E58" s="451" t="str">
        <x:v>Europa</x:v>
      </x:c>
      <x:c r="F58" s="451" t="str">
        <x:v>B</x:v>
      </x:c>
      <x:c r="G58" s="451" t="n">
        <x:v>11</x:v>
      </x:c>
      <x:c r="H58" s="451" t="n">
        <x:v>0</x:v>
      </x:c>
      <x:c r="I58" s="451" t="n">
        <x:v>1</x:v>
      </x:c>
      <x:c r="J58" s="451" t="n">
        <x:v>1</x:v>
      </x:c>
      <x:c r="K58" s="451" t="n">
        <x:v>1</x:v>
      </x:c>
      <x:c r="L58" s="451" t="n">
        <x:v>1</x:v>
      </x:c>
      <x:c r="M58" s="451" t="n">
        <x:v>1</x:v>
      </x:c>
      <x:c r="N58" s="451" t="n">
        <x:v>1</x:v>
      </x:c>
      <x:c r="O58" s="451" t="n">
        <x:v>1</x:v>
      </x:c>
      <x:c r="P58" s="451" t="n">
        <x:v>1</x:v>
      </x:c>
      <x:c r="Q58" s="451" t="n">
        <x:v>1</x:v>
      </x:c>
      <x:c r="R58" s="451" t="n">
        <x:v>0</x:v>
      </x:c>
      <x:c r="S58" s="451" t="n">
        <x:v>0</x:v>
      </x:c>
      <x:c r="T58" s="451" t="n">
        <x:v>0</x:v>
      </x:c>
      <x:c r="U58" s="451" t="n">
        <x:v>1</x:v>
      </x:c>
      <x:c r="V58" s="451" t="n">
        <x:v>0</x:v>
      </x:c>
      <x:c r="W58" s="451" t="n">
        <x:v>0</x:v>
      </x:c>
      <x:c r="X58" s="451" t="n">
        <x:v>1</x:v>
      </x:c>
    </x:row>
    <x:row r="59" ht="24" customHeight="1">
      <x:c r="A59" s="451" t="n">
        <x:v>55</x:v>
      </x:c>
      <x:c r="B59" s="451" t="str">
        <x:v>100 líderes globales</x:v>
      </x:c>
      <x:c r="C59" s="451" t="str">
        <x:v>Karlsruhe Institute of Technology</x:v>
      </x:c>
      <x:c r="D59" s="451" t="str">
        <x:v>Alemania</x:v>
      </x:c>
      <x:c r="E59" s="451" t="str">
        <x:v>Europa</x:v>
      </x:c>
      <x:c r="F59" s="451" t="str">
        <x:v>B</x:v>
      </x:c>
      <x:c r="G59" s="451" t="n">
        <x:v>12</x:v>
      </x:c>
      <x:c r="H59" s="451" t="n">
        <x:v>0</x:v>
      </x:c>
      <x:c r="I59" s="451" t="n">
        <x:v>1</x:v>
      </x:c>
      <x:c r="J59" s="451" t="n">
        <x:v>1</x:v>
      </x:c>
      <x:c r="K59" s="451" t="n">
        <x:v>1</x:v>
      </x:c>
      <x:c r="L59" s="451" t="n">
        <x:v>1</x:v>
      </x:c>
      <x:c r="M59" s="451" t="n">
        <x:v>1</x:v>
      </x:c>
      <x:c r="N59" s="451" t="n">
        <x:v>1</x:v>
      </x:c>
      <x:c r="O59" s="451" t="n">
        <x:v>1</x:v>
      </x:c>
      <x:c r="P59" s="451" t="n">
        <x:v>1</x:v>
      </x:c>
      <x:c r="Q59" s="451" t="n">
        <x:v>1</x:v>
      </x:c>
      <x:c r="R59" s="451" t="n">
        <x:v>0</x:v>
      </x:c>
      <x:c r="S59" s="451" t="n">
        <x:v>0</x:v>
      </x:c>
      <x:c r="T59" s="451" t="n">
        <x:v>0</x:v>
      </x:c>
      <x:c r="U59" s="451" t="n">
        <x:v>1</x:v>
      </x:c>
      <x:c r="V59" s="451" t="n">
        <x:v>0</x:v>
      </x:c>
      <x:c r="W59" s="451" t="n">
        <x:v>1</x:v>
      </x:c>
      <x:c r="X59" s="451" t="n">
        <x:v>1</x:v>
      </x:c>
    </x:row>
    <x:row r="60" ht="24" customHeight="1">
      <x:c r="A60" s="451" t="n">
        <x:v>56</x:v>
      </x:c>
      <x:c r="B60" s="451" t="str">
        <x:v>100 líderes globales</x:v>
      </x:c>
      <x:c r="C60" s="451" t="str">
        <x:v>Saarland University</x:v>
      </x:c>
      <x:c r="D60" s="451" t="str">
        <x:v>Alemania</x:v>
      </x:c>
      <x:c r="E60" s="451" t="str">
        <x:v>Europa</x:v>
      </x:c>
      <x:c r="F60" s="451" t="str">
        <x:v>B</x:v>
      </x:c>
      <x:c r="G60" s="451" t="n">
        <x:v>10</x:v>
      </x:c>
      <x:c r="H60" s="451" t="n">
        <x:v>0</x:v>
      </x:c>
      <x:c r="I60" s="451" t="n">
        <x:v>1</x:v>
      </x:c>
      <x:c r="J60" s="451" t="n">
        <x:v>1</x:v>
      </x:c>
      <x:c r="K60" s="451" t="n">
        <x:v>1</x:v>
      </x:c>
      <x:c r="L60" s="451" t="n">
        <x:v>1</x:v>
      </x:c>
      <x:c r="M60" s="451" t="n">
        <x:v>1</x:v>
      </x:c>
      <x:c r="N60" s="451" t="n">
        <x:v>1</x:v>
      </x:c>
      <x:c r="O60" s="451" t="n">
        <x:v>1</x:v>
      </x:c>
      <x:c r="P60" s="451" t="n">
        <x:v>0</x:v>
      </x:c>
      <x:c r="Q60" s="451" t="n">
        <x:v>0</x:v>
      </x:c>
      <x:c r="R60" s="451" t="n">
        <x:v>0</x:v>
      </x:c>
      <x:c r="S60" s="451" t="n">
        <x:v>1</x:v>
      </x:c>
      <x:c r="T60" s="451" t="n">
        <x:v>0</x:v>
      </x:c>
      <x:c r="U60" s="451" t="n">
        <x:v>0</x:v>
      </x:c>
      <x:c r="V60" s="451" t="n">
        <x:v>1</x:v>
      </x:c>
      <x:c r="W60" s="451" t="n">
        <x:v>0</x:v>
      </x:c>
      <x:c r="X60" s="451" t="n">
        <x:v>1</x:v>
      </x:c>
    </x:row>
    <x:row r="61" ht="24" customHeight="1">
      <x:c r="A61" s="451" t="n">
        <x:v>57</x:v>
      </x:c>
      <x:c r="B61" s="451" t="str">
        <x:v>100 líderes globales</x:v>
      </x:c>
      <x:c r="C61" s="451" t="str">
        <x:v>Technische Universität Berlin</x:v>
      </x:c>
      <x:c r="D61" s="451" t="str">
        <x:v>Alemania</x:v>
      </x:c>
      <x:c r="E61" s="451" t="str">
        <x:v>Europa</x:v>
      </x:c>
      <x:c r="F61" s="451" t="str">
        <x:v>B</x:v>
      </x:c>
      <x:c r="G61" s="451" t="n">
        <x:v>13</x:v>
      </x:c>
      <x:c r="H61" s="451" t="n">
        <x:v>0</x:v>
      </x:c>
      <x:c r="I61" s="451" t="n">
        <x:v>1</x:v>
      </x:c>
      <x:c r="J61" s="451" t="n">
        <x:v>1</x:v>
      </x:c>
      <x:c r="K61" s="451" t="n">
        <x:v>1</x:v>
      </x:c>
      <x:c r="L61" s="451" t="n">
        <x:v>1</x:v>
      </x:c>
      <x:c r="M61" s="451" t="n">
        <x:v>1</x:v>
      </x:c>
      <x:c r="N61" s="451" t="n">
        <x:v>1</x:v>
      </x:c>
      <x:c r="O61" s="451" t="n">
        <x:v>1</x:v>
      </x:c>
      <x:c r="P61" s="451" t="n">
        <x:v>1</x:v>
      </x:c>
      <x:c r="Q61" s="451" t="n">
        <x:v>1</x:v>
      </x:c>
      <x:c r="R61" s="451" t="n">
        <x:v>0</x:v>
      </x:c>
      <x:c r="S61" s="451" t="n">
        <x:v>1</x:v>
      </x:c>
      <x:c r="T61" s="451" t="n">
        <x:v>1</x:v>
      </x:c>
      <x:c r="U61" s="451" t="n">
        <x:v>1</x:v>
      </x:c>
      <x:c r="V61" s="451" t="n">
        <x:v>0</x:v>
      </x:c>
      <x:c r="W61" s="451" t="n">
        <x:v>0</x:v>
      </x:c>
      <x:c r="X61" s="451" t="n">
        <x:v>1</x:v>
      </x:c>
    </x:row>
    <x:row r="62" ht="24" customHeight="1">
      <x:c r="A62" s="451" t="n">
        <x:v>58</x:v>
      </x:c>
      <x:c r="B62" s="451" t="str">
        <x:v>100 líderes globales</x:v>
      </x:c>
      <x:c r="C62" s="451" t="str">
        <x:v>Delft University of Technology</x:v>
      </x:c>
      <x:c r="D62" s="451" t="str">
        <x:v>Países Bajos</x:v>
      </x:c>
      <x:c r="E62" s="451" t="str">
        <x:v>Europa</x:v>
      </x:c>
      <x:c r="F62" s="451" t="str">
        <x:v>B</x:v>
      </x:c>
      <x:c r="G62" s="451" t="n">
        <x:v>11</x:v>
      </x:c>
      <x:c r="H62" s="451" t="n">
        <x:v>0</x:v>
      </x:c>
      <x:c r="I62" s="451" t="n">
        <x:v>1</x:v>
      </x:c>
      <x:c r="J62" s="451" t="n">
        <x:v>1</x:v>
      </x:c>
      <x:c r="K62" s="451" t="n">
        <x:v>1</x:v>
      </x:c>
      <x:c r="L62" s="451" t="n">
        <x:v>1</x:v>
      </x:c>
      <x:c r="M62" s="451" t="n">
        <x:v>1</x:v>
      </x:c>
      <x:c r="N62" s="451" t="n">
        <x:v>1</x:v>
      </x:c>
      <x:c r="O62" s="451" t="n">
        <x:v>1</x:v>
      </x:c>
      <x:c r="P62" s="451" t="n">
        <x:v>1</x:v>
      </x:c>
      <x:c r="Q62" s="451" t="n">
        <x:v>1</x:v>
      </x:c>
      <x:c r="R62" s="451" t="n">
        <x:v>0</x:v>
      </x:c>
      <x:c r="S62" s="451" t="n">
        <x:v>0</x:v>
      </x:c>
      <x:c r="T62" s="451" t="n">
        <x:v>0</x:v>
      </x:c>
      <x:c r="U62" s="451" t="n">
        <x:v>0</x:v>
      </x:c>
      <x:c r="V62" s="451" t="n">
        <x:v>0</x:v>
      </x:c>
      <x:c r="W62" s="451" t="n">
        <x:v>1</x:v>
      </x:c>
      <x:c r="X62" s="451" t="n">
        <x:v>1</x:v>
      </x:c>
    </x:row>
    <x:row r="63" ht="24" customHeight="1">
      <x:c r="A63" s="451" t="n">
        <x:v>59</x:v>
      </x:c>
      <x:c r="B63" s="451" t="str">
        <x:v>100 líderes globales</x:v>
      </x:c>
      <x:c r="C63" s="451" t="str">
        <x:v>University of Amsterdam</x:v>
      </x:c>
      <x:c r="D63" s="451" t="str">
        <x:v>Países Bajos</x:v>
      </x:c>
      <x:c r="E63" s="451" t="str">
        <x:v>Europa</x:v>
      </x:c>
      <x:c r="F63" s="451" t="str">
        <x:v>B</x:v>
      </x:c>
      <x:c r="G63" s="451" t="n">
        <x:v>11</x:v>
      </x:c>
      <x:c r="H63" s="451" t="n">
        <x:v>0</x:v>
      </x:c>
      <x:c r="I63" s="451" t="n">
        <x:v>1</x:v>
      </x:c>
      <x:c r="J63" s="451" t="n">
        <x:v>1</x:v>
      </x:c>
      <x:c r="K63" s="451" t="n">
        <x:v>1</x:v>
      </x:c>
      <x:c r="L63" s="451" t="n">
        <x:v>1</x:v>
      </x:c>
      <x:c r="M63" s="451" t="n">
        <x:v>1</x:v>
      </x:c>
      <x:c r="N63" s="451" t="n">
        <x:v>1</x:v>
      </x:c>
      <x:c r="O63" s="451" t="n">
        <x:v>1</x:v>
      </x:c>
      <x:c r="P63" s="451" t="n">
        <x:v>0</x:v>
      </x:c>
      <x:c r="Q63" s="451" t="n">
        <x:v>0</x:v>
      </x:c>
      <x:c r="R63" s="451" t="n">
        <x:v>0</x:v>
      </x:c>
      <x:c r="S63" s="451" t="n">
        <x:v>1</x:v>
      </x:c>
      <x:c r="T63" s="451" t="n">
        <x:v>0</x:v>
      </x:c>
      <x:c r="U63" s="451" t="n">
        <x:v>1</x:v>
      </x:c>
      <x:c r="V63" s="451" t="n">
        <x:v>1</x:v>
      </x:c>
      <x:c r="W63" s="451" t="n">
        <x:v>0</x:v>
      </x:c>
      <x:c r="X63" s="451" t="n">
        <x:v>1</x:v>
      </x:c>
    </x:row>
    <x:row r="64" ht="24" customHeight="1">
      <x:c r="A64" s="451" t="n">
        <x:v>60</x:v>
      </x:c>
      <x:c r="B64" s="451" t="str">
        <x:v>100 líderes globales</x:v>
      </x:c>
      <x:c r="C64" s="451" t="str">
        <x:v>KU Leuven</x:v>
      </x:c>
      <x:c r="D64" s="451" t="str">
        <x:v>Bélgica</x:v>
      </x:c>
      <x:c r="E64" s="451" t="str">
        <x:v>Europa</x:v>
      </x:c>
      <x:c r="F64" s="451" t="str">
        <x:v>B</x:v>
      </x:c>
      <x:c r="G64" s="451" t="n">
        <x:v>12</x:v>
      </x:c>
      <x:c r="H64" s="451" t="n">
        <x:v>0</x:v>
      </x:c>
      <x:c r="I64" s="451" t="n">
        <x:v>1</x:v>
      </x:c>
      <x:c r="J64" s="451" t="n">
        <x:v>1</x:v>
      </x:c>
      <x:c r="K64" s="451" t="n">
        <x:v>1</x:v>
      </x:c>
      <x:c r="L64" s="451" t="n">
        <x:v>1</x:v>
      </x:c>
      <x:c r="M64" s="451" t="n">
        <x:v>1</x:v>
      </x:c>
      <x:c r="N64" s="451" t="n">
        <x:v>1</x:v>
      </x:c>
      <x:c r="O64" s="451" t="n">
        <x:v>1</x:v>
      </x:c>
      <x:c r="P64" s="451" t="n">
        <x:v>1</x:v>
      </x:c>
      <x:c r="Q64" s="451" t="n">
        <x:v>1</x:v>
      </x:c>
      <x:c r="R64" s="451" t="n">
        <x:v>0</x:v>
      </x:c>
      <x:c r="S64" s="451" t="n">
        <x:v>0</x:v>
      </x:c>
      <x:c r="T64" s="451" t="n">
        <x:v>0</x:v>
      </x:c>
      <x:c r="U64" s="451" t="n">
        <x:v>0</x:v>
      </x:c>
      <x:c r="V64" s="451" t="n">
        <x:v>1</x:v>
      </x:c>
      <x:c r="W64" s="451" t="n">
        <x:v>1</x:v>
      </x:c>
      <x:c r="X64" s="451" t="n">
        <x:v>1</x:v>
      </x:c>
    </x:row>
    <x:row r="65" ht="24" customHeight="1">
      <x:c r="A65" s="451" t="n">
        <x:v>61</x:v>
      </x:c>
      <x:c r="B65" s="451" t="str">
        <x:v>100 líderes globales</x:v>
      </x:c>
      <x:c r="C65" s="451" t="str">
        <x:v>KTH Royal Institute of Technology</x:v>
      </x:c>
      <x:c r="D65" s="451" t="str">
        <x:v>Suecia</x:v>
      </x:c>
      <x:c r="E65" s="451" t="str">
        <x:v>Europa</x:v>
      </x:c>
      <x:c r="F65" s="451" t="str">
        <x:v>B</x:v>
      </x:c>
      <x:c r="G65" s="451" t="n">
        <x:v>10</x:v>
      </x:c>
      <x:c r="H65" s="451" t="n">
        <x:v>0</x:v>
      </x:c>
      <x:c r="I65" s="451" t="n">
        <x:v>1</x:v>
      </x:c>
      <x:c r="J65" s="451" t="n">
        <x:v>1</x:v>
      </x:c>
      <x:c r="K65" s="451" t="n">
        <x:v>1</x:v>
      </x:c>
      <x:c r="L65" s="451" t="n">
        <x:v>1</x:v>
      </x:c>
      <x:c r="M65" s="451" t="n">
        <x:v>1</x:v>
      </x:c>
      <x:c r="N65" s="451" t="n">
        <x:v>1</x:v>
      </x:c>
      <x:c r="O65" s="451" t="n">
        <x:v>1</x:v>
      </x:c>
      <x:c r="P65" s="451" t="n">
        <x:v>1</x:v>
      </x:c>
      <x:c r="Q65" s="451" t="n">
        <x:v>1</x:v>
      </x:c>
      <x:c r="R65" s="451" t="n">
        <x:v>0</x:v>
      </x:c>
      <x:c r="S65" s="451" t="n">
        <x:v>0</x:v>
      </x:c>
      <x:c r="T65" s="451" t="n">
        <x:v>0</x:v>
      </x:c>
      <x:c r="U65" s="451" t="n">
        <x:v>0</x:v>
      </x:c>
      <x:c r="V65" s="451" t="n">
        <x:v>0</x:v>
      </x:c>
      <x:c r="W65" s="451" t="n">
        <x:v>0</x:v>
      </x:c>
      <x:c r="X65" s="451" t="n">
        <x:v>1</x:v>
      </x:c>
    </x:row>
    <x:row r="66" ht="24" customHeight="1">
      <x:c r="A66" s="451" t="n">
        <x:v>62</x:v>
      </x:c>
      <x:c r="B66" s="451" t="str">
        <x:v>100 líderes globales</x:v>
      </x:c>
      <x:c r="C66" s="451" t="str">
        <x:v>Aalto University</x:v>
      </x:c>
      <x:c r="D66" s="451" t="str">
        <x:v>Finlandia</x:v>
      </x:c>
      <x:c r="E66" s="451" t="str">
        <x:v>Europa</x:v>
      </x:c>
      <x:c r="F66" s="451" t="str">
        <x:v>B</x:v>
      </x:c>
      <x:c r="G66" s="451" t="n">
        <x:v>12</x:v>
      </x:c>
      <x:c r="H66" s="451" t="n">
        <x:v>0</x:v>
      </x:c>
      <x:c r="I66" s="451" t="n">
        <x:v>1</x:v>
      </x:c>
      <x:c r="J66" s="451" t="n">
        <x:v>1</x:v>
      </x:c>
      <x:c r="K66" s="451" t="n">
        <x:v>1</x:v>
      </x:c>
      <x:c r="L66" s="451" t="n">
        <x:v>1</x:v>
      </x:c>
      <x:c r="M66" s="451" t="n">
        <x:v>1</x:v>
      </x:c>
      <x:c r="N66" s="451" t="n">
        <x:v>1</x:v>
      </x:c>
      <x:c r="O66" s="451" t="n">
        <x:v>1</x:v>
      </x:c>
      <x:c r="P66" s="451" t="n">
        <x:v>1</x:v>
      </x:c>
      <x:c r="Q66" s="451" t="n">
        <x:v>1</x:v>
      </x:c>
      <x:c r="R66" s="451" t="n">
        <x:v>0</x:v>
      </x:c>
      <x:c r="S66" s="451" t="n">
        <x:v>1</x:v>
      </x:c>
      <x:c r="T66" s="451" t="n">
        <x:v>1</x:v>
      </x:c>
      <x:c r="U66" s="451" t="n">
        <x:v>0</x:v>
      </x:c>
      <x:c r="V66" s="451" t="n">
        <x:v>0</x:v>
      </x:c>
      <x:c r="W66" s="451" t="n">
        <x:v>0</x:v>
      </x:c>
      <x:c r="X66" s="451" t="n">
        <x:v>1</x:v>
      </x:c>
    </x:row>
    <x:row r="67" ht="24" customHeight="1">
      <x:c r="A67" s="451" t="n">
        <x:v>63</x:v>
      </x:c>
      <x:c r="B67" s="451" t="str">
        <x:v>100 líderes globales</x:v>
      </x:c>
      <x:c r="C67" s="451" t="str">
        <x:v>Chalmers University of Technology</x:v>
      </x:c>
      <x:c r="D67" s="451" t="str">
        <x:v>Suecia</x:v>
      </x:c>
      <x:c r="E67" s="451" t="str">
        <x:v>Europa</x:v>
      </x:c>
      <x:c r="F67" s="451" t="str">
        <x:v>B</x:v>
      </x:c>
      <x:c r="G67" s="451" t="n">
        <x:v>10</x:v>
      </x:c>
      <x:c r="H67" s="451" t="n">
        <x:v>0</x:v>
      </x:c>
      <x:c r="I67" s="451" t="n">
        <x:v>1</x:v>
      </x:c>
      <x:c r="J67" s="451" t="n">
        <x:v>1</x:v>
      </x:c>
      <x:c r="K67" s="451" t="n">
        <x:v>1</x:v>
      </x:c>
      <x:c r="L67" s="451" t="n">
        <x:v>1</x:v>
      </x:c>
      <x:c r="M67" s="451" t="n">
        <x:v>1</x:v>
      </x:c>
      <x:c r="N67" s="451" t="n">
        <x:v>1</x:v>
      </x:c>
      <x:c r="O67" s="451" t="n">
        <x:v>1</x:v>
      </x:c>
      <x:c r="P67" s="451" t="n">
        <x:v>1</x:v>
      </x:c>
      <x:c r="Q67" s="451" t="n">
        <x:v>1</x:v>
      </x:c>
      <x:c r="R67" s="451" t="n">
        <x:v>0</x:v>
      </x:c>
      <x:c r="S67" s="451" t="n">
        <x:v>0</x:v>
      </x:c>
      <x:c r="T67" s="451" t="n">
        <x:v>0</x:v>
      </x:c>
      <x:c r="U67" s="451" t="n">
        <x:v>0</x:v>
      </x:c>
      <x:c r="V67" s="451" t="n">
        <x:v>0</x:v>
      </x:c>
      <x:c r="W67" s="451" t="n">
        <x:v>0</x:v>
      </x:c>
      <x:c r="X67" s="451" t="n">
        <x:v>1</x:v>
      </x:c>
    </x:row>
    <x:row r="68" ht="24" customHeight="1">
      <x:c r="A68" s="451" t="n">
        <x:v>64</x:v>
      </x:c>
      <x:c r="B68" s="451" t="str">
        <x:v>100 líderes globales</x:v>
      </x:c>
      <x:c r="C68" s="451" t="str">
        <x:v>Technical University of Denmark</x:v>
      </x:c>
      <x:c r="D68" s="451" t="str">
        <x:v>Dinamarca</x:v>
      </x:c>
      <x:c r="E68" s="451" t="str">
        <x:v>Europa</x:v>
      </x:c>
      <x:c r="F68" s="451" t="str">
        <x:v>B</x:v>
      </x:c>
      <x:c r="G68" s="451" t="n">
        <x:v>11</x:v>
      </x:c>
      <x:c r="H68" s="451" t="n">
        <x:v>0</x:v>
      </x:c>
      <x:c r="I68" s="451" t="n">
        <x:v>1</x:v>
      </x:c>
      <x:c r="J68" s="451" t="n">
        <x:v>1</x:v>
      </x:c>
      <x:c r="K68" s="451" t="n">
        <x:v>1</x:v>
      </x:c>
      <x:c r="L68" s="451" t="n">
        <x:v>1</x:v>
      </x:c>
      <x:c r="M68" s="451" t="n">
        <x:v>1</x:v>
      </x:c>
      <x:c r="N68" s="451" t="n">
        <x:v>1</x:v>
      </x:c>
      <x:c r="O68" s="451" t="n">
        <x:v>1</x:v>
      </x:c>
      <x:c r="P68" s="451" t="n">
        <x:v>1</x:v>
      </x:c>
      <x:c r="Q68" s="451" t="n">
        <x:v>1</x:v>
      </x:c>
      <x:c r="R68" s="451" t="n">
        <x:v>0</x:v>
      </x:c>
      <x:c r="S68" s="451" t="n">
        <x:v>0</x:v>
      </x:c>
      <x:c r="T68" s="451" t="n">
        <x:v>0</x:v>
      </x:c>
      <x:c r="U68" s="451" t="n">
        <x:v>0</x:v>
      </x:c>
      <x:c r="V68" s="451" t="n">
        <x:v>0</x:v>
      </x:c>
      <x:c r="W68" s="451" t="n">
        <x:v>1</x:v>
      </x:c>
      <x:c r="X68" s="451" t="n">
        <x:v>1</x:v>
      </x:c>
    </x:row>
    <x:row r="69" ht="24" customHeight="1">
      <x:c r="A69" s="451" t="n">
        <x:v>65</x:v>
      </x:c>
      <x:c r="B69" s="451" t="str">
        <x:v>100 líderes globales</x:v>
      </x:c>
      <x:c r="C69" s="451" t="str">
        <x:v>University of Copenhagen</x:v>
      </x:c>
      <x:c r="D69" s="451" t="str">
        <x:v>Dinamarca</x:v>
      </x:c>
      <x:c r="E69" s="451" t="str">
        <x:v>Europa</x:v>
      </x:c>
      <x:c r="F69" s="451" t="str">
        <x:v>B</x:v>
      </x:c>
      <x:c r="G69" s="451" t="n">
        <x:v>10</x:v>
      </x:c>
      <x:c r="H69" s="451" t="n">
        <x:v>0</x:v>
      </x:c>
      <x:c r="I69" s="451" t="n">
        <x:v>1</x:v>
      </x:c>
      <x:c r="J69" s="451" t="n">
        <x:v>1</x:v>
      </x:c>
      <x:c r="K69" s="451" t="n">
        <x:v>1</x:v>
      </x:c>
      <x:c r="L69" s="451" t="n">
        <x:v>1</x:v>
      </x:c>
      <x:c r="M69" s="451" t="n">
        <x:v>1</x:v>
      </x:c>
      <x:c r="N69" s="451" t="n">
        <x:v>1</x:v>
      </x:c>
      <x:c r="O69" s="451" t="n">
        <x:v>1</x:v>
      </x:c>
      <x:c r="P69" s="451" t="n">
        <x:v>0</x:v>
      </x:c>
      <x:c r="Q69" s="451" t="n">
        <x:v>0</x:v>
      </x:c>
      <x:c r="R69" s="451" t="n">
        <x:v>0</x:v>
      </x:c>
      <x:c r="S69" s="451" t="n">
        <x:v>0</x:v>
      </x:c>
      <x:c r="T69" s="451" t="n">
        <x:v>0</x:v>
      </x:c>
      <x:c r="U69" s="451" t="n">
        <x:v>0</x:v>
      </x:c>
      <x:c r="V69" s="451" t="n">
        <x:v>1</x:v>
      </x:c>
      <x:c r="W69" s="451" t="n">
        <x:v>1</x:v>
      </x:c>
      <x:c r="X69" s="451" t="n">
        <x:v>1</x:v>
      </x:c>
    </x:row>
    <x:row r="70" ht="24" customHeight="1">
      <x:c r="A70" s="451" t="n">
        <x:v>66</x:v>
      </x:c>
      <x:c r="B70" s="451" t="str">
        <x:v>100 líderes globales</x:v>
      </x:c>
      <x:c r="C70" s="451" t="str">
        <x:v>Norwegian University of Science and Technology (NTNU)</x:v>
      </x:c>
      <x:c r="D70" s="451" t="str">
        <x:v>Noruega</x:v>
      </x:c>
      <x:c r="E70" s="451" t="str">
        <x:v>Europa</x:v>
      </x:c>
      <x:c r="F70" s="451" t="str">
        <x:v>B</x:v>
      </x:c>
      <x:c r="G70" s="451" t="n">
        <x:v>11</x:v>
      </x:c>
      <x:c r="H70" s="451" t="n">
        <x:v>0</x:v>
      </x:c>
      <x:c r="I70" s="451" t="n">
        <x:v>1</x:v>
      </x:c>
      <x:c r="J70" s="451" t="n">
        <x:v>1</x:v>
      </x:c>
      <x:c r="K70" s="451" t="n">
        <x:v>1</x:v>
      </x:c>
      <x:c r="L70" s="451" t="n">
        <x:v>1</x:v>
      </x:c>
      <x:c r="M70" s="451" t="n">
        <x:v>1</x:v>
      </x:c>
      <x:c r="N70" s="451" t="n">
        <x:v>1</x:v>
      </x:c>
      <x:c r="O70" s="451" t="n">
        <x:v>1</x:v>
      </x:c>
      <x:c r="P70" s="451" t="n">
        <x:v>1</x:v>
      </x:c>
      <x:c r="Q70" s="451" t="n">
        <x:v>1</x:v>
      </x:c>
      <x:c r="R70" s="451" t="n">
        <x:v>0</x:v>
      </x:c>
      <x:c r="S70" s="451" t="n">
        <x:v>0</x:v>
      </x:c>
      <x:c r="T70" s="451" t="n">
        <x:v>0</x:v>
      </x:c>
      <x:c r="U70" s="451" t="n">
        <x:v>1</x:v>
      </x:c>
      <x:c r="V70" s="451" t="n">
        <x:v>0</x:v>
      </x:c>
      <x:c r="W70" s="451" t="n">
        <x:v>0</x:v>
      </x:c>
      <x:c r="X70" s="451" t="n">
        <x:v>1</x:v>
      </x:c>
    </x:row>
    <x:row r="71" ht="24" customHeight="1">
      <x:c r="A71" s="451" t="n">
        <x:v>67</x:v>
      </x:c>
      <x:c r="B71" s="451" t="str">
        <x:v>100 líderes globales</x:v>
      </x:c>
      <x:c r="C71" s="451" t="str">
        <x:v>Université Paris-Saclay</x:v>
      </x:c>
      <x:c r="D71" s="451" t="str">
        <x:v>Francia</x:v>
      </x:c>
      <x:c r="E71" s="451" t="str">
        <x:v>Europa</x:v>
      </x:c>
      <x:c r="F71" s="451" t="str">
        <x:v>B</x:v>
      </x:c>
      <x:c r="G71" s="451" t="n">
        <x:v>12</x:v>
      </x:c>
      <x:c r="H71" s="451" t="n">
        <x:v>0</x:v>
      </x:c>
      <x:c r="I71" s="451" t="n">
        <x:v>1</x:v>
      </x:c>
      <x:c r="J71" s="451" t="n">
        <x:v>1</x:v>
      </x:c>
      <x:c r="K71" s="451" t="n">
        <x:v>1</x:v>
      </x:c>
      <x:c r="L71" s="451" t="n">
        <x:v>1</x:v>
      </x:c>
      <x:c r="M71" s="451" t="n">
        <x:v>1</x:v>
      </x:c>
      <x:c r="N71" s="451" t="n">
        <x:v>1</x:v>
      </x:c>
      <x:c r="O71" s="451" t="n">
        <x:v>1</x:v>
      </x:c>
      <x:c r="P71" s="451" t="n">
        <x:v>1</x:v>
      </x:c>
      <x:c r="Q71" s="451" t="n">
        <x:v>1</x:v>
      </x:c>
      <x:c r="R71" s="451" t="n">
        <x:v>0</x:v>
      </x:c>
      <x:c r="S71" s="451" t="n">
        <x:v>0</x:v>
      </x:c>
      <x:c r="T71" s="451" t="n">
        <x:v>0</x:v>
      </x:c>
      <x:c r="U71" s="451" t="n">
        <x:v>0</x:v>
      </x:c>
      <x:c r="V71" s="451" t="n">
        <x:v>1</x:v>
      </x:c>
      <x:c r="W71" s="451" t="n">
        <x:v>1</x:v>
      </x:c>
      <x:c r="X71" s="451" t="n">
        <x:v>1</x:v>
      </x:c>
    </x:row>
    <x:row r="72" ht="24" customHeight="1">
      <x:c r="A72" s="451" t="n">
        <x:v>68</x:v>
      </x:c>
      <x:c r="B72" s="451" t="str">
        <x:v>100 líderes globales</x:v>
      </x:c>
      <x:c r="C72" s="451" t="str">
        <x:v>Université PSL</x:v>
      </x:c>
      <x:c r="D72" s="451" t="str">
        <x:v>Francia</x:v>
      </x:c>
      <x:c r="E72" s="451" t="str">
        <x:v>Europa</x:v>
      </x:c>
      <x:c r="F72" s="451" t="str">
        <x:v>B</x:v>
      </x:c>
      <x:c r="G72" s="451" t="n">
        <x:v>13</x:v>
      </x:c>
      <x:c r="H72" s="451" t="n">
        <x:v>0</x:v>
      </x:c>
      <x:c r="I72" s="451" t="n">
        <x:v>1</x:v>
      </x:c>
      <x:c r="J72" s="451" t="n">
        <x:v>1</x:v>
      </x:c>
      <x:c r="K72" s="451" t="n">
        <x:v>1</x:v>
      </x:c>
      <x:c r="L72" s="451" t="n">
        <x:v>1</x:v>
      </x:c>
      <x:c r="M72" s="451" t="n">
        <x:v>1</x:v>
      </x:c>
      <x:c r="N72" s="451" t="n">
        <x:v>0</x:v>
      </x:c>
      <x:c r="O72" s="451" t="n">
        <x:v>1</x:v>
      </x:c>
      <x:c r="P72" s="451" t="n">
        <x:v>1</x:v>
      </x:c>
      <x:c r="Q72" s="451" t="n">
        <x:v>1</x:v>
      </x:c>
      <x:c r="R72" s="451" t="n">
        <x:v>0</x:v>
      </x:c>
      <x:c r="S72" s="451" t="n">
        <x:v>0</x:v>
      </x:c>
      <x:c r="T72" s="451" t="n">
        <x:v>1</x:v>
      </x:c>
      <x:c r="U72" s="451" t="n">
        <x:v>1</x:v>
      </x:c>
      <x:c r="V72" s="451" t="n">
        <x:v>1</x:v>
      </x:c>
      <x:c r="W72" s="451" t="n">
        <x:v>1</x:v>
      </x:c>
      <x:c r="X72" s="451" t="n">
        <x:v>1</x:v>
      </x:c>
    </x:row>
    <x:row r="73" ht="24" customHeight="1">
      <x:c r="A73" s="451" t="n">
        <x:v>69</x:v>
      </x:c>
      <x:c r="B73" s="451" t="str">
        <x:v>100 líderes globales</x:v>
      </x:c>
      <x:c r="C73" s="451" t="str">
        <x:v>Sorbonne University</x:v>
      </x:c>
      <x:c r="D73" s="451" t="str">
        <x:v>Francia</x:v>
      </x:c>
      <x:c r="E73" s="451" t="str">
        <x:v>Europa</x:v>
      </x:c>
      <x:c r="F73" s="451" t="str">
        <x:v>B</x:v>
      </x:c>
      <x:c r="G73" s="451" t="n">
        <x:v>12</x:v>
      </x:c>
      <x:c r="H73" s="451" t="n">
        <x:v>0</x:v>
      </x:c>
      <x:c r="I73" s="451" t="n">
        <x:v>1</x:v>
      </x:c>
      <x:c r="J73" s="451" t="n">
        <x:v>1</x:v>
      </x:c>
      <x:c r="K73" s="451" t="n">
        <x:v>1</x:v>
      </x:c>
      <x:c r="L73" s="451" t="n">
        <x:v>1</x:v>
      </x:c>
      <x:c r="M73" s="451" t="n">
        <x:v>1</x:v>
      </x:c>
      <x:c r="N73" s="451" t="n">
        <x:v>1</x:v>
      </x:c>
      <x:c r="O73" s="451" t="n">
        <x:v>1</x:v>
      </x:c>
      <x:c r="P73" s="451" t="n">
        <x:v>1</x:v>
      </x:c>
      <x:c r="Q73" s="451" t="n">
        <x:v>1</x:v>
      </x:c>
      <x:c r="R73" s="451" t="n">
        <x:v>0</x:v>
      </x:c>
      <x:c r="S73" s="451" t="n">
        <x:v>0</x:v>
      </x:c>
      <x:c r="T73" s="451" t="n">
        <x:v>0</x:v>
      </x:c>
      <x:c r="U73" s="451" t="n">
        <x:v>0</x:v>
      </x:c>
      <x:c r="V73" s="451" t="n">
        <x:v>1</x:v>
      </x:c>
      <x:c r="W73" s="451" t="n">
        <x:v>1</x:v>
      </x:c>
      <x:c r="X73" s="451" t="n">
        <x:v>1</x:v>
      </x:c>
    </x:row>
    <x:row r="74" ht="24" customHeight="1">
      <x:c r="A74" s="451" t="n">
        <x:v>70</x:v>
      </x:c>
      <x:c r="B74" s="451" t="str">
        <x:v>100 líderes globales</x:v>
      </x:c>
      <x:c r="C74" s="451" t="str">
        <x:v>Institut Polytechnique de Paris</x:v>
      </x:c>
      <x:c r="D74" s="451" t="str">
        <x:v>Francia</x:v>
      </x:c>
      <x:c r="E74" s="451" t="str">
        <x:v>Europa</x:v>
      </x:c>
      <x:c r="F74" s="451" t="str">
        <x:v>B</x:v>
      </x:c>
      <x:c r="G74" s="451" t="n">
        <x:v>11</x:v>
      </x:c>
      <x:c r="H74" s="451" t="n">
        <x:v>0</x:v>
      </x:c>
      <x:c r="I74" s="451" t="n">
        <x:v>1</x:v>
      </x:c>
      <x:c r="J74" s="451" t="n">
        <x:v>1</x:v>
      </x:c>
      <x:c r="K74" s="451" t="n">
        <x:v>1</x:v>
      </x:c>
      <x:c r="L74" s="451" t="n">
        <x:v>1</x:v>
      </x:c>
      <x:c r="M74" s="451" t="n">
        <x:v>1</x:v>
      </x:c>
      <x:c r="N74" s="451" t="n">
        <x:v>1</x:v>
      </x:c>
      <x:c r="O74" s="451" t="n">
        <x:v>1</x:v>
      </x:c>
      <x:c r="P74" s="451" t="n">
        <x:v>1</x:v>
      </x:c>
      <x:c r="Q74" s="451" t="n">
        <x:v>1</x:v>
      </x:c>
      <x:c r="R74" s="451" t="n">
        <x:v>0</x:v>
      </x:c>
      <x:c r="S74" s="451" t="n">
        <x:v>0</x:v>
      </x:c>
      <x:c r="T74" s="451" t="n">
        <x:v>0</x:v>
      </x:c>
      <x:c r="U74" s="451" t="n">
        <x:v>0</x:v>
      </x:c>
      <x:c r="V74" s="451" t="n">
        <x:v>0</x:v>
      </x:c>
      <x:c r="W74" s="451" t="n">
        <x:v>1</x:v>
      </x:c>
      <x:c r="X74" s="451" t="n">
        <x:v>1</x:v>
      </x:c>
    </x:row>
    <x:row r="75" ht="24" customHeight="1">
      <x:c r="A75" s="451" t="n">
        <x:v>71</x:v>
      </x:c>
      <x:c r="B75" s="451" t="str">
        <x:v>100 líderes globales</x:v>
      </x:c>
      <x:c r="C75" s="451" t="str">
        <x:v>Politecnico di Milano</x:v>
      </x:c>
      <x:c r="D75" s="451" t="str">
        <x:v>Italia</x:v>
      </x:c>
      <x:c r="E75" s="451" t="str">
        <x:v>Europa</x:v>
      </x:c>
      <x:c r="F75" s="451" t="str">
        <x:v>B</x:v>
      </x:c>
      <x:c r="G75" s="451" t="n">
        <x:v>13</x:v>
      </x:c>
      <x:c r="H75" s="451" t="n">
        <x:v>0</x:v>
      </x:c>
      <x:c r="I75" s="451" t="n">
        <x:v>1</x:v>
      </x:c>
      <x:c r="J75" s="451" t="n">
        <x:v>1</x:v>
      </x:c>
      <x:c r="K75" s="451" t="n">
        <x:v>1</x:v>
      </x:c>
      <x:c r="L75" s="451" t="n">
        <x:v>1</x:v>
      </x:c>
      <x:c r="M75" s="451" t="n">
        <x:v>1</x:v>
      </x:c>
      <x:c r="N75" s="451" t="n">
        <x:v>1</x:v>
      </x:c>
      <x:c r="O75" s="451" t="n">
        <x:v>1</x:v>
      </x:c>
      <x:c r="P75" s="451" t="n">
        <x:v>1</x:v>
      </x:c>
      <x:c r="Q75" s="451" t="n">
        <x:v>1</x:v>
      </x:c>
      <x:c r="R75" s="451" t="n">
        <x:v>0</x:v>
      </x:c>
      <x:c r="S75" s="451" t="n">
        <x:v>1</x:v>
      </x:c>
      <x:c r="T75" s="451" t="n">
        <x:v>1</x:v>
      </x:c>
      <x:c r="U75" s="451" t="n">
        <x:v>1</x:v>
      </x:c>
      <x:c r="V75" s="451" t="n">
        <x:v>0</x:v>
      </x:c>
      <x:c r="W75" s="451" t="n">
        <x:v>0</x:v>
      </x:c>
      <x:c r="X75" s="451" t="n">
        <x:v>1</x:v>
      </x:c>
    </x:row>
    <x:row r="76" ht="24" customHeight="1">
      <x:c r="A76" s="451" t="n">
        <x:v>72</x:v>
      </x:c>
      <x:c r="B76" s="451" t="str">
        <x:v>100 líderes globales</x:v>
      </x:c>
      <x:c r="C76" s="451" t="str">
        <x:v>Sapienza University of Rome</x:v>
      </x:c>
      <x:c r="D76" s="451" t="str">
        <x:v>Italia</x:v>
      </x:c>
      <x:c r="E76" s="451" t="str">
        <x:v>Europa</x:v>
      </x:c>
      <x:c r="F76" s="451" t="str">
        <x:v>B</x:v>
      </x:c>
      <x:c r="G76" s="451" t="n">
        <x:v>12</x:v>
      </x:c>
      <x:c r="H76" s="451" t="n">
        <x:v>0</x:v>
      </x:c>
      <x:c r="I76" s="451" t="n">
        <x:v>1</x:v>
      </x:c>
      <x:c r="J76" s="451" t="n">
        <x:v>1</x:v>
      </x:c>
      <x:c r="K76" s="451" t="n">
        <x:v>1</x:v>
      </x:c>
      <x:c r="L76" s="451" t="n">
        <x:v>1</x:v>
      </x:c>
      <x:c r="M76" s="451" t="n">
        <x:v>1</x:v>
      </x:c>
      <x:c r="N76" s="451" t="n">
        <x:v>1</x:v>
      </x:c>
      <x:c r="O76" s="451" t="n">
        <x:v>1</x:v>
      </x:c>
      <x:c r="P76" s="451" t="n">
        <x:v>1</x:v>
      </x:c>
      <x:c r="Q76" s="451" t="n">
        <x:v>1</x:v>
      </x:c>
      <x:c r="R76" s="451" t="n">
        <x:v>0</x:v>
      </x:c>
      <x:c r="S76" s="451" t="n">
        <x:v>0</x:v>
      </x:c>
      <x:c r="T76" s="451" t="n">
        <x:v>0</x:v>
      </x:c>
      <x:c r="U76" s="451" t="n">
        <x:v>1</x:v>
      </x:c>
      <x:c r="V76" s="451" t="n">
        <x:v>1</x:v>
      </x:c>
      <x:c r="W76" s="451" t="n">
        <x:v>0</x:v>
      </x:c>
      <x:c r="X76" s="451" t="n">
        <x:v>1</x:v>
      </x:c>
    </x:row>
    <x:row r="77" ht="24" customHeight="1">
      <x:c r="A77" s="451" t="n">
        <x:v>73</x:v>
      </x:c>
      <x:c r="B77" s="451" t="str">
        <x:v>100 líderes globales</x:v>
      </x:c>
      <x:c r="C77" s="451" t="str">
        <x:v>University of Bologna</x:v>
      </x:c>
      <x:c r="D77" s="451" t="str">
        <x:v>Italia</x:v>
      </x:c>
      <x:c r="E77" s="451" t="str">
        <x:v>Europa</x:v>
      </x:c>
      <x:c r="F77" s="451" t="str">
        <x:v>B</x:v>
      </x:c>
      <x:c r="G77" s="451" t="n">
        <x:v>12</x:v>
      </x:c>
      <x:c r="H77" s="451" t="n">
        <x:v>0</x:v>
      </x:c>
      <x:c r="I77" s="451" t="n">
        <x:v>1</x:v>
      </x:c>
      <x:c r="J77" s="451" t="n">
        <x:v>1</x:v>
      </x:c>
      <x:c r="K77" s="451" t="n">
        <x:v>1</x:v>
      </x:c>
      <x:c r="L77" s="451" t="n">
        <x:v>1</x:v>
      </x:c>
      <x:c r="M77" s="451" t="n">
        <x:v>1</x:v>
      </x:c>
      <x:c r="N77" s="451" t="n">
        <x:v>1</x:v>
      </x:c>
      <x:c r="O77" s="451" t="n">
        <x:v>1</x:v>
      </x:c>
      <x:c r="P77" s="451" t="n">
        <x:v>1</x:v>
      </x:c>
      <x:c r="Q77" s="451" t="n">
        <x:v>1</x:v>
      </x:c>
      <x:c r="R77" s="451" t="n">
        <x:v>0</x:v>
      </x:c>
      <x:c r="S77" s="451" t="n">
        <x:v>0</x:v>
      </x:c>
      <x:c r="T77" s="451" t="n">
        <x:v>1</x:v>
      </x:c>
      <x:c r="U77" s="451" t="n">
        <x:v>1</x:v>
      </x:c>
      <x:c r="V77" s="451" t="n">
        <x:v>0</x:v>
      </x:c>
      <x:c r="W77" s="451" t="n">
        <x:v>0</x:v>
      </x:c>
      <x:c r="X77" s="451" t="n">
        <x:v>1</x:v>
      </x:c>
    </x:row>
    <x:row r="78" ht="24" customHeight="1">
      <x:c r="A78" s="451" t="n">
        <x:v>74</x:v>
      </x:c>
      <x:c r="B78" s="451" t="str">
        <x:v>100 líderes globales</x:v>
      </x:c>
      <x:c r="C78" s="451" t="str">
        <x:v>Universitat Politècnica de Catalunya (UPC)</x:v>
      </x:c>
      <x:c r="D78" s="451" t="str">
        <x:v>España</x:v>
      </x:c>
      <x:c r="E78" s="451" t="str">
        <x:v>Europa</x:v>
      </x:c>
      <x:c r="F78" s="451" t="str">
        <x:v>B</x:v>
      </x:c>
      <x:c r="G78" s="451" t="n">
        <x:v>13</x:v>
      </x:c>
      <x:c r="H78" s="451" t="n">
        <x:v>0</x:v>
      </x:c>
      <x:c r="I78" s="451" t="n">
        <x:v>1</x:v>
      </x:c>
      <x:c r="J78" s="451" t="n">
        <x:v>1</x:v>
      </x:c>
      <x:c r="K78" s="451" t="n">
        <x:v>1</x:v>
      </x:c>
      <x:c r="L78" s="451" t="n">
        <x:v>1</x:v>
      </x:c>
      <x:c r="M78" s="451" t="n">
        <x:v>1</x:v>
      </x:c>
      <x:c r="N78" s="451" t="n">
        <x:v>1</x:v>
      </x:c>
      <x:c r="O78" s="451" t="n">
        <x:v>1</x:v>
      </x:c>
      <x:c r="P78" s="451" t="n">
        <x:v>1</x:v>
      </x:c>
      <x:c r="Q78" s="451" t="n">
        <x:v>1</x:v>
      </x:c>
      <x:c r="R78" s="451" t="n">
        <x:v>0</x:v>
      </x:c>
      <x:c r="S78" s="451" t="n">
        <x:v>1</x:v>
      </x:c>
      <x:c r="T78" s="451" t="n">
        <x:v>1</x:v>
      </x:c>
      <x:c r="U78" s="451" t="n">
        <x:v>1</x:v>
      </x:c>
      <x:c r="V78" s="451" t="n">
        <x:v>0</x:v>
      </x:c>
      <x:c r="W78" s="451" t="n">
        <x:v>0</x:v>
      </x:c>
      <x:c r="X78" s="451" t="n">
        <x:v>1</x:v>
      </x:c>
    </x:row>
    <x:row r="79" ht="24" customHeight="1">
      <x:c r="A79" s="451" t="n">
        <x:v>75</x:v>
      </x:c>
      <x:c r="B79" s="451" t="str">
        <x:v>100 líderes globales</x:v>
      </x:c>
      <x:c r="C79" s="451" t="str">
        <x:v>Universidad Politécnica de Madrid</x:v>
      </x:c>
      <x:c r="D79" s="451" t="str">
        <x:v>España</x:v>
      </x:c>
      <x:c r="E79" s="451" t="str">
        <x:v>Europa</x:v>
      </x:c>
      <x:c r="F79" s="451" t="str">
        <x:v>B</x:v>
      </x:c>
      <x:c r="G79" s="451" t="n">
        <x:v>12</x:v>
      </x:c>
      <x:c r="H79" s="451" t="n">
        <x:v>0</x:v>
      </x:c>
      <x:c r="I79" s="451" t="n">
        <x:v>1</x:v>
      </x:c>
      <x:c r="J79" s="451" t="n">
        <x:v>1</x:v>
      </x:c>
      <x:c r="K79" s="451" t="n">
        <x:v>1</x:v>
      </x:c>
      <x:c r="L79" s="451" t="n">
        <x:v>1</x:v>
      </x:c>
      <x:c r="M79" s="451" t="n">
        <x:v>1</x:v>
      </x:c>
      <x:c r="N79" s="451" t="n">
        <x:v>1</x:v>
      </x:c>
      <x:c r="O79" s="451" t="n">
        <x:v>1</x:v>
      </x:c>
      <x:c r="P79" s="451" t="n">
        <x:v>1</x:v>
      </x:c>
      <x:c r="Q79" s="451" t="n">
        <x:v>1</x:v>
      </x:c>
      <x:c r="R79" s="451" t="n">
        <x:v>0</x:v>
      </x:c>
      <x:c r="S79" s="451" t="n">
        <x:v>1</x:v>
      </x:c>
      <x:c r="T79" s="451" t="n">
        <x:v>0</x:v>
      </x:c>
      <x:c r="U79" s="451" t="n">
        <x:v>1</x:v>
      </x:c>
      <x:c r="V79" s="451" t="n">
        <x:v>0</x:v>
      </x:c>
      <x:c r="W79" s="451" t="n">
        <x:v>0</x:v>
      </x:c>
      <x:c r="X79" s="451" t="n">
        <x:v>1</x:v>
      </x:c>
    </x:row>
    <x:row r="80" ht="24" customHeight="1">
      <x:c r="A80" s="451" t="n">
        <x:v>76</x:v>
      </x:c>
      <x:c r="B80" s="451" t="str">
        <x:v>100 líderes globales</x:v>
      </x:c>
      <x:c r="C80" s="451" t="str">
        <x:v>National University of Singapore</x:v>
      </x:c>
      <x:c r="D80" s="451" t="str">
        <x:v>Singapur</x:v>
      </x:c>
      <x:c r="E80" s="451" t="str">
        <x:v>Asia</x:v>
      </x:c>
      <x:c r="F80" s="451" t="str">
        <x:v>A</x:v>
      </x:c>
      <x:c r="G80" s="451" t="n">
        <x:v>14</x:v>
      </x:c>
      <x:c r="H80" s="451" t="n">
        <x:v>0</x:v>
      </x:c>
      <x:c r="I80" s="451" t="n">
        <x:v>1</x:v>
      </x:c>
      <x:c r="J80" s="451" t="n">
        <x:v>1</x:v>
      </x:c>
      <x:c r="K80" s="451" t="n">
        <x:v>1</x:v>
      </x:c>
      <x:c r="L80" s="451" t="n">
        <x:v>1</x:v>
      </x:c>
      <x:c r="M80" s="451" t="n">
        <x:v>1</x:v>
      </x:c>
      <x:c r="N80" s="451" t="n">
        <x:v>1</x:v>
      </x:c>
      <x:c r="O80" s="451" t="n">
        <x:v>1</x:v>
      </x:c>
      <x:c r="P80" s="451" t="n">
        <x:v>1</x:v>
      </x:c>
      <x:c r="Q80" s="451" t="n">
        <x:v>1</x:v>
      </x:c>
      <x:c r="R80" s="451" t="n">
        <x:v>0</x:v>
      </x:c>
      <x:c r="S80" s="451" t="n">
        <x:v>1</x:v>
      </x:c>
      <x:c r="T80" s="451" t="n">
        <x:v>0</x:v>
      </x:c>
      <x:c r="U80" s="451" t="n">
        <x:v>1</x:v>
      </x:c>
      <x:c r="V80" s="451" t="n">
        <x:v>1</x:v>
      </x:c>
      <x:c r="W80" s="451" t="n">
        <x:v>1</x:v>
      </x:c>
      <x:c r="X80" s="451" t="n">
        <x:v>1</x:v>
      </x:c>
    </x:row>
    <x:row r="81" ht="24" customHeight="1">
      <x:c r="A81" s="451" t="n">
        <x:v>77</x:v>
      </x:c>
      <x:c r="B81" s="451" t="str">
        <x:v>100 líderes globales</x:v>
      </x:c>
      <x:c r="C81" s="451" t="str">
        <x:v>Nanyang Technological University</x:v>
      </x:c>
      <x:c r="D81" s="451" t="str">
        <x:v>Singapur</x:v>
      </x:c>
      <x:c r="E81" s="451" t="str">
        <x:v>Asia</x:v>
      </x:c>
      <x:c r="F81" s="451" t="str">
        <x:v>A</x:v>
      </x:c>
      <x:c r="G81" s="451" t="n">
        <x:v>13</x:v>
      </x:c>
      <x:c r="H81" s="451" t="n">
        <x:v>0</x:v>
      </x:c>
      <x:c r="I81" s="451" t="n">
        <x:v>1</x:v>
      </x:c>
      <x:c r="J81" s="451" t="n">
        <x:v>1</x:v>
      </x:c>
      <x:c r="K81" s="451" t="n">
        <x:v>1</x:v>
      </x:c>
      <x:c r="L81" s="451" t="n">
        <x:v>1</x:v>
      </x:c>
      <x:c r="M81" s="451" t="n">
        <x:v>1</x:v>
      </x:c>
      <x:c r="N81" s="451" t="n">
        <x:v>1</x:v>
      </x:c>
      <x:c r="O81" s="451" t="n">
        <x:v>1</x:v>
      </x:c>
      <x:c r="P81" s="451" t="n">
        <x:v>1</x:v>
      </x:c>
      <x:c r="Q81" s="451" t="n">
        <x:v>1</x:v>
      </x:c>
      <x:c r="R81" s="451" t="n">
        <x:v>0</x:v>
      </x:c>
      <x:c r="S81" s="451" t="n">
        <x:v>1</x:v>
      </x:c>
      <x:c r="T81" s="451" t="n">
        <x:v>0</x:v>
      </x:c>
      <x:c r="U81" s="451" t="n">
        <x:v>0</x:v>
      </x:c>
      <x:c r="V81" s="451" t="n">
        <x:v>1</x:v>
      </x:c>
      <x:c r="W81" s="451" t="n">
        <x:v>1</x:v>
      </x:c>
      <x:c r="X81" s="451" t="n">
        <x:v>1</x:v>
      </x:c>
    </x:row>
    <x:row r="82" ht="24" customHeight="1">
      <x:c r="A82" s="451" t="n">
        <x:v>78</x:v>
      </x:c>
      <x:c r="B82" s="451" t="str">
        <x:v>100 líderes globales</x:v>
      </x:c>
      <x:c r="C82" s="451" t="str">
        <x:v>Tsinghua University</x:v>
      </x:c>
      <x:c r="D82" s="451" t="str">
        <x:v>China</x:v>
      </x:c>
      <x:c r="E82" s="451" t="str">
        <x:v>Asia</x:v>
      </x:c>
      <x:c r="F82" s="451" t="str">
        <x:v>A</x:v>
      </x:c>
      <x:c r="G82" s="451" t="n">
        <x:v>12</x:v>
      </x:c>
      <x:c r="H82" s="451" t="n">
        <x:v>0</x:v>
      </x:c>
      <x:c r="I82" s="451" t="n">
        <x:v>1</x:v>
      </x:c>
      <x:c r="J82" s="451" t="n">
        <x:v>1</x:v>
      </x:c>
      <x:c r="K82" s="451" t="n">
        <x:v>1</x:v>
      </x:c>
      <x:c r="L82" s="451" t="n">
        <x:v>1</x:v>
      </x:c>
      <x:c r="M82" s="451" t="n">
        <x:v>1</x:v>
      </x:c>
      <x:c r="N82" s="451" t="n">
        <x:v>1</x:v>
      </x:c>
      <x:c r="O82" s="451" t="n">
        <x:v>1</x:v>
      </x:c>
      <x:c r="P82" s="451" t="n">
        <x:v>1</x:v>
      </x:c>
      <x:c r="Q82" s="451" t="n">
        <x:v>1</x:v>
      </x:c>
      <x:c r="R82" s="451" t="n">
        <x:v>0</x:v>
      </x:c>
      <x:c r="S82" s="451" t="n">
        <x:v>0</x:v>
      </x:c>
      <x:c r="T82" s="451" t="n">
        <x:v>0</x:v>
      </x:c>
      <x:c r="U82" s="451" t="n">
        <x:v>0</x:v>
      </x:c>
      <x:c r="V82" s="451" t="n">
        <x:v>1</x:v>
      </x:c>
      <x:c r="W82" s="451" t="n">
        <x:v>1</x:v>
      </x:c>
      <x:c r="X82" s="451" t="n">
        <x:v>1</x:v>
      </x:c>
    </x:row>
    <x:row r="83" ht="24" customHeight="1">
      <x:c r="A83" s="451" t="n">
        <x:v>79</x:v>
      </x:c>
      <x:c r="B83" s="451" t="str">
        <x:v>100 líderes globales</x:v>
      </x:c>
      <x:c r="C83" s="451" t="str">
        <x:v>Peking University</x:v>
      </x:c>
      <x:c r="D83" s="451" t="str">
        <x:v>China</x:v>
      </x:c>
      <x:c r="E83" s="451" t="str">
        <x:v>Asia</x:v>
      </x:c>
      <x:c r="F83" s="451" t="str">
        <x:v>B</x:v>
      </x:c>
      <x:c r="G83" s="451" t="n">
        <x:v>12</x:v>
      </x:c>
      <x:c r="H83" s="451" t="n">
        <x:v>0</x:v>
      </x:c>
      <x:c r="I83" s="451" t="n">
        <x:v>1</x:v>
      </x:c>
      <x:c r="J83" s="451" t="n">
        <x:v>1</x:v>
      </x:c>
      <x:c r="K83" s="451" t="n">
        <x:v>1</x:v>
      </x:c>
      <x:c r="L83" s="451" t="n">
        <x:v>1</x:v>
      </x:c>
      <x:c r="M83" s="451" t="n">
        <x:v>1</x:v>
      </x:c>
      <x:c r="N83" s="451" t="n">
        <x:v>1</x:v>
      </x:c>
      <x:c r="O83" s="451" t="n">
        <x:v>1</x:v>
      </x:c>
      <x:c r="P83" s="451" t="n">
        <x:v>1</x:v>
      </x:c>
      <x:c r="Q83" s="451" t="n">
        <x:v>1</x:v>
      </x:c>
      <x:c r="R83" s="451" t="n">
        <x:v>0</x:v>
      </x:c>
      <x:c r="S83" s="451" t="n">
        <x:v>0</x:v>
      </x:c>
      <x:c r="T83" s="451" t="n">
        <x:v>0</x:v>
      </x:c>
      <x:c r="U83" s="451" t="n">
        <x:v>0</x:v>
      </x:c>
      <x:c r="V83" s="451" t="n">
        <x:v>1</x:v>
      </x:c>
      <x:c r="W83" s="451" t="n">
        <x:v>1</x:v>
      </x:c>
      <x:c r="X83" s="451" t="n">
        <x:v>1</x:v>
      </x:c>
    </x:row>
    <x:row r="84" ht="24" customHeight="1">
      <x:c r="A84" s="451" t="n">
        <x:v>80</x:v>
      </x:c>
      <x:c r="B84" s="451" t="str">
        <x:v>100 líderes globales</x:v>
      </x:c>
      <x:c r="C84" s="451" t="str">
        <x:v>Shanghai Jiao Tong University</x:v>
      </x:c>
      <x:c r="D84" s="451" t="str">
        <x:v>China</x:v>
      </x:c>
      <x:c r="E84" s="451" t="str">
        <x:v>Asia</x:v>
      </x:c>
      <x:c r="F84" s="451" t="str">
        <x:v>B</x:v>
      </x:c>
      <x:c r="G84" s="451" t="n">
        <x:v>12</x:v>
      </x:c>
      <x:c r="H84" s="451" t="n">
        <x:v>0</x:v>
      </x:c>
      <x:c r="I84" s="451" t="n">
        <x:v>1</x:v>
      </x:c>
      <x:c r="J84" s="451" t="n">
        <x:v>1</x:v>
      </x:c>
      <x:c r="K84" s="451" t="n">
        <x:v>1</x:v>
      </x:c>
      <x:c r="L84" s="451" t="n">
        <x:v>1</x:v>
      </x:c>
      <x:c r="M84" s="451" t="n">
        <x:v>1</x:v>
      </x:c>
      <x:c r="N84" s="451" t="n">
        <x:v>1</x:v>
      </x:c>
      <x:c r="O84" s="451" t="n">
        <x:v>1</x:v>
      </x:c>
      <x:c r="P84" s="451" t="n">
        <x:v>1</x:v>
      </x:c>
      <x:c r="Q84" s="451" t="n">
        <x:v>1</x:v>
      </x:c>
      <x:c r="R84" s="451" t="n">
        <x:v>0</x:v>
      </x:c>
      <x:c r="S84" s="451" t="n">
        <x:v>0</x:v>
      </x:c>
      <x:c r="T84" s="451" t="n">
        <x:v>0</x:v>
      </x:c>
      <x:c r="U84" s="451" t="n">
        <x:v>0</x:v>
      </x:c>
      <x:c r="V84" s="451" t="n">
        <x:v>1</x:v>
      </x:c>
      <x:c r="W84" s="451" t="n">
        <x:v>1</x:v>
      </x:c>
      <x:c r="X84" s="451" t="n">
        <x:v>1</x:v>
      </x:c>
    </x:row>
    <x:row r="85" ht="24" customHeight="1">
      <x:c r="A85" s="451" t="n">
        <x:v>81</x:v>
      </x:c>
      <x:c r="B85" s="451" t="str">
        <x:v>100 líderes globales</x:v>
      </x:c>
      <x:c r="C85" s="451" t="str">
        <x:v>Zhejiang University</x:v>
      </x:c>
      <x:c r="D85" s="451" t="str">
        <x:v>China</x:v>
      </x:c>
      <x:c r="E85" s="451" t="str">
        <x:v>Asia</x:v>
      </x:c>
      <x:c r="F85" s="451" t="str">
        <x:v>B</x:v>
      </x:c>
      <x:c r="G85" s="451" t="n">
        <x:v>13</x:v>
      </x:c>
      <x:c r="H85" s="451" t="n">
        <x:v>0</x:v>
      </x:c>
      <x:c r="I85" s="451" t="n">
        <x:v>1</x:v>
      </x:c>
      <x:c r="J85" s="451" t="n">
        <x:v>1</x:v>
      </x:c>
      <x:c r="K85" s="451" t="n">
        <x:v>1</x:v>
      </x:c>
      <x:c r="L85" s="451" t="n">
        <x:v>1</x:v>
      </x:c>
      <x:c r="M85" s="451" t="n">
        <x:v>1</x:v>
      </x:c>
      <x:c r="N85" s="451" t="n">
        <x:v>1</x:v>
      </x:c>
      <x:c r="O85" s="451" t="n">
        <x:v>1</x:v>
      </x:c>
      <x:c r="P85" s="451" t="n">
        <x:v>1</x:v>
      </x:c>
      <x:c r="Q85" s="451" t="n">
        <x:v>1</x:v>
      </x:c>
      <x:c r="R85" s="451" t="n">
        <x:v>0</x:v>
      </x:c>
      <x:c r="S85" s="451" t="n">
        <x:v>1</x:v>
      </x:c>
      <x:c r="T85" s="451" t="n">
        <x:v>0</x:v>
      </x:c>
      <x:c r="U85" s="451" t="n">
        <x:v>0</x:v>
      </x:c>
      <x:c r="V85" s="451" t="n">
        <x:v>1</x:v>
      </x:c>
      <x:c r="W85" s="451" t="n">
        <x:v>1</x:v>
      </x:c>
      <x:c r="X85" s="451" t="n">
        <x:v>1</x:v>
      </x:c>
    </x:row>
    <x:row r="86" ht="24" customHeight="1">
      <x:c r="A86" s="451" t="n">
        <x:v>82</x:v>
      </x:c>
      <x:c r="B86" s="451" t="str">
        <x:v>100 líderes globales</x:v>
      </x:c>
      <x:c r="C86" s="451" t="str">
        <x:v>University of Science and Technology of China</x:v>
      </x:c>
      <x:c r="D86" s="451" t="str">
        <x:v>China</x:v>
      </x:c>
      <x:c r="E86" s="451" t="str">
        <x:v>Asia</x:v>
      </x:c>
      <x:c r="F86" s="451" t="str">
        <x:v>B</x:v>
      </x:c>
      <x:c r="G86" s="451" t="n">
        <x:v>12</x:v>
      </x:c>
      <x:c r="H86" s="451" t="n">
        <x:v>0</x:v>
      </x:c>
      <x:c r="I86" s="451" t="n">
        <x:v>1</x:v>
      </x:c>
      <x:c r="J86" s="451" t="n">
        <x:v>1</x:v>
      </x:c>
      <x:c r="K86" s="451" t="n">
        <x:v>1</x:v>
      </x:c>
      <x:c r="L86" s="451" t="n">
        <x:v>1</x:v>
      </x:c>
      <x:c r="M86" s="451" t="n">
        <x:v>1</x:v>
      </x:c>
      <x:c r="N86" s="451" t="n">
        <x:v>1</x:v>
      </x:c>
      <x:c r="O86" s="451" t="n">
        <x:v>1</x:v>
      </x:c>
      <x:c r="P86" s="451" t="n">
        <x:v>1</x:v>
      </x:c>
      <x:c r="Q86" s="451" t="n">
        <x:v>1</x:v>
      </x:c>
      <x:c r="R86" s="451" t="n">
        <x:v>0</x:v>
      </x:c>
      <x:c r="S86" s="451" t="n">
        <x:v>0</x:v>
      </x:c>
      <x:c r="T86" s="451" t="n">
        <x:v>0</x:v>
      </x:c>
      <x:c r="U86" s="451" t="n">
        <x:v>0</x:v>
      </x:c>
      <x:c r="V86" s="451" t="n">
        <x:v>1</x:v>
      </x:c>
      <x:c r="W86" s="451" t="n">
        <x:v>1</x:v>
      </x:c>
      <x:c r="X86" s="451" t="n">
        <x:v>1</x:v>
      </x:c>
    </x:row>
    <x:row r="87" ht="24" customHeight="1">
      <x:c r="A87" s="451" t="n">
        <x:v>83</x:v>
      </x:c>
      <x:c r="B87" s="451" t="str">
        <x:v>100 líderes globales</x:v>
      </x:c>
      <x:c r="C87" s="451" t="str">
        <x:v>Fudan University</x:v>
      </x:c>
      <x:c r="D87" s="451" t="str">
        <x:v>China</x:v>
      </x:c>
      <x:c r="E87" s="451" t="str">
        <x:v>Asia</x:v>
      </x:c>
      <x:c r="F87" s="451" t="str">
        <x:v>B</x:v>
      </x:c>
      <x:c r="G87" s="451" t="n">
        <x:v>12</x:v>
      </x:c>
      <x:c r="H87" s="451" t="n">
        <x:v>0</x:v>
      </x:c>
      <x:c r="I87" s="451" t="n">
        <x:v>1</x:v>
      </x:c>
      <x:c r="J87" s="451" t="n">
        <x:v>1</x:v>
      </x:c>
      <x:c r="K87" s="451" t="n">
        <x:v>1</x:v>
      </x:c>
      <x:c r="L87" s="451" t="n">
        <x:v>1</x:v>
      </x:c>
      <x:c r="M87" s="451" t="n">
        <x:v>1</x:v>
      </x:c>
      <x:c r="N87" s="451" t="n">
        <x:v>1</x:v>
      </x:c>
      <x:c r="O87" s="451" t="n">
        <x:v>1</x:v>
      </x:c>
      <x:c r="P87" s="451" t="n">
        <x:v>1</x:v>
      </x:c>
      <x:c r="Q87" s="451" t="n">
        <x:v>1</x:v>
      </x:c>
      <x:c r="R87" s="451" t="n">
        <x:v>0</x:v>
      </x:c>
      <x:c r="S87" s="451" t="n">
        <x:v>0</x:v>
      </x:c>
      <x:c r="T87" s="451" t="n">
        <x:v>0</x:v>
      </x:c>
      <x:c r="U87" s="451" t="n">
        <x:v>0</x:v>
      </x:c>
      <x:c r="V87" s="451" t="n">
        <x:v>1</x:v>
      </x:c>
      <x:c r="W87" s="451" t="n">
        <x:v>1</x:v>
      </x:c>
      <x:c r="X87" s="451" t="n">
        <x:v>1</x:v>
      </x:c>
    </x:row>
    <x:row r="88" ht="24" customHeight="1">
      <x:c r="A88" s="451" t="n">
        <x:v>84</x:v>
      </x:c>
      <x:c r="B88" s="451" t="str">
        <x:v>100 líderes globales</x:v>
      </x:c>
      <x:c r="C88" s="451" t="str">
        <x:v>Chinese University of Hong Kong</x:v>
      </x:c>
      <x:c r="D88" s="451" t="str">
        <x:v>Hong Kong</x:v>
      </x:c>
      <x:c r="E88" s="451" t="str">
        <x:v>Asia</x:v>
      </x:c>
      <x:c r="F88" s="451" t="str">
        <x:v>B</x:v>
      </x:c>
      <x:c r="G88" s="451" t="n">
        <x:v>14</x:v>
      </x:c>
      <x:c r="H88" s="451" t="n">
        <x:v>0</x:v>
      </x:c>
      <x:c r="I88" s="451" t="n">
        <x:v>1</x:v>
      </x:c>
      <x:c r="J88" s="451" t="n">
        <x:v>1</x:v>
      </x:c>
      <x:c r="K88" s="451" t="n">
        <x:v>1</x:v>
      </x:c>
      <x:c r="L88" s="451" t="n">
        <x:v>1</x:v>
      </x:c>
      <x:c r="M88" s="451" t="n">
        <x:v>1</x:v>
      </x:c>
      <x:c r="N88" s="451" t="n">
        <x:v>1</x:v>
      </x:c>
      <x:c r="O88" s="451" t="n">
        <x:v>1</x:v>
      </x:c>
      <x:c r="P88" s="451" t="n">
        <x:v>1</x:v>
      </x:c>
      <x:c r="Q88" s="451" t="n">
        <x:v>1</x:v>
      </x:c>
      <x:c r="R88" s="451" t="n">
        <x:v>0</x:v>
      </x:c>
      <x:c r="S88" s="451" t="n">
        <x:v>1</x:v>
      </x:c>
      <x:c r="T88" s="451" t="n">
        <x:v>0</x:v>
      </x:c>
      <x:c r="U88" s="451" t="n">
        <x:v>1</x:v>
      </x:c>
      <x:c r="V88" s="451" t="n">
        <x:v>1</x:v>
      </x:c>
      <x:c r="W88" s="451" t="n">
        <x:v>1</x:v>
      </x:c>
      <x:c r="X88" s="451" t="n">
        <x:v>1</x:v>
      </x:c>
    </x:row>
    <x:row r="89" ht="24" customHeight="1">
      <x:c r="A89" s="451" t="n">
        <x:v>85</x:v>
      </x:c>
      <x:c r="B89" s="451" t="str">
        <x:v>100 líderes globales</x:v>
      </x:c>
      <x:c r="C89" s="451" t="str">
        <x:v>Hong Kong University of Science and Technology</x:v>
      </x:c>
      <x:c r="D89" s="451" t="str">
        <x:v>Hong Kong</x:v>
      </x:c>
      <x:c r="E89" s="451" t="str">
        <x:v>Asia</x:v>
      </x:c>
      <x:c r="F89" s="451" t="str">
        <x:v>B</x:v>
      </x:c>
      <x:c r="G89" s="451" t="n">
        <x:v>13</x:v>
      </x:c>
      <x:c r="H89" s="451" t="n">
        <x:v>0</x:v>
      </x:c>
      <x:c r="I89" s="451" t="n">
        <x:v>1</x:v>
      </x:c>
      <x:c r="J89" s="451" t="n">
        <x:v>1</x:v>
      </x:c>
      <x:c r="K89" s="451" t="n">
        <x:v>1</x:v>
      </x:c>
      <x:c r="L89" s="451" t="n">
        <x:v>1</x:v>
      </x:c>
      <x:c r="M89" s="451" t="n">
        <x:v>1</x:v>
      </x:c>
      <x:c r="N89" s="451" t="n">
        <x:v>1</x:v>
      </x:c>
      <x:c r="O89" s="451" t="n">
        <x:v>1</x:v>
      </x:c>
      <x:c r="P89" s="451" t="n">
        <x:v>1</x:v>
      </x:c>
      <x:c r="Q89" s="451" t="n">
        <x:v>1</x:v>
      </x:c>
      <x:c r="R89" s="451" t="n">
        <x:v>0</x:v>
      </x:c>
      <x:c r="S89" s="451" t="n">
        <x:v>1</x:v>
      </x:c>
      <x:c r="T89" s="451" t="n">
        <x:v>0</x:v>
      </x:c>
      <x:c r="U89" s="451" t="n">
        <x:v>0</x:v>
      </x:c>
      <x:c r="V89" s="451" t="n">
        <x:v>1</x:v>
      </x:c>
      <x:c r="W89" s="451" t="n">
        <x:v>1</x:v>
      </x:c>
      <x:c r="X89" s="451" t="n">
        <x:v>1</x:v>
      </x:c>
    </x:row>
    <x:row r="90" ht="24" customHeight="1">
      <x:c r="A90" s="451" t="n">
        <x:v>86</x:v>
      </x:c>
      <x:c r="B90" s="451" t="str">
        <x:v>100 líderes globales</x:v>
      </x:c>
      <x:c r="C90" s="451" t="str">
        <x:v>University of Hong Kong</x:v>
      </x:c>
      <x:c r="D90" s="451" t="str">
        <x:v>Hong Kong</x:v>
      </x:c>
      <x:c r="E90" s="451" t="str">
        <x:v>Asia</x:v>
      </x:c>
      <x:c r="F90" s="451" t="str">
        <x:v>B</x:v>
      </x:c>
      <x:c r="G90" s="451" t="n">
        <x:v>13</x:v>
      </x:c>
      <x:c r="H90" s="451" t="n">
        <x:v>0</x:v>
      </x:c>
      <x:c r="I90" s="451" t="n">
        <x:v>1</x:v>
      </x:c>
      <x:c r="J90" s="451" t="n">
        <x:v>1</x:v>
      </x:c>
      <x:c r="K90" s="451" t="n">
        <x:v>1</x:v>
      </x:c>
      <x:c r="L90" s="451" t="n">
        <x:v>1</x:v>
      </x:c>
      <x:c r="M90" s="451" t="n">
        <x:v>1</x:v>
      </x:c>
      <x:c r="N90" s="451" t="n">
        <x:v>1</x:v>
      </x:c>
      <x:c r="O90" s="451" t="n">
        <x:v>1</x:v>
      </x:c>
      <x:c r="P90" s="451" t="n">
        <x:v>1</x:v>
      </x:c>
      <x:c r="Q90" s="451" t="n">
        <x:v>1</x:v>
      </x:c>
      <x:c r="R90" s="451" t="n">
        <x:v>0</x:v>
      </x:c>
      <x:c r="S90" s="451" t="n">
        <x:v>0</x:v>
      </x:c>
      <x:c r="T90" s="451" t="n">
        <x:v>0</x:v>
      </x:c>
      <x:c r="U90" s="451" t="n">
        <x:v>1</x:v>
      </x:c>
      <x:c r="V90" s="451" t="n">
        <x:v>1</x:v>
      </x:c>
      <x:c r="W90" s="451" t="n">
        <x:v>1</x:v>
      </x:c>
      <x:c r="X90" s="451" t="n">
        <x:v>1</x:v>
      </x:c>
    </x:row>
    <x:row r="91" ht="24" customHeight="1">
      <x:c r="A91" s="451" t="n">
        <x:v>87</x:v>
      </x:c>
      <x:c r="B91" s="451" t="str">
        <x:v>100 líderes globales</x:v>
      </x:c>
      <x:c r="C91" s="451" t="str">
        <x:v>University of Tokyo</x:v>
      </x:c>
      <x:c r="D91" s="451" t="str">
        <x:v>Japón</x:v>
      </x:c>
      <x:c r="E91" s="451" t="str">
        <x:v>Asia</x:v>
      </x:c>
      <x:c r="F91" s="451" t="str">
        <x:v>A</x:v>
      </x:c>
      <x:c r="G91" s="451" t="n">
        <x:v>13</x:v>
      </x:c>
      <x:c r="H91" s="451" t="n">
        <x:v>0</x:v>
      </x:c>
      <x:c r="I91" s="451" t="n">
        <x:v>1</x:v>
      </x:c>
      <x:c r="J91" s="451" t="n">
        <x:v>1</x:v>
      </x:c>
      <x:c r="K91" s="451" t="n">
        <x:v>1</x:v>
      </x:c>
      <x:c r="L91" s="451" t="n">
        <x:v>1</x:v>
      </x:c>
      <x:c r="M91" s="451" t="n">
        <x:v>1</x:v>
      </x:c>
      <x:c r="N91" s="451" t="n">
        <x:v>1</x:v>
      </x:c>
      <x:c r="O91" s="451" t="n">
        <x:v>1</x:v>
      </x:c>
      <x:c r="P91" s="451" t="n">
        <x:v>1</x:v>
      </x:c>
      <x:c r="Q91" s="451" t="n">
        <x:v>1</x:v>
      </x:c>
      <x:c r="R91" s="451" t="n">
        <x:v>0</x:v>
      </x:c>
      <x:c r="S91" s="451" t="n">
        <x:v>1</x:v>
      </x:c>
      <x:c r="T91" s="451" t="n">
        <x:v>0</x:v>
      </x:c>
      <x:c r="U91" s="451" t="n">
        <x:v>0</x:v>
      </x:c>
      <x:c r="V91" s="451" t="n">
        <x:v>1</x:v>
      </x:c>
      <x:c r="W91" s="451" t="n">
        <x:v>1</x:v>
      </x:c>
      <x:c r="X91" s="451" t="n">
        <x:v>1</x:v>
      </x:c>
    </x:row>
    <x:row r="92" ht="24" customHeight="1">
      <x:c r="A92" s="451" t="n">
        <x:v>88</x:v>
      </x:c>
      <x:c r="B92" s="451" t="str">
        <x:v>100 líderes globales</x:v>
      </x:c>
      <x:c r="C92" s="451" t="str">
        <x:v>Kyoto University</x:v>
      </x:c>
      <x:c r="D92" s="451" t="str">
        <x:v>Japón</x:v>
      </x:c>
      <x:c r="E92" s="451" t="str">
        <x:v>Asia</x:v>
      </x:c>
      <x:c r="F92" s="451" t="str">
        <x:v>B</x:v>
      </x:c>
      <x:c r="G92" s="451" t="n">
        <x:v>12</x:v>
      </x:c>
      <x:c r="H92" s="451" t="n">
        <x:v>0</x:v>
      </x:c>
      <x:c r="I92" s="451" t="n">
        <x:v>1</x:v>
      </x:c>
      <x:c r="J92" s="451" t="n">
        <x:v>1</x:v>
      </x:c>
      <x:c r="K92" s="451" t="n">
        <x:v>1</x:v>
      </x:c>
      <x:c r="L92" s="451" t="n">
        <x:v>1</x:v>
      </x:c>
      <x:c r="M92" s="451" t="n">
        <x:v>1</x:v>
      </x:c>
      <x:c r="N92" s="451" t="n">
        <x:v>1</x:v>
      </x:c>
      <x:c r="O92" s="451" t="n">
        <x:v>1</x:v>
      </x:c>
      <x:c r="P92" s="451" t="n">
        <x:v>1</x:v>
      </x:c>
      <x:c r="Q92" s="451" t="n">
        <x:v>1</x:v>
      </x:c>
      <x:c r="R92" s="451" t="n">
        <x:v>0</x:v>
      </x:c>
      <x:c r="S92" s="451" t="n">
        <x:v>0</x:v>
      </x:c>
      <x:c r="T92" s="451" t="n">
        <x:v>0</x:v>
      </x:c>
      <x:c r="U92" s="451" t="n">
        <x:v>0</x:v>
      </x:c>
      <x:c r="V92" s="451" t="n">
        <x:v>1</x:v>
      </x:c>
      <x:c r="W92" s="451" t="n">
        <x:v>1</x:v>
      </x:c>
      <x:c r="X92" s="451" t="n">
        <x:v>1</x:v>
      </x:c>
    </x:row>
    <x:row r="93" ht="24" customHeight="1">
      <x:c r="A93" s="451" t="n">
        <x:v>89</x:v>
      </x:c>
      <x:c r="B93" s="451" t="str">
        <x:v>100 líderes globales</x:v>
      </x:c>
      <x:c r="C93" s="451" t="str">
        <x:v>Osaka University</x:v>
      </x:c>
      <x:c r="D93" s="451" t="str">
        <x:v>Japón</x:v>
      </x:c>
      <x:c r="E93" s="451" t="str">
        <x:v>Asia</x:v>
      </x:c>
      <x:c r="F93" s="451" t="str">
        <x:v>B</x:v>
      </x:c>
      <x:c r="G93" s="451" t="n">
        <x:v>12</x:v>
      </x:c>
      <x:c r="H93" s="451" t="n">
        <x:v>0</x:v>
      </x:c>
      <x:c r="I93" s="451" t="n">
        <x:v>1</x:v>
      </x:c>
      <x:c r="J93" s="451" t="n">
        <x:v>1</x:v>
      </x:c>
      <x:c r="K93" s="451" t="n">
        <x:v>1</x:v>
      </x:c>
      <x:c r="L93" s="451" t="n">
        <x:v>1</x:v>
      </x:c>
      <x:c r="M93" s="451" t="n">
        <x:v>1</x:v>
      </x:c>
      <x:c r="N93" s="451" t="n">
        <x:v>1</x:v>
      </x:c>
      <x:c r="O93" s="451" t="n">
        <x:v>1</x:v>
      </x:c>
      <x:c r="P93" s="451" t="n">
        <x:v>1</x:v>
      </x:c>
      <x:c r="Q93" s="451" t="n">
        <x:v>1</x:v>
      </x:c>
      <x:c r="R93" s="451" t="n">
        <x:v>0</x:v>
      </x:c>
      <x:c r="S93" s="451" t="n">
        <x:v>0</x:v>
      </x:c>
      <x:c r="T93" s="451" t="n">
        <x:v>0</x:v>
      </x:c>
      <x:c r="U93" s="451" t="n">
        <x:v>0</x:v>
      </x:c>
      <x:c r="V93" s="451" t="n">
        <x:v>1</x:v>
      </x:c>
      <x:c r="W93" s="451" t="n">
        <x:v>1</x:v>
      </x:c>
      <x:c r="X93" s="451" t="n">
        <x:v>1</x:v>
      </x:c>
    </x:row>
    <x:row r="94" ht="24" customHeight="1">
      <x:c r="A94" s="451" t="n">
        <x:v>90</x:v>
      </x:c>
      <x:c r="B94" s="451" t="str">
        <x:v>100 líderes globales</x:v>
      </x:c>
      <x:c r="C94" s="451" t="str">
        <x:v>Tohoku University</x:v>
      </x:c>
      <x:c r="D94" s="451" t="str">
        <x:v>Japón</x:v>
      </x:c>
      <x:c r="E94" s="451" t="str">
        <x:v>Asia</x:v>
      </x:c>
      <x:c r="F94" s="451" t="str">
        <x:v>B</x:v>
      </x:c>
      <x:c r="G94" s="451" t="n">
        <x:v>12</x:v>
      </x:c>
      <x:c r="H94" s="451" t="n">
        <x:v>0</x:v>
      </x:c>
      <x:c r="I94" s="451" t="n">
        <x:v>1</x:v>
      </x:c>
      <x:c r="J94" s="451" t="n">
        <x:v>1</x:v>
      </x:c>
      <x:c r="K94" s="451" t="n">
        <x:v>1</x:v>
      </x:c>
      <x:c r="L94" s="451" t="n">
        <x:v>1</x:v>
      </x:c>
      <x:c r="M94" s="451" t="n">
        <x:v>1</x:v>
      </x:c>
      <x:c r="N94" s="451" t="n">
        <x:v>1</x:v>
      </x:c>
      <x:c r="O94" s="451" t="n">
        <x:v>1</x:v>
      </x:c>
      <x:c r="P94" s="451" t="n">
        <x:v>1</x:v>
      </x:c>
      <x:c r="Q94" s="451" t="n">
        <x:v>1</x:v>
      </x:c>
      <x:c r="R94" s="451" t="n">
        <x:v>0</x:v>
      </x:c>
      <x:c r="S94" s="451" t="n">
        <x:v>0</x:v>
      </x:c>
      <x:c r="T94" s="451" t="n">
        <x:v>0</x:v>
      </x:c>
      <x:c r="U94" s="451" t="n">
        <x:v>0</x:v>
      </x:c>
      <x:c r="V94" s="451" t="n">
        <x:v>1</x:v>
      </x:c>
      <x:c r="W94" s="451" t="n">
        <x:v>1</x:v>
      </x:c>
      <x:c r="X94" s="451" t="n">
        <x:v>1</x:v>
      </x:c>
    </x:row>
    <x:row r="95" ht="24" customHeight="1">
      <x:c r="A95" s="451" t="n">
        <x:v>91</x:v>
      </x:c>
      <x:c r="B95" s="451" t="str">
        <x:v>100 líderes globales</x:v>
      </x:c>
      <x:c r="C95" s="451" t="str">
        <x:v>Institute of Science Tokyo</x:v>
      </x:c>
      <x:c r="D95" s="451" t="str">
        <x:v>Japón</x:v>
      </x:c>
      <x:c r="E95" s="451" t="str">
        <x:v>Asia</x:v>
      </x:c>
      <x:c r="F95" s="451" t="str">
        <x:v>B</x:v>
      </x:c>
      <x:c r="G95" s="451" t="n">
        <x:v>11</x:v>
      </x:c>
      <x:c r="H95" s="451" t="n">
        <x:v>0</x:v>
      </x:c>
      <x:c r="I95" s="451" t="n">
        <x:v>1</x:v>
      </x:c>
      <x:c r="J95" s="451" t="n">
        <x:v>1</x:v>
      </x:c>
      <x:c r="K95" s="451" t="n">
        <x:v>1</x:v>
      </x:c>
      <x:c r="L95" s="451" t="n">
        <x:v>1</x:v>
      </x:c>
      <x:c r="M95" s="451" t="n">
        <x:v>1</x:v>
      </x:c>
      <x:c r="N95" s="451" t="n">
        <x:v>1</x:v>
      </x:c>
      <x:c r="O95" s="451" t="n">
        <x:v>1</x:v>
      </x:c>
      <x:c r="P95" s="451" t="n">
        <x:v>1</x:v>
      </x:c>
      <x:c r="Q95" s="451" t="n">
        <x:v>1</x:v>
      </x:c>
      <x:c r="R95" s="451" t="n">
        <x:v>0</x:v>
      </x:c>
      <x:c r="S95" s="451" t="n">
        <x:v>0</x:v>
      </x:c>
      <x:c r="T95" s="451" t="n">
        <x:v>0</x:v>
      </x:c>
      <x:c r="U95" s="451" t="n">
        <x:v>0</x:v>
      </x:c>
      <x:c r="V95" s="451" t="n">
        <x:v>0</x:v>
      </x:c>
      <x:c r="W95" s="451" t="n">
        <x:v>1</x:v>
      </x:c>
      <x:c r="X95" s="451" t="n">
        <x:v>1</x:v>
      </x:c>
    </x:row>
    <x:row r="96" ht="24" customHeight="1">
      <x:c r="A96" s="451" t="n">
        <x:v>92</x:v>
      </x:c>
      <x:c r="B96" s="451" t="str">
        <x:v>100 líderes globales</x:v>
      </x:c>
      <x:c r="C96" s="451" t="str">
        <x:v>KAIST</x:v>
      </x:c>
      <x:c r="D96" s="451" t="str">
        <x:v>Corea del Sur</x:v>
      </x:c>
      <x:c r="E96" s="451" t="str">
        <x:v>Asia</x:v>
      </x:c>
      <x:c r="F96" s="451" t="str">
        <x:v>B</x:v>
      </x:c>
      <x:c r="G96" s="451" t="n">
        <x:v>12</x:v>
      </x:c>
      <x:c r="H96" s="451" t="n">
        <x:v>0</x:v>
      </x:c>
      <x:c r="I96" s="451" t="n">
        <x:v>1</x:v>
      </x:c>
      <x:c r="J96" s="451" t="n">
        <x:v>1</x:v>
      </x:c>
      <x:c r="K96" s="451" t="n">
        <x:v>1</x:v>
      </x:c>
      <x:c r="L96" s="451" t="n">
        <x:v>1</x:v>
      </x:c>
      <x:c r="M96" s="451" t="n">
        <x:v>1</x:v>
      </x:c>
      <x:c r="N96" s="451" t="n">
        <x:v>1</x:v>
      </x:c>
      <x:c r="O96" s="451" t="n">
        <x:v>1</x:v>
      </x:c>
      <x:c r="P96" s="451" t="n">
        <x:v>1</x:v>
      </x:c>
      <x:c r="Q96" s="451" t="n">
        <x:v>1</x:v>
      </x:c>
      <x:c r="R96" s="451" t="n">
        <x:v>0</x:v>
      </x:c>
      <x:c r="S96" s="451" t="n">
        <x:v>0</x:v>
      </x:c>
      <x:c r="T96" s="451" t="n">
        <x:v>0</x:v>
      </x:c>
      <x:c r="U96" s="451" t="n">
        <x:v>0</x:v>
      </x:c>
      <x:c r="V96" s="451" t="n">
        <x:v>1</x:v>
      </x:c>
      <x:c r="W96" s="451" t="n">
        <x:v>1</x:v>
      </x:c>
      <x:c r="X96" s="451" t="n">
        <x:v>1</x:v>
      </x:c>
    </x:row>
    <x:row r="97" ht="24" customHeight="1">
      <x:c r="A97" s="451" t="n">
        <x:v>93</x:v>
      </x:c>
      <x:c r="B97" s="451" t="str">
        <x:v>100 líderes globales</x:v>
      </x:c>
      <x:c r="C97" s="451" t="str">
        <x:v>Seoul National University</x:v>
      </x:c>
      <x:c r="D97" s="451" t="str">
        <x:v>Corea del Sur</x:v>
      </x:c>
      <x:c r="E97" s="451" t="str">
        <x:v>Asia</x:v>
      </x:c>
      <x:c r="F97" s="451" t="str">
        <x:v>B</x:v>
      </x:c>
      <x:c r="G97" s="451" t="n">
        <x:v>12</x:v>
      </x:c>
      <x:c r="H97" s="451" t="n">
        <x:v>0</x:v>
      </x:c>
      <x:c r="I97" s="451" t="n">
        <x:v>1</x:v>
      </x:c>
      <x:c r="J97" s="451" t="n">
        <x:v>1</x:v>
      </x:c>
      <x:c r="K97" s="451" t="n">
        <x:v>1</x:v>
      </x:c>
      <x:c r="L97" s="451" t="n">
        <x:v>1</x:v>
      </x:c>
      <x:c r="M97" s="451" t="n">
        <x:v>1</x:v>
      </x:c>
      <x:c r="N97" s="451" t="n">
        <x:v>1</x:v>
      </x:c>
      <x:c r="O97" s="451" t="n">
        <x:v>1</x:v>
      </x:c>
      <x:c r="P97" s="451" t="n">
        <x:v>1</x:v>
      </x:c>
      <x:c r="Q97" s="451" t="n">
        <x:v>1</x:v>
      </x:c>
      <x:c r="R97" s="451" t="n">
        <x:v>0</x:v>
      </x:c>
      <x:c r="S97" s="451" t="n">
        <x:v>0</x:v>
      </x:c>
      <x:c r="T97" s="451" t="n">
        <x:v>0</x:v>
      </x:c>
      <x:c r="U97" s="451" t="n">
        <x:v>0</x:v>
      </x:c>
      <x:c r="V97" s="451" t="n">
        <x:v>1</x:v>
      </x:c>
      <x:c r="W97" s="451" t="n">
        <x:v>1</x:v>
      </x:c>
      <x:c r="X97" s="451" t="n">
        <x:v>1</x:v>
      </x:c>
    </x:row>
    <x:row r="98" ht="24" customHeight="1">
      <x:c r="A98" s="451" t="n">
        <x:v>94</x:v>
      </x:c>
      <x:c r="B98" s="451" t="str">
        <x:v>100 líderes globales</x:v>
      </x:c>
      <x:c r="C98" s="451" t="str">
        <x:v>POSTECH</x:v>
      </x:c>
      <x:c r="D98" s="451" t="str">
        <x:v>Corea del Sur</x:v>
      </x:c>
      <x:c r="E98" s="451" t="str">
        <x:v>Asia</x:v>
      </x:c>
      <x:c r="F98" s="451" t="str">
        <x:v>B</x:v>
      </x:c>
      <x:c r="G98" s="451" t="n">
        <x:v>11</x:v>
      </x:c>
      <x:c r="H98" s="451" t="n">
        <x:v>0</x:v>
      </x:c>
      <x:c r="I98" s="451" t="n">
        <x:v>1</x:v>
      </x:c>
      <x:c r="J98" s="451" t="n">
        <x:v>1</x:v>
      </x:c>
      <x:c r="K98" s="451" t="n">
        <x:v>1</x:v>
      </x:c>
      <x:c r="L98" s="451" t="n">
        <x:v>1</x:v>
      </x:c>
      <x:c r="M98" s="451" t="n">
        <x:v>1</x:v>
      </x:c>
      <x:c r="N98" s="451" t="n">
        <x:v>1</x:v>
      </x:c>
      <x:c r="O98" s="451" t="n">
        <x:v>1</x:v>
      </x:c>
      <x:c r="P98" s="451" t="n">
        <x:v>1</x:v>
      </x:c>
      <x:c r="Q98" s="451" t="n">
        <x:v>1</x:v>
      </x:c>
      <x:c r="R98" s="451" t="n">
        <x:v>0</x:v>
      </x:c>
      <x:c r="S98" s="451" t="n">
        <x:v>0</x:v>
      </x:c>
      <x:c r="T98" s="451" t="n">
        <x:v>0</x:v>
      </x:c>
      <x:c r="U98" s="451" t="n">
        <x:v>0</x:v>
      </x:c>
      <x:c r="V98" s="451" t="n">
        <x:v>0</x:v>
      </x:c>
      <x:c r="W98" s="451" t="n">
        <x:v>1</x:v>
      </x:c>
      <x:c r="X98" s="451" t="n">
        <x:v>1</x:v>
      </x:c>
    </x:row>
    <x:row r="99" ht="24" customHeight="1">
      <x:c r="A99" s="451" t="n">
        <x:v>95</x:v>
      </x:c>
      <x:c r="B99" s="451" t="str">
        <x:v>100 líderes globales</x:v>
      </x:c>
      <x:c r="C99" s="451" t="str">
        <x:v>Indian Institute of Technology Bombay</x:v>
      </x:c>
      <x:c r="D99" s="451" t="str">
        <x:v>India</x:v>
      </x:c>
      <x:c r="E99" s="451" t="str">
        <x:v>Asia</x:v>
      </x:c>
      <x:c r="F99" s="451" t="str">
        <x:v>B</x:v>
      </x:c>
      <x:c r="G99" s="451" t="n">
        <x:v>12</x:v>
      </x:c>
      <x:c r="H99" s="451" t="n">
        <x:v>0</x:v>
      </x:c>
      <x:c r="I99" s="451" t="n">
        <x:v>1</x:v>
      </x:c>
      <x:c r="J99" s="451" t="n">
        <x:v>1</x:v>
      </x:c>
      <x:c r="K99" s="451" t="n">
        <x:v>1</x:v>
      </x:c>
      <x:c r="L99" s="451" t="n">
        <x:v>1</x:v>
      </x:c>
      <x:c r="M99" s="451" t="n">
        <x:v>1</x:v>
      </x:c>
      <x:c r="N99" s="451" t="n">
        <x:v>1</x:v>
      </x:c>
      <x:c r="O99" s="451" t="n">
        <x:v>1</x:v>
      </x:c>
      <x:c r="P99" s="451" t="n">
        <x:v>1</x:v>
      </x:c>
      <x:c r="Q99" s="451" t="n">
        <x:v>1</x:v>
      </x:c>
      <x:c r="R99" s="451" t="n">
        <x:v>0</x:v>
      </x:c>
      <x:c r="S99" s="451" t="n">
        <x:v>1</x:v>
      </x:c>
      <x:c r="T99" s="451" t="n">
        <x:v>1</x:v>
      </x:c>
      <x:c r="U99" s="451" t="n">
        <x:v>0</x:v>
      </x:c>
      <x:c r="V99" s="451" t="n">
        <x:v>0</x:v>
      </x:c>
      <x:c r="W99" s="451" t="n">
        <x:v>0</x:v>
      </x:c>
      <x:c r="X99" s="451" t="n">
        <x:v>1</x:v>
      </x:c>
    </x:row>
    <x:row r="100" ht="24" customHeight="1">
      <x:c r="A100" s="451" t="n">
        <x:v>96</x:v>
      </x:c>
      <x:c r="B100" s="451" t="str">
        <x:v>100 líderes globales</x:v>
      </x:c>
      <x:c r="C100" s="451" t="str">
        <x:v>Indian Institute of Technology Delhi</x:v>
      </x:c>
      <x:c r="D100" s="451" t="str">
        <x:v>India</x:v>
      </x:c>
      <x:c r="E100" s="451" t="str">
        <x:v>Asia</x:v>
      </x:c>
      <x:c r="F100" s="451" t="str">
        <x:v>B</x:v>
      </x:c>
      <x:c r="G100" s="451" t="n">
        <x:v>11</x:v>
      </x:c>
      <x:c r="H100" s="451" t="n">
        <x:v>0</x:v>
      </x:c>
      <x:c r="I100" s="451" t="n">
        <x:v>1</x:v>
      </x:c>
      <x:c r="J100" s="451" t="n">
        <x:v>1</x:v>
      </x:c>
      <x:c r="K100" s="451" t="n">
        <x:v>1</x:v>
      </x:c>
      <x:c r="L100" s="451" t="n">
        <x:v>1</x:v>
      </x:c>
      <x:c r="M100" s="451" t="n">
        <x:v>1</x:v>
      </x:c>
      <x:c r="N100" s="451" t="n">
        <x:v>1</x:v>
      </x:c>
      <x:c r="O100" s="451" t="n">
        <x:v>1</x:v>
      </x:c>
      <x:c r="P100" s="451" t="n">
        <x:v>1</x:v>
      </x:c>
      <x:c r="Q100" s="451" t="n">
        <x:v>1</x:v>
      </x:c>
      <x:c r="R100" s="451" t="n">
        <x:v>0</x:v>
      </x:c>
      <x:c r="S100" s="451" t="n">
        <x:v>0</x:v>
      </x:c>
      <x:c r="T100" s="451" t="n">
        <x:v>1</x:v>
      </x:c>
      <x:c r="U100" s="451" t="n">
        <x:v>0</x:v>
      </x:c>
      <x:c r="V100" s="451" t="n">
        <x:v>0</x:v>
      </x:c>
      <x:c r="W100" s="451" t="n">
        <x:v>0</x:v>
      </x:c>
      <x:c r="X100" s="451" t="n">
        <x:v>1</x:v>
      </x:c>
    </x:row>
    <x:row r="101" ht="24" customHeight="1">
      <x:c r="A101" s="451" t="n">
        <x:v>97</x:v>
      </x:c>
      <x:c r="B101" s="451" t="str">
        <x:v>100 líderes globales</x:v>
      </x:c>
      <x:c r="C101" s="451" t="str">
        <x:v>Indian Institute of Technology Madras</x:v>
      </x:c>
      <x:c r="D101" s="451" t="str">
        <x:v>India</x:v>
      </x:c>
      <x:c r="E101" s="451" t="str">
        <x:v>Asia</x:v>
      </x:c>
      <x:c r="F101" s="451" t="str">
        <x:v>B</x:v>
      </x:c>
      <x:c r="G101" s="451" t="n">
        <x:v>11</x:v>
      </x:c>
      <x:c r="H101" s="451" t="n">
        <x:v>0</x:v>
      </x:c>
      <x:c r="I101" s="451" t="n">
        <x:v>1</x:v>
      </x:c>
      <x:c r="J101" s="451" t="n">
        <x:v>1</x:v>
      </x:c>
      <x:c r="K101" s="451" t="n">
        <x:v>1</x:v>
      </x:c>
      <x:c r="L101" s="451" t="n">
        <x:v>1</x:v>
      </x:c>
      <x:c r="M101" s="451" t="n">
        <x:v>1</x:v>
      </x:c>
      <x:c r="N101" s="451" t="n">
        <x:v>1</x:v>
      </x:c>
      <x:c r="O101" s="451" t="n">
        <x:v>1</x:v>
      </x:c>
      <x:c r="P101" s="451" t="n">
        <x:v>1</x:v>
      </x:c>
      <x:c r="Q101" s="451" t="n">
        <x:v>1</x:v>
      </x:c>
      <x:c r="R101" s="451" t="n">
        <x:v>0</x:v>
      </x:c>
      <x:c r="S101" s="451" t="n">
        <x:v>0</x:v>
      </x:c>
      <x:c r="T101" s="451" t="n">
        <x:v>0</x:v>
      </x:c>
      <x:c r="U101" s="451" t="n">
        <x:v>0</x:v>
      </x:c>
      <x:c r="V101" s="451" t="n">
        <x:v>0</x:v>
      </x:c>
      <x:c r="W101" s="451" t="n">
        <x:v>1</x:v>
      </x:c>
      <x:c r="X101" s="451" t="n">
        <x:v>1</x:v>
      </x:c>
    </x:row>
    <x:row r="102" ht="24" customHeight="1">
      <x:c r="A102" s="451" t="n">
        <x:v>98</x:v>
      </x:c>
      <x:c r="B102" s="451" t="str">
        <x:v>100 líderes globales</x:v>
      </x:c>
      <x:c r="C102" s="451" t="str">
        <x:v>Indian Institute of Science</x:v>
      </x:c>
      <x:c r="D102" s="451" t="str">
        <x:v>India</x:v>
      </x:c>
      <x:c r="E102" s="451" t="str">
        <x:v>Asia</x:v>
      </x:c>
      <x:c r="F102" s="451" t="str">
        <x:v>B</x:v>
      </x:c>
      <x:c r="G102" s="451" t="n">
        <x:v>12</x:v>
      </x:c>
      <x:c r="H102" s="451" t="n">
        <x:v>0</x:v>
      </x:c>
      <x:c r="I102" s="451" t="n">
        <x:v>1</x:v>
      </x:c>
      <x:c r="J102" s="451" t="n">
        <x:v>1</x:v>
      </x:c>
      <x:c r="K102" s="451" t="n">
        <x:v>1</x:v>
      </x:c>
      <x:c r="L102" s="451" t="n">
        <x:v>1</x:v>
      </x:c>
      <x:c r="M102" s="451" t="n">
        <x:v>1</x:v>
      </x:c>
      <x:c r="N102" s="451" t="n">
        <x:v>1</x:v>
      </x:c>
      <x:c r="O102" s="451" t="n">
        <x:v>1</x:v>
      </x:c>
      <x:c r="P102" s="451" t="n">
        <x:v>1</x:v>
      </x:c>
      <x:c r="Q102" s="451" t="n">
        <x:v>1</x:v>
      </x:c>
      <x:c r="R102" s="451" t="n">
        <x:v>0</x:v>
      </x:c>
      <x:c r="S102" s="451" t="n">
        <x:v>0</x:v>
      </x:c>
      <x:c r="T102" s="451" t="n">
        <x:v>0</x:v>
      </x:c>
      <x:c r="U102" s="451" t="n">
        <x:v>0</x:v>
      </x:c>
      <x:c r="V102" s="451" t="n">
        <x:v>1</x:v>
      </x:c>
      <x:c r="W102" s="451" t="n">
        <x:v>1</x:v>
      </x:c>
      <x:c r="X102" s="451" t="n">
        <x:v>1</x:v>
      </x:c>
    </x:row>
    <x:row r="103" ht="24" customHeight="1">
      <x:c r="A103" s="451" t="n">
        <x:v>99</x:v>
      </x:c>
      <x:c r="B103" s="451" t="str">
        <x:v>100 líderes globales</x:v>
      </x:c>
      <x:c r="C103" s="451" t="str">
        <x:v>University of Melbourne</x:v>
      </x:c>
      <x:c r="D103" s="451" t="str">
        <x:v>Australia</x:v>
      </x:c>
      <x:c r="E103" s="451" t="str">
        <x:v>Oceanía</x:v>
      </x:c>
      <x:c r="F103" s="451" t="str">
        <x:v>B</x:v>
      </x:c>
      <x:c r="G103" s="451" t="n">
        <x:v>14</x:v>
      </x:c>
      <x:c r="H103" s="451" t="n">
        <x:v>0</x:v>
      </x:c>
      <x:c r="I103" s="451" t="n">
        <x:v>1</x:v>
      </x:c>
      <x:c r="J103" s="451" t="n">
        <x:v>1</x:v>
      </x:c>
      <x:c r="K103" s="451" t="n">
        <x:v>1</x:v>
      </x:c>
      <x:c r="L103" s="451" t="n">
        <x:v>1</x:v>
      </x:c>
      <x:c r="M103" s="451" t="n">
        <x:v>1</x:v>
      </x:c>
      <x:c r="N103" s="451" t="n">
        <x:v>1</x:v>
      </x:c>
      <x:c r="O103" s="451" t="n">
        <x:v>1</x:v>
      </x:c>
      <x:c r="P103" s="451" t="n">
        <x:v>1</x:v>
      </x:c>
      <x:c r="Q103" s="451" t="n">
        <x:v>1</x:v>
      </x:c>
      <x:c r="R103" s="451" t="n">
        <x:v>0</x:v>
      </x:c>
      <x:c r="S103" s="451" t="n">
        <x:v>1</x:v>
      </x:c>
      <x:c r="T103" s="451" t="n">
        <x:v>0</x:v>
      </x:c>
      <x:c r="U103" s="451" t="n">
        <x:v>1</x:v>
      </x:c>
      <x:c r="V103" s="451" t="n">
        <x:v>1</x:v>
      </x:c>
      <x:c r="W103" s="451" t="n">
        <x:v>1</x:v>
      </x:c>
      <x:c r="X103" s="451" t="n">
        <x:v>1</x:v>
      </x:c>
    </x:row>
    <x:row r="104" ht="24" customHeight="1">
      <x:c r="A104" s="451" t="n">
        <x:v>100</x:v>
      </x:c>
      <x:c r="B104" s="451" t="str">
        <x:v>100 líderes globales</x:v>
      </x:c>
      <x:c r="C104" s="451" t="str">
        <x:v>Australian National University</x:v>
      </x:c>
      <x:c r="D104" s="451" t="str">
        <x:v>Australia</x:v>
      </x:c>
      <x:c r="E104" s="451" t="str">
        <x:v>Oceanía</x:v>
      </x:c>
      <x:c r="F104" s="451" t="str">
        <x:v>B</x:v>
      </x:c>
      <x:c r="G104" s="451" t="n">
        <x:v>13</x:v>
      </x:c>
      <x:c r="H104" s="451" t="n">
        <x:v>0</x:v>
      </x:c>
      <x:c r="I104" s="451" t="n">
        <x:v>1</x:v>
      </x:c>
      <x:c r="J104" s="451" t="n">
        <x:v>1</x:v>
      </x:c>
      <x:c r="K104" s="451" t="n">
        <x:v>1</x:v>
      </x:c>
      <x:c r="L104" s="451" t="n">
        <x:v>1</x:v>
      </x:c>
      <x:c r="M104" s="451" t="n">
        <x:v>1</x:v>
      </x:c>
      <x:c r="N104" s="451" t="n">
        <x:v>1</x:v>
      </x:c>
      <x:c r="O104" s="451" t="n">
        <x:v>1</x:v>
      </x:c>
      <x:c r="P104" s="451" t="n">
        <x:v>1</x:v>
      </x:c>
      <x:c r="Q104" s="451" t="n">
        <x:v>1</x:v>
      </x:c>
      <x:c r="R104" s="451" t="n">
        <x:v>0</x:v>
      </x:c>
      <x:c r="S104" s="451" t="n">
        <x:v>1</x:v>
      </x:c>
      <x:c r="T104" s="451" t="n">
        <x:v>0</x:v>
      </x:c>
      <x:c r="U104" s="451" t="n">
        <x:v>0</x:v>
      </x:c>
      <x:c r="V104" s="451" t="n">
        <x:v>1</x:v>
      </x:c>
      <x:c r="W104" s="451" t="n">
        <x:v>1</x:v>
      </x:c>
      <x:c r="X104" s="451" t="n">
        <x:v>1</x:v>
      </x:c>
    </x:row>
    <x:row r="105" ht="24" customHeight="1">
      <x:c r="A105" s="451" t="n">
        <x:v>101</x:v>
      </x:c>
      <x:c r="B105" s="451" t="str">
        <x:v>30 especialistas</x:v>
      </x:c>
      <x:c r="C105" s="451" t="str">
        <x:v>Rochester Institute of Technology</x:v>
      </x:c>
      <x:c r="D105" s="451" t="str">
        <x:v>Estados Unidos</x:v>
      </x:c>
      <x:c r="E105" s="451" t="str">
        <x:v>Norteamérica</x:v>
      </x:c>
      <x:c r="F105" s="451" t="str">
        <x:v>A</x:v>
      </x:c>
      <x:c r="G105" s="451" t="n">
        <x:v>15</x:v>
      </x:c>
      <x:c r="H105" s="451" t="n">
        <x:v>1</x:v>
      </x:c>
      <x:c r="I105" s="451" t="n">
        <x:v>1</x:v>
      </x:c>
      <x:c r="J105" s="451" t="n">
        <x:v>1</x:v>
      </x:c>
      <x:c r="K105" s="451" t="n">
        <x:v>1</x:v>
      </x:c>
      <x:c r="L105" s="451" t="n">
        <x:v>1</x:v>
      </x:c>
      <x:c r="M105" s="451" t="n">
        <x:v>1</x:v>
      </x:c>
      <x:c r="N105" s="451" t="n">
        <x:v>1</x:v>
      </x:c>
      <x:c r="O105" s="451" t="n">
        <x:v>1</x:v>
      </x:c>
      <x:c r="P105" s="451" t="n">
        <x:v>1</x:v>
      </x:c>
      <x:c r="Q105" s="451" t="n">
        <x:v>1</x:v>
      </x:c>
      <x:c r="R105" s="451" t="n">
        <x:v>1</x:v>
      </x:c>
      <x:c r="S105" s="451" t="n">
        <x:v>1</x:v>
      </x:c>
      <x:c r="T105" s="451" t="n">
        <x:v>1</x:v>
      </x:c>
      <x:c r="U105" s="451" t="n">
        <x:v>1</x:v>
      </x:c>
      <x:c r="V105" s="451" t="n">
        <x:v>0</x:v>
      </x:c>
      <x:c r="W105" s="451" t="n">
        <x:v>0</x:v>
      </x:c>
      <x:c r="X105" s="451" t="n">
        <x:v>1</x:v>
      </x:c>
    </x:row>
    <x:row r="106" ht="24" customHeight="1">
      <x:c r="A106" s="451" t="n">
        <x:v>102</x:v>
      </x:c>
      <x:c r="B106" s="451" t="str">
        <x:v>30 especialistas</x:v>
      </x:c>
      <x:c r="C106" s="451" t="str">
        <x:v>Rhode Island School of Design</x:v>
      </x:c>
      <x:c r="D106" s="451" t="str">
        <x:v>Estados Unidos</x:v>
      </x:c>
      <x:c r="E106" s="451" t="str">
        <x:v>Norteamérica</x:v>
      </x:c>
      <x:c r="F106" s="451" t="str">
        <x:v>A</x:v>
      </x:c>
      <x:c r="G106" s="451" t="n">
        <x:v>3</x:v>
      </x:c>
      <x:c r="H106" s="451" t="n">
        <x:v>0</x:v>
      </x:c>
      <x:c r="I106" s="451" t="n">
        <x:v>0</x:v>
      </x:c>
      <x:c r="J106" s="451" t="n">
        <x:v>0</x:v>
      </x:c>
      <x:c r="K106" s="451" t="n">
        <x:v>0</x:v>
      </x:c>
      <x:c r="L106" s="451" t="n">
        <x:v>0</x:v>
      </x:c>
      <x:c r="M106" s="451" t="n">
        <x:v>0</x:v>
      </x:c>
      <x:c r="N106" s="451" t="n">
        <x:v>0</x:v>
      </x:c>
      <x:c r="O106" s="451" t="n">
        <x:v>0</x:v>
      </x:c>
      <x:c r="P106" s="451" t="n">
        <x:v>0</x:v>
      </x:c>
      <x:c r="Q106" s="451" t="n">
        <x:v>0</x:v>
      </x:c>
      <x:c r="R106" s="451" t="n">
        <x:v>0</x:v>
      </x:c>
      <x:c r="S106" s="451" t="n">
        <x:v>1</x:v>
      </x:c>
      <x:c r="T106" s="451" t="n">
        <x:v>1</x:v>
      </x:c>
      <x:c r="U106" s="451" t="n">
        <x:v>0</x:v>
      </x:c>
      <x:c r="V106" s="451" t="n">
        <x:v>0</x:v>
      </x:c>
      <x:c r="W106" s="451" t="n">
        <x:v>0</x:v>
      </x:c>
      <x:c r="X106" s="451" t="n">
        <x:v>1</x:v>
      </x:c>
    </x:row>
    <x:row r="107" ht="24" customHeight="1">
      <x:c r="A107" s="451" t="n">
        <x:v>103</x:v>
      </x:c>
      <x:c r="B107" s="451" t="str">
        <x:v>30 especialistas</x:v>
      </x:c>
      <x:c r="C107" s="451" t="str">
        <x:v>Abertay University</x:v>
      </x:c>
      <x:c r="D107" s="451" t="str">
        <x:v>Reino Unido</x:v>
      </x:c>
      <x:c r="E107" s="451" t="str">
        <x:v>Europa</x:v>
      </x:c>
      <x:c r="F107" s="451" t="str">
        <x:v>A</x:v>
      </x:c>
      <x:c r="G107" s="451" t="n">
        <x:v>9</x:v>
      </x:c>
      <x:c r="H107" s="451" t="n">
        <x:v>0</x:v>
      </x:c>
      <x:c r="I107" s="451" t="n">
        <x:v>0</x:v>
      </x:c>
      <x:c r="J107" s="451" t="n">
        <x:v>1</x:v>
      </x:c>
      <x:c r="K107" s="451" t="n">
        <x:v>1</x:v>
      </x:c>
      <x:c r="L107" s="451" t="n">
        <x:v>1</x:v>
      </x:c>
      <x:c r="M107" s="451" t="n">
        <x:v>1</x:v>
      </x:c>
      <x:c r="N107" s="451" t="n">
        <x:v>1</x:v>
      </x:c>
      <x:c r="O107" s="451" t="n">
        <x:v>1</x:v>
      </x:c>
      <x:c r="P107" s="451" t="n">
        <x:v>0</x:v>
      </x:c>
      <x:c r="Q107" s="451" t="n">
        <x:v>0</x:v>
      </x:c>
      <x:c r="R107" s="451" t="n">
        <x:v>0</x:v>
      </x:c>
      <x:c r="S107" s="451" t="n">
        <x:v>1</x:v>
      </x:c>
      <x:c r="T107" s="451" t="n">
        <x:v>1</x:v>
      </x:c>
      <x:c r="U107" s="451" t="n">
        <x:v>0</x:v>
      </x:c>
      <x:c r="V107" s="451" t="n">
        <x:v>0</x:v>
      </x:c>
      <x:c r="W107" s="451" t="n">
        <x:v>0</x:v>
      </x:c>
      <x:c r="X107" s="451" t="n">
        <x:v>1</x:v>
      </x:c>
    </x:row>
    <x:row r="108" ht="24" customHeight="1">
      <x:c r="A108" s="451" t="n">
        <x:v>104</x:v>
      </x:c>
      <x:c r="B108" s="451" t="str">
        <x:v>30 especialistas</x:v>
      </x:c>
      <x:c r="C108" s="451" t="str">
        <x:v>DigiPen Institute of Technology</x:v>
      </x:c>
      <x:c r="D108" s="451" t="str">
        <x:v>Estados Unidos</x:v>
      </x:c>
      <x:c r="E108" s="451" t="str">
        <x:v>Norteamérica</x:v>
      </x:c>
      <x:c r="F108" s="451" t="str">
        <x:v>B</x:v>
      </x:c>
      <x:c r="G108" s="451" t="n">
        <x:v>8</x:v>
      </x:c>
      <x:c r="H108" s="451" t="n">
        <x:v>0</x:v>
      </x:c>
      <x:c r="I108" s="451" t="n">
        <x:v>0</x:v>
      </x:c>
      <x:c r="J108" s="451" t="n">
        <x:v>1</x:v>
      </x:c>
      <x:c r="K108" s="451" t="n">
        <x:v>1</x:v>
      </x:c>
      <x:c r="L108" s="451" t="n">
        <x:v>1</x:v>
      </x:c>
      <x:c r="M108" s="451" t="n">
        <x:v>1</x:v>
      </x:c>
      <x:c r="N108" s="451" t="n">
        <x:v>0</x:v>
      </x:c>
      <x:c r="O108" s="451" t="n">
        <x:v>0</x:v>
      </x:c>
      <x:c r="P108" s="451" t="n">
        <x:v>1</x:v>
      </x:c>
      <x:c r="Q108" s="451" t="n">
        <x:v>0</x:v>
      </x:c>
      <x:c r="R108" s="451" t="n">
        <x:v>0</x:v>
      </x:c>
      <x:c r="S108" s="451" t="n">
        <x:v>1</x:v>
      </x:c>
      <x:c r="T108" s="451" t="n">
        <x:v>1</x:v>
      </x:c>
      <x:c r="U108" s="451" t="n">
        <x:v>0</x:v>
      </x:c>
      <x:c r="V108" s="451" t="n">
        <x:v>0</x:v>
      </x:c>
      <x:c r="W108" s="451" t="n">
        <x:v>0</x:v>
      </x:c>
      <x:c r="X108" s="451" t="n">
        <x:v>1</x:v>
      </x:c>
    </x:row>
    <x:row r="109" ht="24" customHeight="1">
      <x:c r="A109" s="451" t="n">
        <x:v>105</x:v>
      </x:c>
      <x:c r="B109" s="451" t="str">
        <x:v>30 especialistas</x:v>
      </x:c>
      <x:c r="C109" s="451" t="str">
        <x:v>Worcester Polytechnic Institute</x:v>
      </x:c>
      <x:c r="D109" s="451" t="str">
        <x:v>Estados Unidos</x:v>
      </x:c>
      <x:c r="E109" s="451" t="str">
        <x:v>Norteamérica</x:v>
      </x:c>
      <x:c r="F109" s="451" t="str">
        <x:v>B</x:v>
      </x:c>
      <x:c r="G109" s="451" t="n">
        <x:v>12</x:v>
      </x:c>
      <x:c r="H109" s="451" t="n">
        <x:v>0</x:v>
      </x:c>
      <x:c r="I109" s="451" t="n">
        <x:v>1</x:v>
      </x:c>
      <x:c r="J109" s="451" t="n">
        <x:v>1</x:v>
      </x:c>
      <x:c r="K109" s="451" t="n">
        <x:v>1</x:v>
      </x:c>
      <x:c r="L109" s="451" t="n">
        <x:v>1</x:v>
      </x:c>
      <x:c r="M109" s="451" t="n">
        <x:v>1</x:v>
      </x:c>
      <x:c r="N109" s="451" t="n">
        <x:v>1</x:v>
      </x:c>
      <x:c r="O109" s="451" t="n">
        <x:v>1</x:v>
      </x:c>
      <x:c r="P109" s="451" t="n">
        <x:v>1</x:v>
      </x:c>
      <x:c r="Q109" s="451" t="n">
        <x:v>1</x:v>
      </x:c>
      <x:c r="R109" s="451" t="n">
        <x:v>0</x:v>
      </x:c>
      <x:c r="S109" s="451" t="n">
        <x:v>1</x:v>
      </x:c>
      <x:c r="T109" s="451" t="n">
        <x:v>1</x:v>
      </x:c>
      <x:c r="U109" s="451" t="n">
        <x:v>0</x:v>
      </x:c>
      <x:c r="V109" s="451" t="n">
        <x:v>0</x:v>
      </x:c>
      <x:c r="W109" s="451" t="n">
        <x:v>0</x:v>
      </x:c>
      <x:c r="X109" s="451" t="n">
        <x:v>1</x:v>
      </x:c>
    </x:row>
    <x:row r="110" ht="24" customHeight="1">
      <x:c r="A110" s="451" t="n">
        <x:v>106</x:v>
      </x:c>
      <x:c r="B110" s="451" t="str">
        <x:v>30 especialistas</x:v>
      </x:c>
      <x:c r="C110" s="451" t="str">
        <x:v>Stevens Institute of Technology</x:v>
      </x:c>
      <x:c r="D110" s="451" t="str">
        <x:v>Estados Unidos</x:v>
      </x:c>
      <x:c r="E110" s="451" t="str">
        <x:v>Norteamérica</x:v>
      </x:c>
      <x:c r="F110" s="451" t="str">
        <x:v>B</x:v>
      </x:c>
      <x:c r="G110" s="451" t="n">
        <x:v>11</x:v>
      </x:c>
      <x:c r="H110" s="451" t="n">
        <x:v>0</x:v>
      </x:c>
      <x:c r="I110" s="451" t="n">
        <x:v>1</x:v>
      </x:c>
      <x:c r="J110" s="451" t="n">
        <x:v>1</x:v>
      </x:c>
      <x:c r="K110" s="451" t="n">
        <x:v>1</x:v>
      </x:c>
      <x:c r="L110" s="451" t="n">
        <x:v>1</x:v>
      </x:c>
      <x:c r="M110" s="451" t="n">
        <x:v>1</x:v>
      </x:c>
      <x:c r="N110" s="451" t="n">
        <x:v>1</x:v>
      </x:c>
      <x:c r="O110" s="451" t="n">
        <x:v>1</x:v>
      </x:c>
      <x:c r="P110" s="451" t="n">
        <x:v>1</x:v>
      </x:c>
      <x:c r="Q110" s="451" t="n">
        <x:v>1</x:v>
      </x:c>
      <x:c r="R110" s="451" t="n">
        <x:v>0</x:v>
      </x:c>
      <x:c r="S110" s="451" t="n">
        <x:v>0</x:v>
      </x:c>
      <x:c r="T110" s="451" t="n">
        <x:v>0</x:v>
      </x:c>
      <x:c r="U110" s="451" t="n">
        <x:v>1</x:v>
      </x:c>
      <x:c r="V110" s="451" t="n">
        <x:v>0</x:v>
      </x:c>
      <x:c r="W110" s="451" t="n">
        <x:v>0</x:v>
      </x:c>
      <x:c r="X110" s="451" t="n">
        <x:v>1</x:v>
      </x:c>
    </x:row>
    <x:row r="111" ht="24" customHeight="1">
      <x:c r="A111" s="451" t="n">
        <x:v>107</x:v>
      </x:c>
      <x:c r="B111" s="451" t="str">
        <x:v>30 especialistas</x:v>
      </x:c>
      <x:c r="C111" s="451" t="str">
        <x:v>Colorado School of Mines</x:v>
      </x:c>
      <x:c r="D111" s="451" t="str">
        <x:v>Estados Unidos</x:v>
      </x:c>
      <x:c r="E111" s="451" t="str">
        <x:v>Norteamérica</x:v>
      </x:c>
      <x:c r="F111" s="451" t="str">
        <x:v>B</x:v>
      </x:c>
      <x:c r="G111" s="451" t="n">
        <x:v>10</x:v>
      </x:c>
      <x:c r="H111" s="451" t="n">
        <x:v>0</x:v>
      </x:c>
      <x:c r="I111" s="451" t="n">
        <x:v>1</x:v>
      </x:c>
      <x:c r="J111" s="451" t="n">
        <x:v>1</x:v>
      </x:c>
      <x:c r="K111" s="451" t="n">
        <x:v>1</x:v>
      </x:c>
      <x:c r="L111" s="451" t="n">
        <x:v>1</x:v>
      </x:c>
      <x:c r="M111" s="451" t="n">
        <x:v>1</x:v>
      </x:c>
      <x:c r="N111" s="451" t="n">
        <x:v>1</x:v>
      </x:c>
      <x:c r="O111" s="451" t="n">
        <x:v>1</x:v>
      </x:c>
      <x:c r="P111" s="451" t="n">
        <x:v>1</x:v>
      </x:c>
      <x:c r="Q111" s="451" t="n">
        <x:v>1</x:v>
      </x:c>
      <x:c r="R111" s="451" t="n">
        <x:v>0</x:v>
      </x:c>
      <x:c r="S111" s="451" t="n">
        <x:v>0</x:v>
      </x:c>
      <x:c r="T111" s="451" t="n">
        <x:v>0</x:v>
      </x:c>
      <x:c r="U111" s="451" t="n">
        <x:v>0</x:v>
      </x:c>
      <x:c r="V111" s="451" t="n">
        <x:v>0</x:v>
      </x:c>
      <x:c r="W111" s="451" t="n">
        <x:v>0</x:v>
      </x:c>
      <x:c r="X111" s="451" t="n">
        <x:v>1</x:v>
      </x:c>
    </x:row>
    <x:row r="112" ht="24" customHeight="1">
      <x:c r="A112" s="451" t="n">
        <x:v>108</x:v>
      </x:c>
      <x:c r="B112" s="451" t="str">
        <x:v>30 especialistas</x:v>
      </x:c>
      <x:c r="C112" s="451" t="str">
        <x:v>Oregon State University</x:v>
      </x:c>
      <x:c r="D112" s="451" t="str">
        <x:v>Estados Unidos</x:v>
      </x:c>
      <x:c r="E112" s="451" t="str">
        <x:v>Norteamérica</x:v>
      </x:c>
      <x:c r="F112" s="451" t="str">
        <x:v>B</x:v>
      </x:c>
      <x:c r="G112" s="451" t="n">
        <x:v>11</x:v>
      </x:c>
      <x:c r="H112" s="451" t="n">
        <x:v>0</x:v>
      </x:c>
      <x:c r="I112" s="451" t="n">
        <x:v>1</x:v>
      </x:c>
      <x:c r="J112" s="451" t="n">
        <x:v>1</x:v>
      </x:c>
      <x:c r="K112" s="451" t="n">
        <x:v>1</x:v>
      </x:c>
      <x:c r="L112" s="451" t="n">
        <x:v>1</x:v>
      </x:c>
      <x:c r="M112" s="451" t="n">
        <x:v>1</x:v>
      </x:c>
      <x:c r="N112" s="451" t="n">
        <x:v>1</x:v>
      </x:c>
      <x:c r="O112" s="451" t="n">
        <x:v>1</x:v>
      </x:c>
      <x:c r="P112" s="451" t="n">
        <x:v>1</x:v>
      </x:c>
      <x:c r="Q112" s="451" t="n">
        <x:v>1</x:v>
      </x:c>
      <x:c r="R112" s="451" t="n">
        <x:v>0</x:v>
      </x:c>
      <x:c r="S112" s="451" t="n">
        <x:v>0</x:v>
      </x:c>
      <x:c r="T112" s="451" t="n">
        <x:v>0</x:v>
      </x:c>
      <x:c r="U112" s="451" t="n">
        <x:v>0</x:v>
      </x:c>
      <x:c r="V112" s="451" t="n">
        <x:v>1</x:v>
      </x:c>
      <x:c r="W112" s="451" t="n">
        <x:v>0</x:v>
      </x:c>
      <x:c r="X112" s="451" t="n">
        <x:v>1</x:v>
      </x:c>
    </x:row>
    <x:row r="113" ht="24" customHeight="1">
      <x:c r="A113" s="451" t="n">
        <x:v>109</x:v>
      </x:c>
      <x:c r="B113" s="451" t="str">
        <x:v>30 especialistas</x:v>
      </x:c>
      <x:c r="C113" s="451" t="str">
        <x:v>University of Twente</x:v>
      </x:c>
      <x:c r="D113" s="451" t="str">
        <x:v>Países Bajos</x:v>
      </x:c>
      <x:c r="E113" s="451" t="str">
        <x:v>Europa</x:v>
      </x:c>
      <x:c r="F113" s="451" t="str">
        <x:v>B</x:v>
      </x:c>
      <x:c r="G113" s="451" t="n">
        <x:v>12</x:v>
      </x:c>
      <x:c r="H113" s="451" t="n">
        <x:v>0</x:v>
      </x:c>
      <x:c r="I113" s="451" t="n">
        <x:v>1</x:v>
      </x:c>
      <x:c r="J113" s="451" t="n">
        <x:v>1</x:v>
      </x:c>
      <x:c r="K113" s="451" t="n">
        <x:v>1</x:v>
      </x:c>
      <x:c r="L113" s="451" t="n">
        <x:v>1</x:v>
      </x:c>
      <x:c r="M113" s="451" t="n">
        <x:v>1</x:v>
      </x:c>
      <x:c r="N113" s="451" t="n">
        <x:v>1</x:v>
      </x:c>
      <x:c r="O113" s="451" t="n">
        <x:v>1</x:v>
      </x:c>
      <x:c r="P113" s="451" t="n">
        <x:v>1</x:v>
      </x:c>
      <x:c r="Q113" s="451" t="n">
        <x:v>1</x:v>
      </x:c>
      <x:c r="R113" s="451" t="n">
        <x:v>0</x:v>
      </x:c>
      <x:c r="S113" s="451" t="n">
        <x:v>1</x:v>
      </x:c>
      <x:c r="T113" s="451" t="n">
        <x:v>1</x:v>
      </x:c>
      <x:c r="U113" s="451" t="n">
        <x:v>0</x:v>
      </x:c>
      <x:c r="V113" s="451" t="n">
        <x:v>0</x:v>
      </x:c>
      <x:c r="W113" s="451" t="n">
        <x:v>0</x:v>
      </x:c>
      <x:c r="X113" s="451" t="n">
        <x:v>1</x:v>
      </x:c>
    </x:row>
    <x:row r="114" ht="24" customHeight="1">
      <x:c r="A114" s="451" t="n">
        <x:v>110</x:v>
      </x:c>
      <x:c r="B114" s="451" t="str">
        <x:v>30 especialistas</x:v>
      </x:c>
      <x:c r="C114" s="451" t="str">
        <x:v>Aalborg University</x:v>
      </x:c>
      <x:c r="D114" s="451" t="str">
        <x:v>Dinamarca</x:v>
      </x:c>
      <x:c r="E114" s="451" t="str">
        <x:v>Europa</x:v>
      </x:c>
      <x:c r="F114" s="451" t="str">
        <x:v>B</x:v>
      </x:c>
      <x:c r="G114" s="451" t="n">
        <x:v>11</x:v>
      </x:c>
      <x:c r="H114" s="451" t="n">
        <x:v>0</x:v>
      </x:c>
      <x:c r="I114" s="451" t="n">
        <x:v>1</x:v>
      </x:c>
      <x:c r="J114" s="451" t="n">
        <x:v>1</x:v>
      </x:c>
      <x:c r="K114" s="451" t="n">
        <x:v>1</x:v>
      </x:c>
      <x:c r="L114" s="451" t="n">
        <x:v>1</x:v>
      </x:c>
      <x:c r="M114" s="451" t="n">
        <x:v>1</x:v>
      </x:c>
      <x:c r="N114" s="451" t="n">
        <x:v>1</x:v>
      </x:c>
      <x:c r="O114" s="451" t="n">
        <x:v>1</x:v>
      </x:c>
      <x:c r="P114" s="451" t="n">
        <x:v>1</x:v>
      </x:c>
      <x:c r="Q114" s="451" t="n">
        <x:v>1</x:v>
      </x:c>
      <x:c r="R114" s="451" t="n">
        <x:v>0</x:v>
      </x:c>
      <x:c r="S114" s="451" t="n">
        <x:v>0</x:v>
      </x:c>
      <x:c r="T114" s="451" t="n">
        <x:v>0</x:v>
      </x:c>
      <x:c r="U114" s="451" t="n">
        <x:v>1</x:v>
      </x:c>
      <x:c r="V114" s="451" t="n">
        <x:v>0</x:v>
      </x:c>
      <x:c r="W114" s="451" t="n">
        <x:v>0</x:v>
      </x:c>
      <x:c r="X114" s="451" t="n">
        <x:v>1</x:v>
      </x:c>
    </x:row>
    <x:row r="115" ht="24" customHeight="1">
      <x:c r="A115" s="451" t="n">
        <x:v>111</x:v>
      </x:c>
      <x:c r="B115" s="451" t="str">
        <x:v>30 especialistas</x:v>
      </x:c>
      <x:c r="C115" s="451" t="str">
        <x:v>University of Oulu</x:v>
      </x:c>
      <x:c r="D115" s="451" t="str">
        <x:v>Finlandia</x:v>
      </x:c>
      <x:c r="E115" s="451" t="str">
        <x:v>Europa</x:v>
      </x:c>
      <x:c r="F115" s="451" t="str">
        <x:v>B</x:v>
      </x:c>
      <x:c r="G115" s="451" t="n">
        <x:v>11</x:v>
      </x:c>
      <x:c r="H115" s="451" t="n">
        <x:v>0</x:v>
      </x:c>
      <x:c r="I115" s="451" t="n">
        <x:v>1</x:v>
      </x:c>
      <x:c r="J115" s="451" t="n">
        <x:v>1</x:v>
      </x:c>
      <x:c r="K115" s="451" t="n">
        <x:v>1</x:v>
      </x:c>
      <x:c r="L115" s="451" t="n">
        <x:v>1</x:v>
      </x:c>
      <x:c r="M115" s="451" t="n">
        <x:v>1</x:v>
      </x:c>
      <x:c r="N115" s="451" t="n">
        <x:v>1</x:v>
      </x:c>
      <x:c r="O115" s="451" t="n">
        <x:v>1</x:v>
      </x:c>
      <x:c r="P115" s="451" t="n">
        <x:v>1</x:v>
      </x:c>
      <x:c r="Q115" s="451" t="n">
        <x:v>1</x:v>
      </x:c>
      <x:c r="R115" s="451" t="n">
        <x:v>0</x:v>
      </x:c>
      <x:c r="S115" s="451" t="n">
        <x:v>0</x:v>
      </x:c>
      <x:c r="T115" s="451" t="n">
        <x:v>0</x:v>
      </x:c>
      <x:c r="U115" s="451" t="n">
        <x:v>0</x:v>
      </x:c>
      <x:c r="V115" s="451" t="n">
        <x:v>0</x:v>
      </x:c>
      <x:c r="W115" s="451" t="n">
        <x:v>1</x:v>
      </x:c>
      <x:c r="X115" s="451" t="n">
        <x:v>1</x:v>
      </x:c>
    </x:row>
    <x:row r="116" ht="24" customHeight="1">
      <x:c r="A116" s="451" t="n">
        <x:v>112</x:v>
      </x:c>
      <x:c r="B116" s="451" t="str">
        <x:v>30 especialistas</x:v>
      </x:c>
      <x:c r="C116" s="451" t="str">
        <x:v>Tampere University</x:v>
      </x:c>
      <x:c r="D116" s="451" t="str">
        <x:v>Finlandia</x:v>
      </x:c>
      <x:c r="E116" s="451" t="str">
        <x:v>Europa</x:v>
      </x:c>
      <x:c r="F116" s="451" t="str">
        <x:v>B</x:v>
      </x:c>
      <x:c r="G116" s="451" t="n">
        <x:v>11</x:v>
      </x:c>
      <x:c r="H116" s="451" t="n">
        <x:v>0</x:v>
      </x:c>
      <x:c r="I116" s="451" t="n">
        <x:v>1</x:v>
      </x:c>
      <x:c r="J116" s="451" t="n">
        <x:v>1</x:v>
      </x:c>
      <x:c r="K116" s="451" t="n">
        <x:v>1</x:v>
      </x:c>
      <x:c r="L116" s="451" t="n">
        <x:v>1</x:v>
      </x:c>
      <x:c r="M116" s="451" t="n">
        <x:v>1</x:v>
      </x:c>
      <x:c r="N116" s="451" t="n">
        <x:v>1</x:v>
      </x:c>
      <x:c r="O116" s="451" t="n">
        <x:v>1</x:v>
      </x:c>
      <x:c r="P116" s="451" t="n">
        <x:v>1</x:v>
      </x:c>
      <x:c r="Q116" s="451" t="n">
        <x:v>1</x:v>
      </x:c>
      <x:c r="R116" s="451" t="n">
        <x:v>0</x:v>
      </x:c>
      <x:c r="S116" s="451" t="n">
        <x:v>1</x:v>
      </x:c>
      <x:c r="T116" s="451" t="n">
        <x:v>0</x:v>
      </x:c>
      <x:c r="U116" s="451" t="n">
        <x:v>0</x:v>
      </x:c>
      <x:c r="V116" s="451" t="n">
        <x:v>0</x:v>
      </x:c>
      <x:c r="W116" s="451" t="n">
        <x:v>0</x:v>
      </x:c>
      <x:c r="X116" s="451" t="n">
        <x:v>1</x:v>
      </x:c>
    </x:row>
    <x:row r="117" ht="24" customHeight="1">
      <x:c r="A117" s="451" t="n">
        <x:v>113</x:v>
      </x:c>
      <x:c r="B117" s="451" t="str">
        <x:v>30 especialistas</x:v>
      </x:c>
      <x:c r="C117" s="451" t="str">
        <x:v>University of Surrey</x:v>
      </x:c>
      <x:c r="D117" s="451" t="str">
        <x:v>Reino Unido</x:v>
      </x:c>
      <x:c r="E117" s="451" t="str">
        <x:v>Europa</x:v>
      </x:c>
      <x:c r="F117" s="451" t="str">
        <x:v>B</x:v>
      </x:c>
      <x:c r="G117" s="451" t="n">
        <x:v>10</x:v>
      </x:c>
      <x:c r="H117" s="451" t="n">
        <x:v>0</x:v>
      </x:c>
      <x:c r="I117" s="451" t="n">
        <x:v>1</x:v>
      </x:c>
      <x:c r="J117" s="451" t="n">
        <x:v>1</x:v>
      </x:c>
      <x:c r="K117" s="451" t="n">
        <x:v>1</x:v>
      </x:c>
      <x:c r="L117" s="451" t="n">
        <x:v>1</x:v>
      </x:c>
      <x:c r="M117" s="451" t="n">
        <x:v>1</x:v>
      </x:c>
      <x:c r="N117" s="451" t="n">
        <x:v>1</x:v>
      </x:c>
      <x:c r="O117" s="451" t="n">
        <x:v>1</x:v>
      </x:c>
      <x:c r="P117" s="451" t="n">
        <x:v>1</x:v>
      </x:c>
      <x:c r="Q117" s="451" t="n">
        <x:v>1</x:v>
      </x:c>
      <x:c r="R117" s="451" t="n">
        <x:v>0</x:v>
      </x:c>
      <x:c r="S117" s="451" t="n">
        <x:v>0</x:v>
      </x:c>
      <x:c r="T117" s="451" t="n">
        <x:v>0</x:v>
      </x:c>
      <x:c r="U117" s="451" t="n">
        <x:v>0</x:v>
      </x:c>
      <x:c r="V117" s="451" t="n">
        <x:v>0</x:v>
      </x:c>
      <x:c r="W117" s="451" t="n">
        <x:v>0</x:v>
      </x:c>
      <x:c r="X117" s="451" t="n">
        <x:v>1</x:v>
      </x:c>
    </x:row>
    <x:row r="118" ht="24" customHeight="1">
      <x:c r="A118" s="451" t="n">
        <x:v>114</x:v>
      </x:c>
      <x:c r="B118" s="451" t="str">
        <x:v>30 especialistas</x:v>
      </x:c>
      <x:c r="C118" s="451" t="str">
        <x:v>Royal Holloway, University of London</x:v>
      </x:c>
      <x:c r="D118" s="451" t="str">
        <x:v>Reino Unido</x:v>
      </x:c>
      <x:c r="E118" s="451" t="str">
        <x:v>Europa</x:v>
      </x:c>
      <x:c r="F118" s="451" t="str">
        <x:v>B</x:v>
      </x:c>
      <x:c r="G118" s="451" t="n">
        <x:v>8</x:v>
      </x:c>
      <x:c r="H118" s="451" t="n">
        <x:v>0</x:v>
      </x:c>
      <x:c r="I118" s="451" t="n">
        <x:v>1</x:v>
      </x:c>
      <x:c r="J118" s="451" t="n">
        <x:v>1</x:v>
      </x:c>
      <x:c r="K118" s="451" t="n">
        <x:v>1</x:v>
      </x:c>
      <x:c r="L118" s="451" t="n">
        <x:v>1</x:v>
      </x:c>
      <x:c r="M118" s="451" t="n">
        <x:v>1</x:v>
      </x:c>
      <x:c r="N118" s="451" t="n">
        <x:v>1</x:v>
      </x:c>
      <x:c r="O118" s="451" t="n">
        <x:v>1</x:v>
      </x:c>
      <x:c r="P118" s="451" t="n">
        <x:v>0</x:v>
      </x:c>
      <x:c r="Q118" s="451" t="n">
        <x:v>0</x:v>
      </x:c>
      <x:c r="R118" s="451" t="n">
        <x:v>0</x:v>
      </x:c>
      <x:c r="S118" s="451" t="n">
        <x:v>0</x:v>
      </x:c>
      <x:c r="T118" s="451" t="n">
        <x:v>0</x:v>
      </x:c>
      <x:c r="U118" s="451" t="n">
        <x:v>0</x:v>
      </x:c>
      <x:c r="V118" s="451" t="n">
        <x:v>0</x:v>
      </x:c>
      <x:c r="W118" s="451" t="n">
        <x:v>0</x:v>
      </x:c>
      <x:c r="X118" s="451" t="n">
        <x:v>1</x:v>
      </x:c>
    </x:row>
    <x:row r="119" ht="24" customHeight="1">
      <x:c r="A119" s="451" t="n">
        <x:v>115</x:v>
      </x:c>
      <x:c r="B119" s="451" t="str">
        <x:v>30 especialistas</x:v>
      </x:c>
      <x:c r="C119" s="451" t="str">
        <x:v>Lancaster University</x:v>
      </x:c>
      <x:c r="D119" s="451" t="str">
        <x:v>Reino Unido</x:v>
      </x:c>
      <x:c r="E119" s="451" t="str">
        <x:v>Europa</x:v>
      </x:c>
      <x:c r="F119" s="451" t="str">
        <x:v>B</x:v>
      </x:c>
      <x:c r="G119" s="451" t="n">
        <x:v>10</x:v>
      </x:c>
      <x:c r="H119" s="451" t="n">
        <x:v>0</x:v>
      </x:c>
      <x:c r="I119" s="451" t="n">
        <x:v>0</x:v>
      </x:c>
      <x:c r="J119" s="451" t="n">
        <x:v>1</x:v>
      </x:c>
      <x:c r="K119" s="451" t="n">
        <x:v>1</x:v>
      </x:c>
      <x:c r="L119" s="451" t="n">
        <x:v>1</x:v>
      </x:c>
      <x:c r="M119" s="451" t="n">
        <x:v>1</x:v>
      </x:c>
      <x:c r="N119" s="451" t="n">
        <x:v>1</x:v>
      </x:c>
      <x:c r="O119" s="451" t="n">
        <x:v>1</x:v>
      </x:c>
      <x:c r="P119" s="451" t="n">
        <x:v>0</x:v>
      </x:c>
      <x:c r="Q119" s="451" t="n">
        <x:v>0</x:v>
      </x:c>
      <x:c r="R119" s="451" t="n">
        <x:v>0</x:v>
      </x:c>
      <x:c r="S119" s="451" t="n">
        <x:v>1</x:v>
      </x:c>
      <x:c r="T119" s="451" t="n">
        <x:v>1</x:v>
      </x:c>
      <x:c r="U119" s="451" t="n">
        <x:v>1</x:v>
      </x:c>
      <x:c r="V119" s="451" t="n">
        <x:v>0</x:v>
      </x:c>
      <x:c r="W119" s="451" t="n">
        <x:v>0</x:v>
      </x:c>
      <x:c r="X119" s="451" t="n">
        <x:v>1</x:v>
      </x:c>
    </x:row>
    <x:row r="120" ht="24" customHeight="1">
      <x:c r="A120" s="451" t="n">
        <x:v>116</x:v>
      </x:c>
      <x:c r="B120" s="451" t="str">
        <x:v>30 especialistas</x:v>
      </x:c>
      <x:c r="C120" s="451" t="str">
        <x:v>Northumbria University</x:v>
      </x:c>
      <x:c r="D120" s="451" t="str">
        <x:v>Reino Unido</x:v>
      </x:c>
      <x:c r="E120" s="451" t="str">
        <x:v>Europa</x:v>
      </x:c>
      <x:c r="F120" s="451" t="str">
        <x:v>B</x:v>
      </x:c>
      <x:c r="G120" s="451" t="n">
        <x:v>9</x:v>
      </x:c>
      <x:c r="H120" s="451" t="n">
        <x:v>1</x:v>
      </x:c>
      <x:c r="I120" s="451" t="n">
        <x:v>0</x:v>
      </x:c>
      <x:c r="J120" s="451" t="n">
        <x:v>1</x:v>
      </x:c>
      <x:c r="K120" s="451" t="n">
        <x:v>1</x:v>
      </x:c>
      <x:c r="L120" s="451" t="n">
        <x:v>1</x:v>
      </x:c>
      <x:c r="M120" s="451" t="n">
        <x:v>0</x:v>
      </x:c>
      <x:c r="N120" s="451" t="n">
        <x:v>1</x:v>
      </x:c>
      <x:c r="O120" s="451" t="n">
        <x:v>1</x:v>
      </x:c>
      <x:c r="P120" s="451" t="n">
        <x:v>0</x:v>
      </x:c>
      <x:c r="Q120" s="451" t="n">
        <x:v>0</x:v>
      </x:c>
      <x:c r="R120" s="451" t="n">
        <x:v>1</x:v>
      </x:c>
      <x:c r="S120" s="451" t="n">
        <x:v>0</x:v>
      </x:c>
      <x:c r="T120" s="451" t="n">
        <x:v>0</x:v>
      </x:c>
      <x:c r="U120" s="451" t="n">
        <x:v>1</x:v>
      </x:c>
      <x:c r="V120" s="451" t="n">
        <x:v>0</x:v>
      </x:c>
      <x:c r="W120" s="451" t="n">
        <x:v>0</x:v>
      </x:c>
      <x:c r="X120" s="451" t="n">
        <x:v>1</x:v>
      </x:c>
    </x:row>
    <x:row r="121" ht="24" customHeight="1">
      <x:c r="A121" s="451" t="n">
        <x:v>117</x:v>
      </x:c>
      <x:c r="B121" s="451" t="str">
        <x:v>30 especialistas</x:v>
      </x:c>
      <x:c r="C121" s="451" t="str">
        <x:v>De Montfort University</x:v>
      </x:c>
      <x:c r="D121" s="451" t="str">
        <x:v>Reino Unido</x:v>
      </x:c>
      <x:c r="E121" s="451" t="str">
        <x:v>Europa</x:v>
      </x:c>
      <x:c r="F121" s="451" t="str">
        <x:v>B</x:v>
      </x:c>
      <x:c r="G121" s="451" t="n">
        <x:v>12</x:v>
      </x:c>
      <x:c r="H121" s="451" t="n">
        <x:v>0</x:v>
      </x:c>
      <x:c r="I121" s="451" t="n">
        <x:v>0</x:v>
      </x:c>
      <x:c r="J121" s="451" t="n">
        <x:v>1</x:v>
      </x:c>
      <x:c r="K121" s="451" t="n">
        <x:v>1</x:v>
      </x:c>
      <x:c r="L121" s="451" t="n">
        <x:v>1</x:v>
      </x:c>
      <x:c r="M121" s="451" t="n">
        <x:v>1</x:v>
      </x:c>
      <x:c r="N121" s="451" t="n">
        <x:v>1</x:v>
      </x:c>
      <x:c r="O121" s="451" t="n">
        <x:v>1</x:v>
      </x:c>
      <x:c r="P121" s="451" t="n">
        <x:v>1</x:v>
      </x:c>
      <x:c r="Q121" s="451" t="n">
        <x:v>1</x:v>
      </x:c>
      <x:c r="R121" s="451" t="n">
        <x:v>1</x:v>
      </x:c>
      <x:c r="S121" s="451" t="n">
        <x:v>1</x:v>
      </x:c>
      <x:c r="T121" s="451" t="n">
        <x:v>1</x:v>
      </x:c>
      <x:c r="U121" s="451" t="n">
        <x:v>0</x:v>
      </x:c>
      <x:c r="V121" s="451" t="n">
        <x:v>0</x:v>
      </x:c>
      <x:c r="W121" s="451" t="n">
        <x:v>0</x:v>
      </x:c>
      <x:c r="X121" s="451" t="n">
        <x:v>1</x:v>
      </x:c>
    </x:row>
    <x:row r="122" ht="24" customHeight="1">
      <x:c r="A122" s="451" t="n">
        <x:v>118</x:v>
      </x:c>
      <x:c r="B122" s="451" t="str">
        <x:v>30 especialistas</x:v>
      </x:c>
      <x:c r="C122" s="451" t="str">
        <x:v>University of Kent</x:v>
      </x:c>
      <x:c r="D122" s="451" t="str">
        <x:v>Reino Unido</x:v>
      </x:c>
      <x:c r="E122" s="451" t="str">
        <x:v>Europa</x:v>
      </x:c>
      <x:c r="F122" s="451" t="str">
        <x:v>B</x:v>
      </x:c>
      <x:c r="G122" s="451" t="n">
        <x:v>9</x:v>
      </x:c>
      <x:c r="H122" s="451" t="n">
        <x:v>0</x:v>
      </x:c>
      <x:c r="I122" s="451" t="n">
        <x:v>0</x:v>
      </x:c>
      <x:c r="J122" s="451" t="n">
        <x:v>1</x:v>
      </x:c>
      <x:c r="K122" s="451" t="n">
        <x:v>1</x:v>
      </x:c>
      <x:c r="L122" s="451" t="n">
        <x:v>1</x:v>
      </x:c>
      <x:c r="M122" s="451" t="n">
        <x:v>1</x:v>
      </x:c>
      <x:c r="N122" s="451" t="n">
        <x:v>1</x:v>
      </x:c>
      <x:c r="O122" s="451" t="n">
        <x:v>1</x:v>
      </x:c>
      <x:c r="P122" s="451" t="n">
        <x:v>0</x:v>
      </x:c>
      <x:c r="Q122" s="451" t="n">
        <x:v>0</x:v>
      </x:c>
      <x:c r="R122" s="451" t="n">
        <x:v>0</x:v>
      </x:c>
      <x:c r="S122" s="451" t="n">
        <x:v>1</x:v>
      </x:c>
      <x:c r="T122" s="451" t="n">
        <x:v>1</x:v>
      </x:c>
      <x:c r="U122" s="451" t="n">
        <x:v>0</x:v>
      </x:c>
      <x:c r="V122" s="451" t="n">
        <x:v>0</x:v>
      </x:c>
      <x:c r="W122" s="451" t="n">
        <x:v>0</x:v>
      </x:c>
      <x:c r="X122" s="451" t="n">
        <x:v>1</x:v>
      </x:c>
    </x:row>
    <x:row r="123" ht="24" customHeight="1">
      <x:c r="A123" s="451" t="n">
        <x:v>119</x:v>
      </x:c>
      <x:c r="B123" s="451" t="str">
        <x:v>30 especialistas</x:v>
      </x:c>
      <x:c r="C123" s="451" t="str">
        <x:v>Cranfield University</x:v>
      </x:c>
      <x:c r="D123" s="451" t="str">
        <x:v>Reino Unido</x:v>
      </x:c>
      <x:c r="E123" s="451" t="str">
        <x:v>Europa</x:v>
      </x:c>
      <x:c r="F123" s="451" t="str">
        <x:v>B</x:v>
      </x:c>
      <x:c r="G123" s="451" t="n">
        <x:v>10</x:v>
      </x:c>
      <x:c r="H123" s="451" t="n">
        <x:v>0</x:v>
      </x:c>
      <x:c r="I123" s="451" t="n">
        <x:v>1</x:v>
      </x:c>
      <x:c r="J123" s="451" t="n">
        <x:v>1</x:v>
      </x:c>
      <x:c r="K123" s="451" t="n">
        <x:v>1</x:v>
      </x:c>
      <x:c r="L123" s="451" t="n">
        <x:v>1</x:v>
      </x:c>
      <x:c r="M123" s="451" t="n">
        <x:v>1</x:v>
      </x:c>
      <x:c r="N123" s="451" t="n">
        <x:v>1</x:v>
      </x:c>
      <x:c r="O123" s="451" t="n">
        <x:v>1</x:v>
      </x:c>
      <x:c r="P123" s="451" t="n">
        <x:v>1</x:v>
      </x:c>
      <x:c r="Q123" s="451" t="n">
        <x:v>1</x:v>
      </x:c>
      <x:c r="R123" s="451" t="n">
        <x:v>0</x:v>
      </x:c>
      <x:c r="S123" s="451" t="n">
        <x:v>0</x:v>
      </x:c>
      <x:c r="T123" s="451" t="n">
        <x:v>0</x:v>
      </x:c>
      <x:c r="U123" s="451" t="n">
        <x:v>0</x:v>
      </x:c>
      <x:c r="V123" s="451" t="n">
        <x:v>0</x:v>
      </x:c>
      <x:c r="W123" s="451" t="n">
        <x:v>0</x:v>
      </x:c>
      <x:c r="X123" s="451" t="n">
        <x:v>1</x:v>
      </x:c>
    </x:row>
    <x:row r="124" ht="24" customHeight="1">
      <x:c r="A124" s="451" t="n">
        <x:v>120</x:v>
      </x:c>
      <x:c r="B124" s="451" t="str">
        <x:v>30 especialistas</x:v>
      </x:c>
      <x:c r="C124" s="451" t="str">
        <x:v>Politecnico di Torino</x:v>
      </x:c>
      <x:c r="D124" s="451" t="str">
        <x:v>Italia</x:v>
      </x:c>
      <x:c r="E124" s="451" t="str">
        <x:v>Europa</x:v>
      </x:c>
      <x:c r="F124" s="451" t="str">
        <x:v>B</x:v>
      </x:c>
      <x:c r="G124" s="451" t="n">
        <x:v>11</x:v>
      </x:c>
      <x:c r="H124" s="451" t="n">
        <x:v>0</x:v>
      </x:c>
      <x:c r="I124" s="451" t="n">
        <x:v>1</x:v>
      </x:c>
      <x:c r="J124" s="451" t="n">
        <x:v>1</x:v>
      </x:c>
      <x:c r="K124" s="451" t="n">
        <x:v>1</x:v>
      </x:c>
      <x:c r="L124" s="451" t="n">
        <x:v>1</x:v>
      </x:c>
      <x:c r="M124" s="451" t="n">
        <x:v>1</x:v>
      </x:c>
      <x:c r="N124" s="451" t="n">
        <x:v>1</x:v>
      </x:c>
      <x:c r="O124" s="451" t="n">
        <x:v>1</x:v>
      </x:c>
      <x:c r="P124" s="451" t="n">
        <x:v>1</x:v>
      </x:c>
      <x:c r="Q124" s="451" t="n">
        <x:v>1</x:v>
      </x:c>
      <x:c r="R124" s="451" t="n">
        <x:v>0</x:v>
      </x:c>
      <x:c r="S124" s="451" t="n">
        <x:v>0</x:v>
      </x:c>
      <x:c r="T124" s="451" t="n">
        <x:v>0</x:v>
      </x:c>
      <x:c r="U124" s="451" t="n">
        <x:v>1</x:v>
      </x:c>
      <x:c r="V124" s="451" t="n">
        <x:v>0</x:v>
      </x:c>
      <x:c r="W124" s="451" t="n">
        <x:v>0</x:v>
      </x:c>
      <x:c r="X124" s="451" t="n">
        <x:v>1</x:v>
      </x:c>
    </x:row>
    <x:row r="125" ht="24" customHeight="1">
      <x:c r="A125" s="451" t="n">
        <x:v>121</x:v>
      </x:c>
      <x:c r="B125" s="451" t="str">
        <x:v>30 especialistas</x:v>
      </x:c>
      <x:c r="C125" s="451" t="str">
        <x:v>Télécom Paris</x:v>
      </x:c>
      <x:c r="D125" s="451" t="str">
        <x:v>Francia</x:v>
      </x:c>
      <x:c r="E125" s="451" t="str">
        <x:v>Europa</x:v>
      </x:c>
      <x:c r="F125" s="451" t="str">
        <x:v>B</x:v>
      </x:c>
      <x:c r="G125" s="451" t="n">
        <x:v>11</x:v>
      </x:c>
      <x:c r="H125" s="451" t="n">
        <x:v>0</x:v>
      </x:c>
      <x:c r="I125" s="451" t="n">
        <x:v>1</x:v>
      </x:c>
      <x:c r="J125" s="451" t="n">
        <x:v>1</x:v>
      </x:c>
      <x:c r="K125" s="451" t="n">
        <x:v>1</x:v>
      </x:c>
      <x:c r="L125" s="451" t="n">
        <x:v>1</x:v>
      </x:c>
      <x:c r="M125" s="451" t="n">
        <x:v>1</x:v>
      </x:c>
      <x:c r="N125" s="451" t="n">
        <x:v>1</x:v>
      </x:c>
      <x:c r="O125" s="451" t="n">
        <x:v>1</x:v>
      </x:c>
      <x:c r="P125" s="451" t="n">
        <x:v>1</x:v>
      </x:c>
      <x:c r="Q125" s="451" t="n">
        <x:v>1</x:v>
      </x:c>
      <x:c r="R125" s="451" t="n">
        <x:v>0</x:v>
      </x:c>
      <x:c r="S125" s="451" t="n">
        <x:v>0</x:v>
      </x:c>
      <x:c r="T125" s="451" t="n">
        <x:v>0</x:v>
      </x:c>
      <x:c r="U125" s="451" t="n">
        <x:v>1</x:v>
      </x:c>
      <x:c r="V125" s="451" t="n">
        <x:v>0</x:v>
      </x:c>
      <x:c r="W125" s="451" t="n">
        <x:v>0</x:v>
      </x:c>
      <x:c r="X125" s="451" t="n">
        <x:v>1</x:v>
      </x:c>
    </x:row>
    <x:row r="126" ht="24" customHeight="1">
      <x:c r="A126" s="451" t="n">
        <x:v>122</x:v>
      </x:c>
      <x:c r="B126" s="451" t="str">
        <x:v>30 especialistas</x:v>
      </x:c>
      <x:c r="C126" s="451" t="str">
        <x:v>EURECOM</x:v>
      </x:c>
      <x:c r="D126" s="451" t="str">
        <x:v>Francia</x:v>
      </x:c>
      <x:c r="E126" s="451" t="str">
        <x:v>Europa</x:v>
      </x:c>
      <x:c r="F126" s="451" t="str">
        <x:v>B</x:v>
      </x:c>
      <x:c r="G126" s="451" t="n">
        <x:v>10</x:v>
      </x:c>
      <x:c r="H126" s="451" t="n">
        <x:v>0</x:v>
      </x:c>
      <x:c r="I126" s="451" t="n">
        <x:v>1</x:v>
      </x:c>
      <x:c r="J126" s="451" t="n">
        <x:v>1</x:v>
      </x:c>
      <x:c r="K126" s="451" t="n">
        <x:v>1</x:v>
      </x:c>
      <x:c r="L126" s="451" t="n">
        <x:v>1</x:v>
      </x:c>
      <x:c r="M126" s="451" t="n">
        <x:v>1</x:v>
      </x:c>
      <x:c r="N126" s="451" t="n">
        <x:v>1</x:v>
      </x:c>
      <x:c r="O126" s="451" t="n">
        <x:v>1</x:v>
      </x:c>
      <x:c r="P126" s="451" t="n">
        <x:v>1</x:v>
      </x:c>
      <x:c r="Q126" s="451" t="n">
        <x:v>1</x:v>
      </x:c>
      <x:c r="R126" s="451" t="n">
        <x:v>0</x:v>
      </x:c>
      <x:c r="S126" s="451" t="n">
        <x:v>0</x:v>
      </x:c>
      <x:c r="T126" s="451" t="n">
        <x:v>0</x:v>
      </x:c>
      <x:c r="U126" s="451" t="n">
        <x:v>0</x:v>
      </x:c>
      <x:c r="V126" s="451" t="n">
        <x:v>0</x:v>
      </x:c>
      <x:c r="W126" s="451" t="n">
        <x:v>0</x:v>
      </x:c>
      <x:c r="X126" s="451" t="n">
        <x:v>1</x:v>
      </x:c>
    </x:row>
    <x:row r="127" ht="24" customHeight="1">
      <x:c r="A127" s="451" t="n">
        <x:v>123</x:v>
      </x:c>
      <x:c r="B127" s="451" t="str">
        <x:v>30 especialistas</x:v>
      </x:c>
      <x:c r="C127" s="451" t="str">
        <x:v>University of Luxembourg</x:v>
      </x:c>
      <x:c r="D127" s="451" t="str">
        <x:v>Luxemburgo</x:v>
      </x:c>
      <x:c r="E127" s="451" t="str">
        <x:v>Europa</x:v>
      </x:c>
      <x:c r="F127" s="451" t="str">
        <x:v>B</x:v>
      </x:c>
      <x:c r="G127" s="451" t="n">
        <x:v>10</x:v>
      </x:c>
      <x:c r="H127" s="451" t="n">
        <x:v>0</x:v>
      </x:c>
      <x:c r="I127" s="451" t="n">
        <x:v>1</x:v>
      </x:c>
      <x:c r="J127" s="451" t="n">
        <x:v>1</x:v>
      </x:c>
      <x:c r="K127" s="451" t="n">
        <x:v>1</x:v>
      </x:c>
      <x:c r="L127" s="451" t="n">
        <x:v>1</x:v>
      </x:c>
      <x:c r="M127" s="451" t="n">
        <x:v>1</x:v>
      </x:c>
      <x:c r="N127" s="451" t="n">
        <x:v>1</x:v>
      </x:c>
      <x:c r="O127" s="451" t="n">
        <x:v>1</x:v>
      </x:c>
      <x:c r="P127" s="451" t="n">
        <x:v>0</x:v>
      </x:c>
      <x:c r="Q127" s="451" t="n">
        <x:v>0</x:v>
      </x:c>
      <x:c r="R127" s="451" t="n">
        <x:v>0</x:v>
      </x:c>
      <x:c r="S127" s="451" t="n">
        <x:v>0</x:v>
      </x:c>
      <x:c r="T127" s="451" t="n">
        <x:v>0</x:v>
      </x:c>
      <x:c r="U127" s="451" t="n">
        <x:v>1</x:v>
      </x:c>
      <x:c r="V127" s="451" t="n">
        <x:v>0</x:v>
      </x:c>
      <x:c r="W127" s="451" t="n">
        <x:v>1</x:v>
      </x:c>
      <x:c r="X127" s="451" t="n">
        <x:v>1</x:v>
      </x:c>
    </x:row>
    <x:row r="128" ht="24" customHeight="1">
      <x:c r="A128" s="451" t="n">
        <x:v>124</x:v>
      </x:c>
      <x:c r="B128" s="451" t="str">
        <x:v>30 especialistas</x:v>
      </x:c>
      <x:c r="C128" s="451" t="str">
        <x:v>Graz University of Technology</x:v>
      </x:c>
      <x:c r="D128" s="451" t="str">
        <x:v>Austria</x:v>
      </x:c>
      <x:c r="E128" s="451" t="str">
        <x:v>Europa</x:v>
      </x:c>
      <x:c r="F128" s="451" t="str">
        <x:v>B</x:v>
      </x:c>
      <x:c r="G128" s="451" t="n">
        <x:v>12</x:v>
      </x:c>
      <x:c r="H128" s="451" t="n">
        <x:v>0</x:v>
      </x:c>
      <x:c r="I128" s="451" t="n">
        <x:v>1</x:v>
      </x:c>
      <x:c r="J128" s="451" t="n">
        <x:v>1</x:v>
      </x:c>
      <x:c r="K128" s="451" t="n">
        <x:v>1</x:v>
      </x:c>
      <x:c r="L128" s="451" t="n">
        <x:v>1</x:v>
      </x:c>
      <x:c r="M128" s="451" t="n">
        <x:v>1</x:v>
      </x:c>
      <x:c r="N128" s="451" t="n">
        <x:v>1</x:v>
      </x:c>
      <x:c r="O128" s="451" t="n">
        <x:v>1</x:v>
      </x:c>
      <x:c r="P128" s="451" t="n">
        <x:v>1</x:v>
      </x:c>
      <x:c r="Q128" s="451" t="n">
        <x:v>1</x:v>
      </x:c>
      <x:c r="R128" s="451" t="n">
        <x:v>0</x:v>
      </x:c>
      <x:c r="S128" s="451" t="n">
        <x:v>0</x:v>
      </x:c>
      <x:c r="T128" s="451" t="n">
        <x:v>0</x:v>
      </x:c>
      <x:c r="U128" s="451" t="n">
        <x:v>0</x:v>
      </x:c>
      <x:c r="V128" s="451" t="n">
        <x:v>1</x:v>
      </x:c>
      <x:c r="W128" s="451" t="n">
        <x:v>1</x:v>
      </x:c>
      <x:c r="X128" s="451" t="n">
        <x:v>1</x:v>
      </x:c>
    </x:row>
    <x:row r="129" ht="24" customHeight="1">
      <x:c r="A129" s="451" t="n">
        <x:v>125</x:v>
      </x:c>
      <x:c r="B129" s="451" t="str">
        <x:v>30 especialistas</x:v>
      </x:c>
      <x:c r="C129" s="451" t="str">
        <x:v>Johannes Kepler University Linz</x:v>
      </x:c>
      <x:c r="D129" s="451" t="str">
        <x:v>Austria</x:v>
      </x:c>
      <x:c r="E129" s="451" t="str">
        <x:v>Europa</x:v>
      </x:c>
      <x:c r="F129" s="451" t="str">
        <x:v>B</x:v>
      </x:c>
      <x:c r="G129" s="451" t="n">
        <x:v>11</x:v>
      </x:c>
      <x:c r="H129" s="451" t="n">
        <x:v>0</x:v>
      </x:c>
      <x:c r="I129" s="451" t="n">
        <x:v>1</x:v>
      </x:c>
      <x:c r="J129" s="451" t="n">
        <x:v>1</x:v>
      </x:c>
      <x:c r="K129" s="451" t="n">
        <x:v>1</x:v>
      </x:c>
      <x:c r="L129" s="451" t="n">
        <x:v>1</x:v>
      </x:c>
      <x:c r="M129" s="451" t="n">
        <x:v>1</x:v>
      </x:c>
      <x:c r="N129" s="451" t="n">
        <x:v>1</x:v>
      </x:c>
      <x:c r="O129" s="451" t="n">
        <x:v>1</x:v>
      </x:c>
      <x:c r="P129" s="451" t="n">
        <x:v>1</x:v>
      </x:c>
      <x:c r="Q129" s="451" t="n">
        <x:v>1</x:v>
      </x:c>
      <x:c r="R129" s="451" t="n">
        <x:v>0</x:v>
      </x:c>
      <x:c r="S129" s="451" t="n">
        <x:v>0</x:v>
      </x:c>
      <x:c r="T129" s="451" t="n">
        <x:v>0</x:v>
      </x:c>
      <x:c r="U129" s="451" t="n">
        <x:v>0</x:v>
      </x:c>
      <x:c r="V129" s="451" t="n">
        <x:v>1</x:v>
      </x:c>
      <x:c r="W129" s="451" t="n">
        <x:v>0</x:v>
      </x:c>
      <x:c r="X129" s="451" t="n">
        <x:v>1</x:v>
      </x:c>
    </x:row>
    <x:row r="130" ht="24" customHeight="1">
      <x:c r="A130" s="451" t="n">
        <x:v>126</x:v>
      </x:c>
      <x:c r="B130" s="451" t="str">
        <x:v>30 especialistas</x:v>
      </x:c>
      <x:c r="C130" s="451" t="str">
        <x:v>Technical University of Darmstadt</x:v>
      </x:c>
      <x:c r="D130" s="451" t="str">
        <x:v>Alemania</x:v>
      </x:c>
      <x:c r="E130" s="451" t="str">
        <x:v>Europa</x:v>
      </x:c>
      <x:c r="F130" s="451" t="str">
        <x:v>B</x:v>
      </x:c>
      <x:c r="G130" s="451" t="n">
        <x:v>11</x:v>
      </x:c>
      <x:c r="H130" s="451" t="n">
        <x:v>0</x:v>
      </x:c>
      <x:c r="I130" s="451" t="n">
        <x:v>1</x:v>
      </x:c>
      <x:c r="J130" s="451" t="n">
        <x:v>1</x:v>
      </x:c>
      <x:c r="K130" s="451" t="n">
        <x:v>1</x:v>
      </x:c>
      <x:c r="L130" s="451" t="n">
        <x:v>1</x:v>
      </x:c>
      <x:c r="M130" s="451" t="n">
        <x:v>1</x:v>
      </x:c>
      <x:c r="N130" s="451" t="n">
        <x:v>1</x:v>
      </x:c>
      <x:c r="O130" s="451" t="n">
        <x:v>1</x:v>
      </x:c>
      <x:c r="P130" s="451" t="n">
        <x:v>1</x:v>
      </x:c>
      <x:c r="Q130" s="451" t="n">
        <x:v>1</x:v>
      </x:c>
      <x:c r="R130" s="451" t="n">
        <x:v>0</x:v>
      </x:c>
      <x:c r="S130" s="451" t="n">
        <x:v>0</x:v>
      </x:c>
      <x:c r="T130" s="451" t="n">
        <x:v>0</x:v>
      </x:c>
      <x:c r="U130" s="451" t="n">
        <x:v>0</x:v>
      </x:c>
      <x:c r="V130" s="451" t="n">
        <x:v>0</x:v>
      </x:c>
      <x:c r="W130" s="451" t="n">
        <x:v>1</x:v>
      </x:c>
      <x:c r="X130" s="451" t="n">
        <x:v>1</x:v>
      </x:c>
    </x:row>
    <x:row r="131" ht="24" customHeight="1">
      <x:c r="A131" s="451" t="n">
        <x:v>127</x:v>
      </x:c>
      <x:c r="B131" s="451" t="str">
        <x:v>30 especialistas</x:v>
      </x:c>
      <x:c r="C131" s="451" t="str">
        <x:v>University of Potsdam / Hasso Plattner Institute</x:v>
      </x:c>
      <x:c r="D131" s="451" t="str">
        <x:v>Alemania</x:v>
      </x:c>
      <x:c r="E131" s="451" t="str">
        <x:v>Europa</x:v>
      </x:c>
      <x:c r="F131" s="451" t="str">
        <x:v>B</x:v>
      </x:c>
      <x:c r="G131" s="451" t="n">
        <x:v>10</x:v>
      </x:c>
      <x:c r="H131" s="451" t="n">
        <x:v>0</x:v>
      </x:c>
      <x:c r="I131" s="451" t="n">
        <x:v>1</x:v>
      </x:c>
      <x:c r="J131" s="451" t="n">
        <x:v>1</x:v>
      </x:c>
      <x:c r="K131" s="451" t="n">
        <x:v>1</x:v>
      </x:c>
      <x:c r="L131" s="451" t="n">
        <x:v>1</x:v>
      </x:c>
      <x:c r="M131" s="451" t="n">
        <x:v>1</x:v>
      </x:c>
      <x:c r="N131" s="451" t="n">
        <x:v>1</x:v>
      </x:c>
      <x:c r="O131" s="451" t="n">
        <x:v>1</x:v>
      </x:c>
      <x:c r="P131" s="451" t="n">
        <x:v>0</x:v>
      </x:c>
      <x:c r="Q131" s="451" t="n">
        <x:v>0</x:v>
      </x:c>
      <x:c r="R131" s="451" t="n">
        <x:v>0</x:v>
      </x:c>
      <x:c r="S131" s="451" t="n">
        <x:v>0</x:v>
      </x:c>
      <x:c r="T131" s="451" t="n">
        <x:v>0</x:v>
      </x:c>
      <x:c r="U131" s="451" t="n">
        <x:v>1</x:v>
      </x:c>
      <x:c r="V131" s="451" t="n">
        <x:v>1</x:v>
      </x:c>
      <x:c r="W131" s="451" t="n">
        <x:v>0</x:v>
      </x:c>
      <x:c r="X131" s="451" t="n">
        <x:v>1</x:v>
      </x:c>
    </x:row>
    <x:row r="132" ht="24" customHeight="1">
      <x:c r="A132" s="451" t="n">
        <x:v>128</x:v>
      </x:c>
      <x:c r="B132" s="451" t="str">
        <x:v>30 especialistas</x:v>
      </x:c>
      <x:c r="C132" s="451" t="str">
        <x:v>University of the Arts London</x:v>
      </x:c>
      <x:c r="D132" s="451" t="str">
        <x:v>Reino Unido</x:v>
      </x:c>
      <x:c r="E132" s="451" t="str">
        <x:v>Europa</x:v>
      </x:c>
      <x:c r="F132" s="451" t="str">
        <x:v>B</x:v>
      </x:c>
      <x:c r="G132" s="451" t="n">
        <x:v>5</x:v>
      </x:c>
      <x:c r="H132" s="451" t="n">
        <x:v>0</x:v>
      </x:c>
      <x:c r="I132" s="451" t="n">
        <x:v>0</x:v>
      </x:c>
      <x:c r="J132" s="451" t="n">
        <x:v>1</x:v>
      </x:c>
      <x:c r="K132" s="451" t="n">
        <x:v>0</x:v>
      </x:c>
      <x:c r="L132" s="451" t="n">
        <x:v>1</x:v>
      </x:c>
      <x:c r="M132" s="451" t="n">
        <x:v>0</x:v>
      </x:c>
      <x:c r="N132" s="451" t="n">
        <x:v>0</x:v>
      </x:c>
      <x:c r="O132" s="451" t="n">
        <x:v>0</x:v>
      </x:c>
      <x:c r="P132" s="451" t="n">
        <x:v>0</x:v>
      </x:c>
      <x:c r="Q132" s="451" t="n">
        <x:v>0</x:v>
      </x:c>
      <x:c r="R132" s="451" t="n">
        <x:v>0</x:v>
      </x:c>
      <x:c r="S132" s="451" t="n">
        <x:v>1</x:v>
      </x:c>
      <x:c r="T132" s="451" t="n">
        <x:v>1</x:v>
      </x:c>
      <x:c r="U132" s="451" t="n">
        <x:v>0</x:v>
      </x:c>
      <x:c r="V132" s="451" t="n">
        <x:v>0</x:v>
      </x:c>
      <x:c r="W132" s="451" t="n">
        <x:v>0</x:v>
      </x:c>
      <x:c r="X132" s="451" t="n">
        <x:v>1</x:v>
      </x:c>
    </x:row>
    <x:row r="133" ht="24" customHeight="1">
      <x:c r="A133" s="451" t="n">
        <x:v>129</x:v>
      </x:c>
      <x:c r="B133" s="451" t="str">
        <x:v>30 especialistas</x:v>
      </x:c>
      <x:c r="C133" s="451" t="str">
        <x:v>California Institute of the Arts</x:v>
      </x:c>
      <x:c r="D133" s="451" t="str">
        <x:v>Estados Unidos</x:v>
      </x:c>
      <x:c r="E133" s="451" t="str">
        <x:v>Norteamérica</x:v>
      </x:c>
      <x:c r="F133" s="451" t="str">
        <x:v>B</x:v>
      </x:c>
      <x:c r="G133" s="451" t="n">
        <x:v>3</x:v>
      </x:c>
      <x:c r="H133" s="451" t="n">
        <x:v>0</x:v>
      </x:c>
      <x:c r="I133" s="451" t="n">
        <x:v>0</x:v>
      </x:c>
      <x:c r="J133" s="451" t="n">
        <x:v>0</x:v>
      </x:c>
      <x:c r="K133" s="451" t="n">
        <x:v>0</x:v>
      </x:c>
      <x:c r="L133" s="451" t="n">
        <x:v>0</x:v>
      </x:c>
      <x:c r="M133" s="451" t="n">
        <x:v>0</x:v>
      </x:c>
      <x:c r="N133" s="451" t="n">
        <x:v>0</x:v>
      </x:c>
      <x:c r="O133" s="451" t="n">
        <x:v>0</x:v>
      </x:c>
      <x:c r="P133" s="451" t="n">
        <x:v>0</x:v>
      </x:c>
      <x:c r="Q133" s="451" t="n">
        <x:v>0</x:v>
      </x:c>
      <x:c r="R133" s="451" t="n">
        <x:v>0</x:v>
      </x:c>
      <x:c r="S133" s="451" t="n">
        <x:v>1</x:v>
      </x:c>
      <x:c r="T133" s="451" t="n">
        <x:v>1</x:v>
      </x:c>
      <x:c r="U133" s="451" t="n">
        <x:v>0</x:v>
      </x:c>
      <x:c r="V133" s="451" t="n">
        <x:v>0</x:v>
      </x:c>
      <x:c r="W133" s="451" t="n">
        <x:v>0</x:v>
      </x:c>
      <x:c r="X133" s="451" t="n">
        <x:v>1</x:v>
      </x:c>
    </x:row>
    <x:row r="134" ht="24" customHeight="1">
      <x:c r="A134" s="451" t="n">
        <x:v>130</x:v>
      </x:c>
      <x:c r="B134" s="451" t="str">
        <x:v>30 especialistas</x:v>
      </x:c>
      <x:c r="C134" s="451" t="str">
        <x:v>Savannah College of Art and Design</x:v>
      </x:c>
      <x:c r="D134" s="451" t="str">
        <x:v>Estados Unidos</x:v>
      </x:c>
      <x:c r="E134" s="451" t="str">
        <x:v>Norteamérica</x:v>
      </x:c>
      <x:c r="F134" s="451" t="str">
        <x:v>B</x:v>
      </x:c>
      <x:c r="G134" s="451" t="n">
        <x:v>3</x:v>
      </x:c>
      <x:c r="H134" s="451" t="n">
        <x:v>0</x:v>
      </x:c>
      <x:c r="I134" s="451" t="n">
        <x:v>0</x:v>
      </x:c>
      <x:c r="J134" s="451" t="n">
        <x:v>0</x:v>
      </x:c>
      <x:c r="K134" s="451" t="n">
        <x:v>0</x:v>
      </x:c>
      <x:c r="L134" s="451" t="n">
        <x:v>0</x:v>
      </x:c>
      <x:c r="M134" s="451" t="n">
        <x:v>0</x:v>
      </x:c>
      <x:c r="N134" s="451" t="n">
        <x:v>0</x:v>
      </x:c>
      <x:c r="O134" s="451" t="n">
        <x:v>0</x:v>
      </x:c>
      <x:c r="P134" s="451" t="n">
        <x:v>0</x:v>
      </x:c>
      <x:c r="Q134" s="451" t="n">
        <x:v>0</x:v>
      </x:c>
      <x:c r="R134" s="451" t="n">
        <x:v>0</x:v>
      </x:c>
      <x:c r="S134" s="451" t="n">
        <x:v>1</x:v>
      </x:c>
      <x:c r="T134" s="451" t="n">
        <x:v>1</x:v>
      </x:c>
      <x:c r="U134" s="451" t="n">
        <x:v>0</x:v>
      </x:c>
      <x:c r="V134" s="451" t="n">
        <x:v>0</x:v>
      </x:c>
      <x:c r="W134" s="451" t="n">
        <x:v>0</x:v>
      </x:c>
      <x:c r="X134" s="451" t="n">
        <x:v>1</x:v>
      </x:c>
    </x:row>
    <x:row r="135" ht="24" customHeight="1">
      <x:c r="A135" s="451" t="n">
        <x:v>131</x:v>
      </x:c>
      <x:c r="B135" s="451" t="str">
        <x:v>20 referentes regionales</x:v>
      </x:c>
      <x:c r="C135" s="451" t="str">
        <x:v>Universidad Nacional Autónoma de México</x:v>
      </x:c>
      <x:c r="D135" s="451" t="str">
        <x:v>México</x:v>
      </x:c>
      <x:c r="E135" s="451" t="str">
        <x:v>Latinoamérica</x:v>
      </x:c>
      <x:c r="F135" s="451" t="str">
        <x:v>B</x:v>
      </x:c>
      <x:c r="G135" s="451" t="n">
        <x:v>15</x:v>
      </x:c>
      <x:c r="H135" s="451" t="n">
        <x:v>1</x:v>
      </x:c>
      <x:c r="I135" s="451" t="n">
        <x:v>1</x:v>
      </x:c>
      <x:c r="J135" s="451" t="n">
        <x:v>1</x:v>
      </x:c>
      <x:c r="K135" s="451" t="n">
        <x:v>1</x:v>
      </x:c>
      <x:c r="L135" s="451" t="n">
        <x:v>1</x:v>
      </x:c>
      <x:c r="M135" s="451" t="n">
        <x:v>1</x:v>
      </x:c>
      <x:c r="N135" s="451" t="n">
        <x:v>1</x:v>
      </x:c>
      <x:c r="O135" s="451" t="n">
        <x:v>1</x:v>
      </x:c>
      <x:c r="P135" s="451" t="n">
        <x:v>1</x:v>
      </x:c>
      <x:c r="Q135" s="451" t="n">
        <x:v>1</x:v>
      </x:c>
      <x:c r="R135" s="451" t="n">
        <x:v>1</x:v>
      </x:c>
      <x:c r="S135" s="451" t="n">
        <x:v>1</x:v>
      </x:c>
      <x:c r="T135" s="451" t="n">
        <x:v>0</x:v>
      </x:c>
      <x:c r="U135" s="451" t="n">
        <x:v>1</x:v>
      </x:c>
      <x:c r="V135" s="451" t="n">
        <x:v>1</x:v>
      </x:c>
      <x:c r="W135" s="451" t="n">
        <x:v>0</x:v>
      </x:c>
      <x:c r="X135" s="451" t="n">
        <x:v>1</x:v>
      </x:c>
    </x:row>
    <x:row r="136" ht="24" customHeight="1">
      <x:c r="A136" s="451" t="n">
        <x:v>132</x:v>
      </x:c>
      <x:c r="B136" s="451" t="str">
        <x:v>20 referentes regionales</x:v>
      </x:c>
      <x:c r="C136" s="451" t="str">
        <x:v>Tecnológico de Monterrey</x:v>
      </x:c>
      <x:c r="D136" s="451" t="str">
        <x:v>México</x:v>
      </x:c>
      <x:c r="E136" s="451" t="str">
        <x:v>Latinoamérica</x:v>
      </x:c>
      <x:c r="F136" s="451" t="str">
        <x:v>B</x:v>
      </x:c>
      <x:c r="G136" s="451" t="n">
        <x:v>16</x:v>
      </x:c>
      <x:c r="H136" s="451" t="n">
        <x:v>1</x:v>
      </x:c>
      <x:c r="I136" s="451" t="n">
        <x:v>1</x:v>
      </x:c>
      <x:c r="J136" s="451" t="n">
        <x:v>1</x:v>
      </x:c>
      <x:c r="K136" s="451" t="n">
        <x:v>1</x:v>
      </x:c>
      <x:c r="L136" s="451" t="n">
        <x:v>1</x:v>
      </x:c>
      <x:c r="M136" s="451" t="n">
        <x:v>1</x:v>
      </x:c>
      <x:c r="N136" s="451" t="n">
        <x:v>1</x:v>
      </x:c>
      <x:c r="O136" s="451" t="n">
        <x:v>1</x:v>
      </x:c>
      <x:c r="P136" s="451" t="n">
        <x:v>1</x:v>
      </x:c>
      <x:c r="Q136" s="451" t="n">
        <x:v>1</x:v>
      </x:c>
      <x:c r="R136" s="451" t="n">
        <x:v>1</x:v>
      </x:c>
      <x:c r="S136" s="451" t="n">
        <x:v>1</x:v>
      </x:c>
      <x:c r="T136" s="451" t="n">
        <x:v>1</x:v>
      </x:c>
      <x:c r="U136" s="451" t="n">
        <x:v>1</x:v>
      </x:c>
      <x:c r="V136" s="451" t="n">
        <x:v>1</x:v>
      </x:c>
      <x:c r="W136" s="451" t="n">
        <x:v>0</x:v>
      </x:c>
      <x:c r="X136" s="451" t="n">
        <x:v>1</x:v>
      </x:c>
    </x:row>
    <x:row r="137" ht="24" customHeight="1">
      <x:c r="A137" s="451" t="n">
        <x:v>133</x:v>
      </x:c>
      <x:c r="B137" s="451" t="str">
        <x:v>20 referentes regionales</x:v>
      </x:c>
      <x:c r="C137" s="451" t="str">
        <x:v>Universidade de São Paulo</x:v>
      </x:c>
      <x:c r="D137" s="451" t="str">
        <x:v>Brasil</x:v>
      </x:c>
      <x:c r="E137" s="451" t="str">
        <x:v>Latinoamérica</x:v>
      </x:c>
      <x:c r="F137" s="451" t="str">
        <x:v>B</x:v>
      </x:c>
      <x:c r="G137" s="451" t="n">
        <x:v>13</x:v>
      </x:c>
      <x:c r="H137" s="451" t="n">
        <x:v>0</x:v>
      </x:c>
      <x:c r="I137" s="451" t="n">
        <x:v>1</x:v>
      </x:c>
      <x:c r="J137" s="451" t="n">
        <x:v>1</x:v>
      </x:c>
      <x:c r="K137" s="451" t="n">
        <x:v>1</x:v>
      </x:c>
      <x:c r="L137" s="451" t="n">
        <x:v>1</x:v>
      </x:c>
      <x:c r="M137" s="451" t="n">
        <x:v>1</x:v>
      </x:c>
      <x:c r="N137" s="451" t="n">
        <x:v>1</x:v>
      </x:c>
      <x:c r="O137" s="451" t="n">
        <x:v>1</x:v>
      </x:c>
      <x:c r="P137" s="451" t="n">
        <x:v>1</x:v>
      </x:c>
      <x:c r="Q137" s="451" t="n">
        <x:v>1</x:v>
      </x:c>
      <x:c r="R137" s="451" t="n">
        <x:v>0</x:v>
      </x:c>
      <x:c r="S137" s="451" t="n">
        <x:v>0</x:v>
      </x:c>
      <x:c r="T137" s="451" t="n">
        <x:v>0</x:v>
      </x:c>
      <x:c r="U137" s="451" t="n">
        <x:v>1</x:v>
      </x:c>
      <x:c r="V137" s="451" t="n">
        <x:v>1</x:v>
      </x:c>
      <x:c r="W137" s="451" t="n">
        <x:v>1</x:v>
      </x:c>
      <x:c r="X137" s="451" t="n">
        <x:v>1</x:v>
      </x:c>
    </x:row>
    <x:row r="138" ht="24" customHeight="1">
      <x:c r="A138" s="451" t="n">
        <x:v>134</x:v>
      </x:c>
      <x:c r="B138" s="451" t="str">
        <x:v>20 referentes regionales</x:v>
      </x:c>
      <x:c r="C138" s="451" t="str">
        <x:v>Universidade Estadual de Campinas</x:v>
      </x:c>
      <x:c r="D138" s="451" t="str">
        <x:v>Brasil</x:v>
      </x:c>
      <x:c r="E138" s="451" t="str">
        <x:v>Latinoamérica</x:v>
      </x:c>
      <x:c r="F138" s="451" t="str">
        <x:v>B</x:v>
      </x:c>
      <x:c r="G138" s="451" t="n">
        <x:v>13</x:v>
      </x:c>
      <x:c r="H138" s="451" t="n">
        <x:v>0</x:v>
      </x:c>
      <x:c r="I138" s="451" t="n">
        <x:v>1</x:v>
      </x:c>
      <x:c r="J138" s="451" t="n">
        <x:v>1</x:v>
      </x:c>
      <x:c r="K138" s="451" t="n">
        <x:v>1</x:v>
      </x:c>
      <x:c r="L138" s="451" t="n">
        <x:v>1</x:v>
      </x:c>
      <x:c r="M138" s="451" t="n">
        <x:v>1</x:v>
      </x:c>
      <x:c r="N138" s="451" t="n">
        <x:v>1</x:v>
      </x:c>
      <x:c r="O138" s="451" t="n">
        <x:v>1</x:v>
      </x:c>
      <x:c r="P138" s="451" t="n">
        <x:v>1</x:v>
      </x:c>
      <x:c r="Q138" s="451" t="n">
        <x:v>1</x:v>
      </x:c>
      <x:c r="R138" s="451" t="n">
        <x:v>0</x:v>
      </x:c>
      <x:c r="S138" s="451" t="n">
        <x:v>0</x:v>
      </x:c>
      <x:c r="T138" s="451" t="n">
        <x:v>0</x:v>
      </x:c>
      <x:c r="U138" s="451" t="n">
        <x:v>1</x:v>
      </x:c>
      <x:c r="V138" s="451" t="n">
        <x:v>1</x:v>
      </x:c>
      <x:c r="W138" s="451" t="n">
        <x:v>1</x:v>
      </x:c>
      <x:c r="X138" s="451" t="n">
        <x:v>1</x:v>
      </x:c>
    </x:row>
    <x:row r="139" ht="24" customHeight="1">
      <x:c r="A139" s="451" t="n">
        <x:v>135</x:v>
      </x:c>
      <x:c r="B139" s="451" t="str">
        <x:v>20 referentes regionales</x:v>
      </x:c>
      <x:c r="C139" s="451" t="str">
        <x:v>Universidad de Buenos Aires</x:v>
      </x:c>
      <x:c r="D139" s="451" t="str">
        <x:v>Argentina</x:v>
      </x:c>
      <x:c r="E139" s="451" t="str">
        <x:v>Latinoamérica</x:v>
      </x:c>
      <x:c r="F139" s="451" t="str">
        <x:v>A</x:v>
      </x:c>
      <x:c r="G139" s="451" t="n">
        <x:v>12</x:v>
      </x:c>
      <x:c r="H139" s="451" t="n">
        <x:v>0</x:v>
      </x:c>
      <x:c r="I139" s="451" t="n">
        <x:v>1</x:v>
      </x:c>
      <x:c r="J139" s="451" t="n">
        <x:v>1</x:v>
      </x:c>
      <x:c r="K139" s="451" t="n">
        <x:v>1</x:v>
      </x:c>
      <x:c r="L139" s="451" t="n">
        <x:v>1</x:v>
      </x:c>
      <x:c r="M139" s="451" t="n">
        <x:v>1</x:v>
      </x:c>
      <x:c r="N139" s="451" t="n">
        <x:v>1</x:v>
      </x:c>
      <x:c r="O139" s="451" t="n">
        <x:v>1</x:v>
      </x:c>
      <x:c r="P139" s="451" t="n">
        <x:v>1</x:v>
      </x:c>
      <x:c r="Q139" s="451" t="n">
        <x:v>1</x:v>
      </x:c>
      <x:c r="R139" s="451" t="n">
        <x:v>0</x:v>
      </x:c>
      <x:c r="S139" s="451" t="n">
        <x:v>0</x:v>
      </x:c>
      <x:c r="T139" s="451" t="n">
        <x:v>0</x:v>
      </x:c>
      <x:c r="U139" s="451" t="n">
        <x:v>1</x:v>
      </x:c>
      <x:c r="V139" s="451" t="n">
        <x:v>1</x:v>
      </x:c>
      <x:c r="W139" s="451" t="n">
        <x:v>0</x:v>
      </x:c>
      <x:c r="X139" s="451" t="n">
        <x:v>1</x:v>
      </x:c>
    </x:row>
    <x:row r="140" ht="24" customHeight="1">
      <x:c r="A140" s="451" t="n">
        <x:v>136</x:v>
      </x:c>
      <x:c r="B140" s="451" t="str">
        <x:v>20 referentes regionales</x:v>
      </x:c>
      <x:c r="C140" s="451" t="str">
        <x:v>Universidad de Chile</x:v>
      </x:c>
      <x:c r="D140" s="451" t="str">
        <x:v>Chile</x:v>
      </x:c>
      <x:c r="E140" s="451" t="str">
        <x:v>Latinoamérica</x:v>
      </x:c>
      <x:c r="F140" s="451" t="str">
        <x:v>B</x:v>
      </x:c>
      <x:c r="G140" s="451" t="n">
        <x:v>13</x:v>
      </x:c>
      <x:c r="H140" s="451" t="n">
        <x:v>0</x:v>
      </x:c>
      <x:c r="I140" s="451" t="n">
        <x:v>1</x:v>
      </x:c>
      <x:c r="J140" s="451" t="n">
        <x:v>1</x:v>
      </x:c>
      <x:c r="K140" s="451" t="n">
        <x:v>1</x:v>
      </x:c>
      <x:c r="L140" s="451" t="n">
        <x:v>1</x:v>
      </x:c>
      <x:c r="M140" s="451" t="n">
        <x:v>1</x:v>
      </x:c>
      <x:c r="N140" s="451" t="n">
        <x:v>1</x:v>
      </x:c>
      <x:c r="O140" s="451" t="n">
        <x:v>1</x:v>
      </x:c>
      <x:c r="P140" s="451" t="n">
        <x:v>1</x:v>
      </x:c>
      <x:c r="Q140" s="451" t="n">
        <x:v>1</x:v>
      </x:c>
      <x:c r="R140" s="451" t="n">
        <x:v>0</x:v>
      </x:c>
      <x:c r="S140" s="451" t="n">
        <x:v>0</x:v>
      </x:c>
      <x:c r="T140" s="451" t="n">
        <x:v>0</x:v>
      </x:c>
      <x:c r="U140" s="451" t="n">
        <x:v>1</x:v>
      </x:c>
      <x:c r="V140" s="451" t="n">
        <x:v>1</x:v>
      </x:c>
      <x:c r="W140" s="451" t="n">
        <x:v>1</x:v>
      </x:c>
      <x:c r="X140" s="451" t="n">
        <x:v>1</x:v>
      </x:c>
    </x:row>
    <x:row r="141" ht="24" customHeight="1">
      <x:c r="A141" s="451" t="n">
        <x:v>137</x:v>
      </x:c>
      <x:c r="B141" s="451" t="str">
        <x:v>20 referentes regionales</x:v>
      </x:c>
      <x:c r="C141" s="451" t="str">
        <x:v>Pontificia Universidad Católica de Chile</x:v>
      </x:c>
      <x:c r="D141" s="451" t="str">
        <x:v>Chile</x:v>
      </x:c>
      <x:c r="E141" s="451" t="str">
        <x:v>Latinoamérica</x:v>
      </x:c>
      <x:c r="F141" s="451" t="str">
        <x:v>B</x:v>
      </x:c>
      <x:c r="G141" s="451" t="n">
        <x:v>14</x:v>
      </x:c>
      <x:c r="H141" s="451" t="n">
        <x:v>0</x:v>
      </x:c>
      <x:c r="I141" s="451" t="n">
        <x:v>1</x:v>
      </x:c>
      <x:c r="J141" s="451" t="n">
        <x:v>1</x:v>
      </x:c>
      <x:c r="K141" s="451" t="n">
        <x:v>1</x:v>
      </x:c>
      <x:c r="L141" s="451" t="n">
        <x:v>1</x:v>
      </x:c>
      <x:c r="M141" s="451" t="n">
        <x:v>1</x:v>
      </x:c>
      <x:c r="N141" s="451" t="n">
        <x:v>1</x:v>
      </x:c>
      <x:c r="O141" s="451" t="n">
        <x:v>1</x:v>
      </x:c>
      <x:c r="P141" s="451" t="n">
        <x:v>1</x:v>
      </x:c>
      <x:c r="Q141" s="451" t="n">
        <x:v>1</x:v>
      </x:c>
      <x:c r="R141" s="451" t="n">
        <x:v>0</x:v>
      </x:c>
      <x:c r="S141" s="451" t="n">
        <x:v>1</x:v>
      </x:c>
      <x:c r="T141" s="451" t="n">
        <x:v>1</x:v>
      </x:c>
      <x:c r="U141" s="451" t="n">
        <x:v>1</x:v>
      </x:c>
      <x:c r="V141" s="451" t="n">
        <x:v>1</x:v>
      </x:c>
      <x:c r="W141" s="451" t="n">
        <x:v>0</x:v>
      </x:c>
      <x:c r="X141" s="451" t="n">
        <x:v>1</x:v>
      </x:c>
    </x:row>
    <x:row r="142" ht="24" customHeight="1">
      <x:c r="A142" s="451" t="n">
        <x:v>138</x:v>
      </x:c>
      <x:c r="B142" s="451" t="str">
        <x:v>20 referentes regionales</x:v>
      </x:c>
      <x:c r="C142" s="451" t="str">
        <x:v>Universidad de los Andes</x:v>
      </x:c>
      <x:c r="D142" s="451" t="str">
        <x:v>Colombia</x:v>
      </x:c>
      <x:c r="E142" s="451" t="str">
        <x:v>Latinoamérica</x:v>
      </x:c>
      <x:c r="F142" s="451" t="str">
        <x:v>B</x:v>
      </x:c>
      <x:c r="G142" s="451" t="n">
        <x:v>14</x:v>
      </x:c>
      <x:c r="H142" s="451" t="n">
        <x:v>0</x:v>
      </x:c>
      <x:c r="I142" s="451" t="n">
        <x:v>1</x:v>
      </x:c>
      <x:c r="J142" s="451" t="n">
        <x:v>1</x:v>
      </x:c>
      <x:c r="K142" s="451" t="n">
        <x:v>1</x:v>
      </x:c>
      <x:c r="L142" s="451" t="n">
        <x:v>1</x:v>
      </x:c>
      <x:c r="M142" s="451" t="n">
        <x:v>1</x:v>
      </x:c>
      <x:c r="N142" s="451" t="n">
        <x:v>1</x:v>
      </x:c>
      <x:c r="O142" s="451" t="n">
        <x:v>1</x:v>
      </x:c>
      <x:c r="P142" s="451" t="n">
        <x:v>1</x:v>
      </x:c>
      <x:c r="Q142" s="451" t="n">
        <x:v>1</x:v>
      </x:c>
      <x:c r="R142" s="451" t="n">
        <x:v>0</x:v>
      </x:c>
      <x:c r="S142" s="451" t="n">
        <x:v>1</x:v>
      </x:c>
      <x:c r="T142" s="451" t="n">
        <x:v>1</x:v>
      </x:c>
      <x:c r="U142" s="451" t="n">
        <x:v>1</x:v>
      </x:c>
      <x:c r="V142" s="451" t="n">
        <x:v>1</x:v>
      </x:c>
      <x:c r="W142" s="451" t="n">
        <x:v>0</x:v>
      </x:c>
      <x:c r="X142" s="451" t="n">
        <x:v>1</x:v>
      </x:c>
    </x:row>
    <x:row r="143" ht="24" customHeight="1">
      <x:c r="A143" s="451" t="n">
        <x:v>139</x:v>
      </x:c>
      <x:c r="B143" s="451" t="str">
        <x:v>20 referentes regionales</x:v>
      </x:c>
      <x:c r="C143" s="451" t="str">
        <x:v>Universidad Nacional de Colombia</x:v>
      </x:c>
      <x:c r="D143" s="451" t="str">
        <x:v>Colombia</x:v>
      </x:c>
      <x:c r="E143" s="451" t="str">
        <x:v>Latinoamérica</x:v>
      </x:c>
      <x:c r="F143" s="451" t="str">
        <x:v>B</x:v>
      </x:c>
      <x:c r="G143" s="451" t="n">
        <x:v>16</x:v>
      </x:c>
      <x:c r="H143" s="451" t="n">
        <x:v>1</x:v>
      </x:c>
      <x:c r="I143" s="451" t="n">
        <x:v>1</x:v>
      </x:c>
      <x:c r="J143" s="451" t="n">
        <x:v>1</x:v>
      </x:c>
      <x:c r="K143" s="451" t="n">
        <x:v>1</x:v>
      </x:c>
      <x:c r="L143" s="451" t="n">
        <x:v>1</x:v>
      </x:c>
      <x:c r="M143" s="451" t="n">
        <x:v>1</x:v>
      </x:c>
      <x:c r="N143" s="451" t="n">
        <x:v>1</x:v>
      </x:c>
      <x:c r="O143" s="451" t="n">
        <x:v>1</x:v>
      </x:c>
      <x:c r="P143" s="451" t="n">
        <x:v>1</x:v>
      </x:c>
      <x:c r="Q143" s="451" t="n">
        <x:v>1</x:v>
      </x:c>
      <x:c r="R143" s="451" t="n">
        <x:v>1</x:v>
      </x:c>
      <x:c r="S143" s="451" t="n">
        <x:v>1</x:v>
      </x:c>
      <x:c r="T143" s="451" t="n">
        <x:v>1</x:v>
      </x:c>
      <x:c r="U143" s="451" t="n">
        <x:v>1</x:v>
      </x:c>
      <x:c r="V143" s="451" t="n">
        <x:v>1</x:v>
      </x:c>
      <x:c r="W143" s="451" t="n">
        <x:v>0</x:v>
      </x:c>
      <x:c r="X143" s="451" t="n">
        <x:v>1</x:v>
      </x:c>
    </x:row>
    <x:row r="144" ht="24" customHeight="1">
      <x:c r="A144" s="451" t="n">
        <x:v>140</x:v>
      </x:c>
      <x:c r="B144" s="451" t="str">
        <x:v>20 referentes regionales</x:v>
      </x:c>
      <x:c r="C144" s="451" t="str">
        <x:v>Pontificia Universidad Católica del Perú</x:v>
      </x:c>
      <x:c r="D144" s="451" t="str">
        <x:v>Perú</x:v>
      </x:c>
      <x:c r="E144" s="451" t="str">
        <x:v>Latinoamérica</x:v>
      </x:c>
      <x:c r="F144" s="451" t="str">
        <x:v>A</x:v>
      </x:c>
      <x:c r="G144" s="451" t="n">
        <x:v>16</x:v>
      </x:c>
      <x:c r="H144" s="451" t="n">
        <x:v>1</x:v>
      </x:c>
      <x:c r="I144" s="451" t="n">
        <x:v>1</x:v>
      </x:c>
      <x:c r="J144" s="451" t="n">
        <x:v>1</x:v>
      </x:c>
      <x:c r="K144" s="451" t="n">
        <x:v>1</x:v>
      </x:c>
      <x:c r="L144" s="451" t="n">
        <x:v>1</x:v>
      </x:c>
      <x:c r="M144" s="451" t="n">
        <x:v>1</x:v>
      </x:c>
      <x:c r="N144" s="451" t="n">
        <x:v>1</x:v>
      </x:c>
      <x:c r="O144" s="451" t="n">
        <x:v>1</x:v>
      </x:c>
      <x:c r="P144" s="451" t="n">
        <x:v>1</x:v>
      </x:c>
      <x:c r="Q144" s="451" t="n">
        <x:v>1</x:v>
      </x:c>
      <x:c r="R144" s="451" t="n">
        <x:v>1</x:v>
      </x:c>
      <x:c r="S144" s="451" t="n">
        <x:v>1</x:v>
      </x:c>
      <x:c r="T144" s="451" t="n">
        <x:v>1</x:v>
      </x:c>
      <x:c r="U144" s="451" t="n">
        <x:v>1</x:v>
      </x:c>
      <x:c r="V144" s="451" t="n">
        <x:v>1</x:v>
      </x:c>
      <x:c r="W144" s="451" t="n">
        <x:v>0</x:v>
      </x:c>
      <x:c r="X144" s="451" t="n">
        <x:v>1</x:v>
      </x:c>
    </x:row>
    <x:row r="145" ht="24" customHeight="1">
      <x:c r="A145" s="451" t="n">
        <x:v>141</x:v>
      </x:c>
      <x:c r="B145" s="451" t="str">
        <x:v>20 referentes regionales</x:v>
      </x:c>
      <x:c r="C145" s="451" t="str">
        <x:v>Universidad Nacional de Ingeniería</x:v>
      </x:c>
      <x:c r="D145" s="451" t="str">
        <x:v>Perú</x:v>
      </x:c>
      <x:c r="E145" s="451" t="str">
        <x:v>Latinoamérica</x:v>
      </x:c>
      <x:c r="F145" s="451" t="str">
        <x:v>B</x:v>
      </x:c>
      <x:c r="G145" s="451" t="n">
        <x:v>13</x:v>
      </x:c>
      <x:c r="H145" s="451" t="n">
        <x:v>1</x:v>
      </x:c>
      <x:c r="I145" s="451" t="n">
        <x:v>1</x:v>
      </x:c>
      <x:c r="J145" s="451" t="n">
        <x:v>1</x:v>
      </x:c>
      <x:c r="K145" s="451" t="n">
        <x:v>1</x:v>
      </x:c>
      <x:c r="L145" s="451" t="n">
        <x:v>1</x:v>
      </x:c>
      <x:c r="M145" s="451" t="n">
        <x:v>1</x:v>
      </x:c>
      <x:c r="N145" s="451" t="n">
        <x:v>1</x:v>
      </x:c>
      <x:c r="O145" s="451" t="n">
        <x:v>1</x:v>
      </x:c>
      <x:c r="P145" s="451" t="n">
        <x:v>1</x:v>
      </x:c>
      <x:c r="Q145" s="451" t="n">
        <x:v>1</x:v>
      </x:c>
      <x:c r="R145" s="451" t="n">
        <x:v>1</x:v>
      </x:c>
      <x:c r="S145" s="451" t="n">
        <x:v>0</x:v>
      </x:c>
      <x:c r="T145" s="451" t="n">
        <x:v>0</x:v>
      </x:c>
      <x:c r="U145" s="451" t="n">
        <x:v>1</x:v>
      </x:c>
      <x:c r="V145" s="451" t="n">
        <x:v>0</x:v>
      </x:c>
      <x:c r="W145" s="451" t="n">
        <x:v>0</x:v>
      </x:c>
      <x:c r="X145" s="451" t="n">
        <x:v>1</x:v>
      </x:c>
    </x:row>
    <x:row r="146" ht="24" customHeight="1">
      <x:c r="A146" s="451" t="n">
        <x:v>142</x:v>
      </x:c>
      <x:c r="B146" s="451" t="str">
        <x:v>20 referentes regionales</x:v>
      </x:c>
      <x:c r="C146" s="451" t="str">
        <x:v>Universidad Nacional Mayor de San Marcos</x:v>
      </x:c>
      <x:c r="D146" s="451" t="str">
        <x:v>Perú</x:v>
      </x:c>
      <x:c r="E146" s="451" t="str">
        <x:v>Latinoamérica</x:v>
      </x:c>
      <x:c r="F146" s="451" t="str">
        <x:v>B</x:v>
      </x:c>
      <x:c r="G146" s="451" t="n">
        <x:v>14</x:v>
      </x:c>
      <x:c r="H146" s="451" t="n">
        <x:v>1</x:v>
      </x:c>
      <x:c r="I146" s="451" t="n">
        <x:v>1</x:v>
      </x:c>
      <x:c r="J146" s="451" t="n">
        <x:v>1</x:v>
      </x:c>
      <x:c r="K146" s="451" t="n">
        <x:v>1</x:v>
      </x:c>
      <x:c r="L146" s="451" t="n">
        <x:v>1</x:v>
      </x:c>
      <x:c r="M146" s="451" t="n">
        <x:v>1</x:v>
      </x:c>
      <x:c r="N146" s="451" t="n">
        <x:v>1</x:v>
      </x:c>
      <x:c r="O146" s="451" t="n">
        <x:v>1</x:v>
      </x:c>
      <x:c r="P146" s="451" t="n">
        <x:v>1</x:v>
      </x:c>
      <x:c r="Q146" s="451" t="n">
        <x:v>1</x:v>
      </x:c>
      <x:c r="R146" s="451" t="n">
        <x:v>1</x:v>
      </x:c>
      <x:c r="S146" s="451" t="n">
        <x:v>0</x:v>
      </x:c>
      <x:c r="T146" s="451" t="n">
        <x:v>0</x:v>
      </x:c>
      <x:c r="U146" s="451" t="n">
        <x:v>1</x:v>
      </x:c>
      <x:c r="V146" s="451" t="n">
        <x:v>1</x:v>
      </x:c>
      <x:c r="W146" s="451" t="n">
        <x:v>0</x:v>
      </x:c>
      <x:c r="X146" s="451" t="n">
        <x:v>1</x:v>
      </x:c>
    </x:row>
    <x:row r="147" ht="24" customHeight="1">
      <x:c r="A147" s="451" t="n">
        <x:v>143</x:v>
      </x:c>
      <x:c r="B147" s="451" t="str">
        <x:v>20 referentes regionales</x:v>
      </x:c>
      <x:c r="C147" s="451" t="str">
        <x:v>University of Cape Town</x:v>
      </x:c>
      <x:c r="D147" s="451" t="str">
        <x:v>Sudáfrica</x:v>
      </x:c>
      <x:c r="E147" s="451" t="str">
        <x:v>África</x:v>
      </x:c>
      <x:c r="F147" s="451" t="str">
        <x:v>B</x:v>
      </x:c>
      <x:c r="G147" s="451" t="n">
        <x:v>12</x:v>
      </x:c>
      <x:c r="H147" s="451" t="n">
        <x:v>0</x:v>
      </x:c>
      <x:c r="I147" s="451" t="n">
        <x:v>1</x:v>
      </x:c>
      <x:c r="J147" s="451" t="n">
        <x:v>1</x:v>
      </x:c>
      <x:c r="K147" s="451" t="n">
        <x:v>1</x:v>
      </x:c>
      <x:c r="L147" s="451" t="n">
        <x:v>1</x:v>
      </x:c>
      <x:c r="M147" s="451" t="n">
        <x:v>1</x:v>
      </x:c>
      <x:c r="N147" s="451" t="n">
        <x:v>1</x:v>
      </x:c>
      <x:c r="O147" s="451" t="n">
        <x:v>1</x:v>
      </x:c>
      <x:c r="P147" s="451" t="n">
        <x:v>1</x:v>
      </x:c>
      <x:c r="Q147" s="451" t="n">
        <x:v>1</x:v>
      </x:c>
      <x:c r="R147" s="451" t="n">
        <x:v>0</x:v>
      </x:c>
      <x:c r="S147" s="451" t="n">
        <x:v>0</x:v>
      </x:c>
      <x:c r="T147" s="451" t="n">
        <x:v>0</x:v>
      </x:c>
      <x:c r="U147" s="451" t="n">
        <x:v>1</x:v>
      </x:c>
      <x:c r="V147" s="451" t="n">
        <x:v>1</x:v>
      </x:c>
      <x:c r="W147" s="451" t="n">
        <x:v>0</x:v>
      </x:c>
      <x:c r="X147" s="451" t="n">
        <x:v>1</x:v>
      </x:c>
    </x:row>
    <x:row r="148" ht="24" customHeight="1">
      <x:c r="A148" s="451" t="n">
        <x:v>144</x:v>
      </x:c>
      <x:c r="B148" s="451" t="str">
        <x:v>20 referentes regionales</x:v>
      </x:c>
      <x:c r="C148" s="451" t="str">
        <x:v>University of Pretoria</x:v>
      </x:c>
      <x:c r="D148" s="451" t="str">
        <x:v>Sudáfrica</x:v>
      </x:c>
      <x:c r="E148" s="451" t="str">
        <x:v>África</x:v>
      </x:c>
      <x:c r="F148" s="451" t="str">
        <x:v>B</x:v>
      </x:c>
      <x:c r="G148" s="451" t="n">
        <x:v>11</x:v>
      </x:c>
      <x:c r="H148" s="451" t="n">
        <x:v>0</x:v>
      </x:c>
      <x:c r="I148" s="451" t="n">
        <x:v>1</x:v>
      </x:c>
      <x:c r="J148" s="451" t="n">
        <x:v>1</x:v>
      </x:c>
      <x:c r="K148" s="451" t="n">
        <x:v>1</x:v>
      </x:c>
      <x:c r="L148" s="451" t="n">
        <x:v>1</x:v>
      </x:c>
      <x:c r="M148" s="451" t="n">
        <x:v>1</x:v>
      </x:c>
      <x:c r="N148" s="451" t="n">
        <x:v>1</x:v>
      </x:c>
      <x:c r="O148" s="451" t="n">
        <x:v>1</x:v>
      </x:c>
      <x:c r="P148" s="451" t="n">
        <x:v>1</x:v>
      </x:c>
      <x:c r="Q148" s="451" t="n">
        <x:v>1</x:v>
      </x:c>
      <x:c r="R148" s="451" t="n">
        <x:v>0</x:v>
      </x:c>
      <x:c r="S148" s="451" t="n">
        <x:v>0</x:v>
      </x:c>
      <x:c r="T148" s="451" t="n">
        <x:v>0</x:v>
      </x:c>
      <x:c r="U148" s="451" t="n">
        <x:v>1</x:v>
      </x:c>
      <x:c r="V148" s="451" t="n">
        <x:v>0</x:v>
      </x:c>
      <x:c r="W148" s="451" t="n">
        <x:v>0</x:v>
      </x:c>
      <x:c r="X148" s="451" t="n">
        <x:v>1</x:v>
      </x:c>
    </x:row>
    <x:row r="149" ht="24" customHeight="1">
      <x:c r="A149" s="451" t="n">
        <x:v>145</x:v>
      </x:c>
      <x:c r="B149" s="451" t="str">
        <x:v>20 referentes regionales</x:v>
      </x:c>
      <x:c r="C149" s="451" t="str">
        <x:v>Stellenbosch University</x:v>
      </x:c>
      <x:c r="D149" s="451" t="str">
        <x:v>Sudáfrica</x:v>
      </x:c>
      <x:c r="E149" s="451" t="str">
        <x:v>África</x:v>
      </x:c>
      <x:c r="F149" s="451" t="str">
        <x:v>B</x:v>
      </x:c>
      <x:c r="G149" s="451" t="n">
        <x:v>12</x:v>
      </x:c>
      <x:c r="H149" s="451" t="n">
        <x:v>0</x:v>
      </x:c>
      <x:c r="I149" s="451" t="n">
        <x:v>1</x:v>
      </x:c>
      <x:c r="J149" s="451" t="n">
        <x:v>1</x:v>
      </x:c>
      <x:c r="K149" s="451" t="n">
        <x:v>1</x:v>
      </x:c>
      <x:c r="L149" s="451" t="n">
        <x:v>1</x:v>
      </x:c>
      <x:c r="M149" s="451" t="n">
        <x:v>1</x:v>
      </x:c>
      <x:c r="N149" s="451" t="n">
        <x:v>1</x:v>
      </x:c>
      <x:c r="O149" s="451" t="n">
        <x:v>1</x:v>
      </x:c>
      <x:c r="P149" s="451" t="n">
        <x:v>1</x:v>
      </x:c>
      <x:c r="Q149" s="451" t="n">
        <x:v>1</x:v>
      </x:c>
      <x:c r="R149" s="451" t="n">
        <x:v>0</x:v>
      </x:c>
      <x:c r="S149" s="451" t="n">
        <x:v>0</x:v>
      </x:c>
      <x:c r="T149" s="451" t="n">
        <x:v>0</x:v>
      </x:c>
      <x:c r="U149" s="451" t="n">
        <x:v>0</x:v>
      </x:c>
      <x:c r="V149" s="451" t="n">
        <x:v>1</x:v>
      </x:c>
      <x:c r="W149" s="451" t="n">
        <x:v>1</x:v>
      </x:c>
      <x:c r="X149" s="451" t="n">
        <x:v>1</x:v>
      </x:c>
    </x:row>
    <x:row r="150" ht="24" customHeight="1">
      <x:c r="A150" s="451" t="n">
        <x:v>146</x:v>
      </x:c>
      <x:c r="B150" s="451" t="str">
        <x:v>20 referentes regionales</x:v>
      </x:c>
      <x:c r="C150" s="451" t="str">
        <x:v>University of the Witwatersrand</x:v>
      </x:c>
      <x:c r="D150" s="451" t="str">
        <x:v>Sudáfrica</x:v>
      </x:c>
      <x:c r="E150" s="451" t="str">
        <x:v>África</x:v>
      </x:c>
      <x:c r="F150" s="451" t="str">
        <x:v>B</x:v>
      </x:c>
      <x:c r="G150" s="451" t="n">
        <x:v>13</x:v>
      </x:c>
      <x:c r="H150" s="451" t="n">
        <x:v>0</x:v>
      </x:c>
      <x:c r="I150" s="451" t="n">
        <x:v>1</x:v>
      </x:c>
      <x:c r="J150" s="451" t="n">
        <x:v>1</x:v>
      </x:c>
      <x:c r="K150" s="451" t="n">
        <x:v>1</x:v>
      </x:c>
      <x:c r="L150" s="451" t="n">
        <x:v>1</x:v>
      </x:c>
      <x:c r="M150" s="451" t="n">
        <x:v>1</x:v>
      </x:c>
      <x:c r="N150" s="451" t="n">
        <x:v>1</x:v>
      </x:c>
      <x:c r="O150" s="451" t="n">
        <x:v>1</x:v>
      </x:c>
      <x:c r="P150" s="451" t="n">
        <x:v>1</x:v>
      </x:c>
      <x:c r="Q150" s="451" t="n">
        <x:v>1</x:v>
      </x:c>
      <x:c r="R150" s="451" t="n">
        <x:v>0</x:v>
      </x:c>
      <x:c r="S150" s="451" t="n">
        <x:v>1</x:v>
      </x:c>
      <x:c r="T150" s="451" t="n">
        <x:v>1</x:v>
      </x:c>
      <x:c r="U150" s="451" t="n">
        <x:v>0</x:v>
      </x:c>
      <x:c r="V150" s="451" t="n">
        <x:v>1</x:v>
      </x:c>
      <x:c r="W150" s="451" t="n">
        <x:v>0</x:v>
      </x:c>
      <x:c r="X150" s="451" t="n">
        <x:v>1</x:v>
      </x:c>
    </x:row>
    <x:row r="151" ht="24" customHeight="1">
      <x:c r="A151" s="451" t="n">
        <x:v>147</x:v>
      </x:c>
      <x:c r="B151" s="451" t="str">
        <x:v>20 referentes regionales</x:v>
      </x:c>
      <x:c r="C151" s="451" t="str">
        <x:v>Technion – Israel Institute of Technology</x:v>
      </x:c>
      <x:c r="D151" s="451" t="str">
        <x:v>Israel</x:v>
      </x:c>
      <x:c r="E151" s="451" t="str">
        <x:v>Oriente Medio</x:v>
      </x:c>
      <x:c r="F151" s="451" t="str">
        <x:v>B</x:v>
      </x:c>
      <x:c r="G151" s="451" t="n">
        <x:v>12</x:v>
      </x:c>
      <x:c r="H151" s="451" t="n">
        <x:v>0</x:v>
      </x:c>
      <x:c r="I151" s="451" t="n">
        <x:v>1</x:v>
      </x:c>
      <x:c r="J151" s="451" t="n">
        <x:v>1</x:v>
      </x:c>
      <x:c r="K151" s="451" t="n">
        <x:v>1</x:v>
      </x:c>
      <x:c r="L151" s="451" t="n">
        <x:v>1</x:v>
      </x:c>
      <x:c r="M151" s="451" t="n">
        <x:v>1</x:v>
      </x:c>
      <x:c r="N151" s="451" t="n">
        <x:v>1</x:v>
      </x:c>
      <x:c r="O151" s="451" t="n">
        <x:v>1</x:v>
      </x:c>
      <x:c r="P151" s="451" t="n">
        <x:v>1</x:v>
      </x:c>
      <x:c r="Q151" s="451" t="n">
        <x:v>1</x:v>
      </x:c>
      <x:c r="R151" s="451" t="n">
        <x:v>0</x:v>
      </x:c>
      <x:c r="S151" s="451" t="n">
        <x:v>0</x:v>
      </x:c>
      <x:c r="T151" s="451" t="n">
        <x:v>0</x:v>
      </x:c>
      <x:c r="U151" s="451" t="n">
        <x:v>0</x:v>
      </x:c>
      <x:c r="V151" s="451" t="n">
        <x:v>1</x:v>
      </x:c>
      <x:c r="W151" s="451" t="n">
        <x:v>1</x:v>
      </x:c>
      <x:c r="X151" s="451" t="n">
        <x:v>1</x:v>
      </x:c>
    </x:row>
    <x:row r="152" ht="24" customHeight="1">
      <x:c r="A152" s="451" t="n">
        <x:v>148</x:v>
      </x:c>
      <x:c r="B152" s="451" t="str">
        <x:v>20 referentes regionales</x:v>
      </x:c>
      <x:c r="C152" s="451" t="str">
        <x:v>Tel Aviv University</x:v>
      </x:c>
      <x:c r="D152" s="451" t="str">
        <x:v>Israel</x:v>
      </x:c>
      <x:c r="E152" s="451" t="str">
        <x:v>Oriente Medio</x:v>
      </x:c>
      <x:c r="F152" s="451" t="str">
        <x:v>B</x:v>
      </x:c>
      <x:c r="G152" s="451" t="n">
        <x:v>12</x:v>
      </x:c>
      <x:c r="H152" s="451" t="n">
        <x:v>0</x:v>
      </x:c>
      <x:c r="I152" s="451" t="n">
        <x:v>1</x:v>
      </x:c>
      <x:c r="J152" s="451" t="n">
        <x:v>1</x:v>
      </x:c>
      <x:c r="K152" s="451" t="n">
        <x:v>1</x:v>
      </x:c>
      <x:c r="L152" s="451" t="n">
        <x:v>1</x:v>
      </x:c>
      <x:c r="M152" s="451" t="n">
        <x:v>1</x:v>
      </x:c>
      <x:c r="N152" s="451" t="n">
        <x:v>1</x:v>
      </x:c>
      <x:c r="O152" s="451" t="n">
        <x:v>1</x:v>
      </x:c>
      <x:c r="P152" s="451" t="n">
        <x:v>1</x:v>
      </x:c>
      <x:c r="Q152" s="451" t="n">
        <x:v>1</x:v>
      </x:c>
      <x:c r="R152" s="451" t="n">
        <x:v>0</x:v>
      </x:c>
      <x:c r="S152" s="451" t="n">
        <x:v>0</x:v>
      </x:c>
      <x:c r="T152" s="451" t="n">
        <x:v>0</x:v>
      </x:c>
      <x:c r="U152" s="451" t="n">
        <x:v>0</x:v>
      </x:c>
      <x:c r="V152" s="451" t="n">
        <x:v>1</x:v>
      </x:c>
      <x:c r="W152" s="451" t="n">
        <x:v>1</x:v>
      </x:c>
      <x:c r="X152" s="451" t="n">
        <x:v>1</x:v>
      </x:c>
    </x:row>
    <x:row r="153" ht="24" customHeight="1">
      <x:c r="A153" s="451" t="n">
        <x:v>149</x:v>
      </x:c>
      <x:c r="B153" s="451" t="str">
        <x:v>20 referentes regionales</x:v>
      </x:c>
      <x:c r="C153" s="451" t="str">
        <x:v>King Abdullah University of Science and Technology</x:v>
      </x:c>
      <x:c r="D153" s="451" t="str">
        <x:v>Arabia Saudita</x:v>
      </x:c>
      <x:c r="E153" s="451" t="str">
        <x:v>Oriente Medio</x:v>
      </x:c>
      <x:c r="F153" s="451" t="str">
        <x:v>B</x:v>
      </x:c>
      <x:c r="G153" s="451" t="n">
        <x:v>12</x:v>
      </x:c>
      <x:c r="H153" s="451" t="n">
        <x:v>0</x:v>
      </x:c>
      <x:c r="I153" s="451" t="n">
        <x:v>1</x:v>
      </x:c>
      <x:c r="J153" s="451" t="n">
        <x:v>1</x:v>
      </x:c>
      <x:c r="K153" s="451" t="n">
        <x:v>1</x:v>
      </x:c>
      <x:c r="L153" s="451" t="n">
        <x:v>1</x:v>
      </x:c>
      <x:c r="M153" s="451" t="n">
        <x:v>1</x:v>
      </x:c>
      <x:c r="N153" s="451" t="n">
        <x:v>1</x:v>
      </x:c>
      <x:c r="O153" s="451" t="n">
        <x:v>1</x:v>
      </x:c>
      <x:c r="P153" s="451" t="n">
        <x:v>1</x:v>
      </x:c>
      <x:c r="Q153" s="451" t="n">
        <x:v>1</x:v>
      </x:c>
      <x:c r="R153" s="451" t="n">
        <x:v>0</x:v>
      </x:c>
      <x:c r="S153" s="451" t="n">
        <x:v>0</x:v>
      </x:c>
      <x:c r="T153" s="451" t="n">
        <x:v>0</x:v>
      </x:c>
      <x:c r="U153" s="451" t="n">
        <x:v>0</x:v>
      </x:c>
      <x:c r="V153" s="451" t="n">
        <x:v>1</x:v>
      </x:c>
      <x:c r="W153" s="451" t="n">
        <x:v>1</x:v>
      </x:c>
      <x:c r="X153" s="451" t="n">
        <x:v>1</x:v>
      </x:c>
    </x:row>
    <x:row r="154" ht="24" customHeight="1">
      <x:c r="A154" s="452" t="n">
        <x:v>150</x:v>
      </x:c>
      <x:c r="B154" s="452" t="str">
        <x:v>20 referentes regionales</x:v>
      </x:c>
      <x:c r="C154" s="452" t="str">
        <x:v>King Fahd University of Petroleum and Minerals</x:v>
      </x:c>
      <x:c r="D154" s="452" t="str">
        <x:v>Arabia Saudita</x:v>
      </x:c>
      <x:c r="E154" s="452" t="str">
        <x:v>Oriente Medio</x:v>
      </x:c>
      <x:c r="F154" s="452" t="str">
        <x:v>B</x:v>
      </x:c>
      <x:c r="G154" s="452" t="n">
        <x:v>11</x:v>
      </x:c>
      <x:c r="H154" s="452" t="n">
        <x:v>0</x:v>
      </x:c>
      <x:c r="I154" s="452" t="n">
        <x:v>1</x:v>
      </x:c>
      <x:c r="J154" s="452" t="n">
        <x:v>1</x:v>
      </x:c>
      <x:c r="K154" s="452" t="n">
        <x:v>1</x:v>
      </x:c>
      <x:c r="L154" s="452" t="n">
        <x:v>1</x:v>
      </x:c>
      <x:c r="M154" s="452" t="n">
        <x:v>1</x:v>
      </x:c>
      <x:c r="N154" s="452" t="n">
        <x:v>1</x:v>
      </x:c>
      <x:c r="O154" s="452" t="n">
        <x:v>1</x:v>
      </x:c>
      <x:c r="P154" s="452" t="n">
        <x:v>1</x:v>
      </x:c>
      <x:c r="Q154" s="452" t="n">
        <x:v>1</x:v>
      </x:c>
      <x:c r="R154" s="452" t="n">
        <x:v>0</x:v>
      </x:c>
      <x:c r="S154" s="452" t="n">
        <x:v>0</x:v>
      </x:c>
      <x:c r="T154" s="452" t="n">
        <x:v>0</x:v>
      </x:c>
      <x:c r="U154" s="452" t="n">
        <x:v>1</x:v>
      </x:c>
      <x:c r="V154" s="452" t="n">
        <x:v>0</x:v>
      </x:c>
      <x:c r="W154" s="452" t="n">
        <x:v>0</x:v>
      </x:c>
      <x:c r="X154" s="452" t="n">
        <x:v>1</x:v>
      </x:c>
    </x:row>
  </x:sheetData>
  <x:mergeCells>
    <x:mergeCell ref="A1:X1"/>
    <x:mergeCell ref="A2:X2"/>
  </x:mergeCells>
  <x:conditionalFormatting sqref="H5:X154">
    <x:cfRule type="colorScale" priority="1">
      <x:colorScale>
        <x:cfvo type="min"/>
        <x:cfvo type="percentile" val="50"/>
        <x:cfvo type="max"/>
        <x:color rgb="FFF1F5F9"/>
        <x:color rgb="FFDFF7F2"/>
        <x:color rgb="FF14B8A6"/>
      </x:colorScale>
    </x:cfRule>
  </x:conditionalFormatting>
  <x:pageMargins left="0.7" right="0.7" top="0.75" bottom="0.75" header="0.3" footer="0.3"/>
  <x:tableParts count="1">
    <x:tablePart xmlns:r="http://schemas.openxmlformats.org/officeDocument/2006/relationships" r:id="Ra45ab7e04e3f444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25" hidden="0" customWidth="1"/>
    <x:col min="3" max="3" width="28" hidden="0" customWidth="1"/>
    <x:col min="4" max="4" width="66" hidden="0" customWidth="1"/>
    <x:col min="5" max="5" width="50" hidden="0" customWidth="1"/>
    <x:col min="6" max="6" width="14" hidden="0" customWidth="1"/>
    <x:col min="7" max="7" width="14" hidden="0" customWidth="1"/>
    <x:col min="8" max="8" width="18" hidden="0" customWidth="1"/>
  </x:cols>
  <x:sheetData>
    <x:row r="1" ht="34" customHeight="1">
      <x:c r="A1" s="4" t="str">
        <x:v>AUDITORÍA, EVIDENCIA Y SUFICIENCIA DEL PANEL</x:v>
      </x:c>
      <x:c r="B1" s="4" t="str">
        <x:v>AUDITORÍA, EVIDENCIA Y SUFICIENCIA DEL PANEL</x:v>
      </x:c>
      <x:c r="C1" s="4" t="str">
        <x:v>AUDITORÍA, EVIDENCIA Y SUFICIENCIA DEL PANEL</x:v>
      </x:c>
      <x:c r="D1" s="4" t="str">
        <x:v>AUDITORÍA, EVIDENCIA Y SUFICIENCIA DEL PANEL</x:v>
      </x:c>
      <x:c r="E1" s="4" t="str">
        <x:v>AUDITORÍA, EVIDENCIA Y SUFICIENCIA DEL PANEL</x:v>
      </x:c>
      <x:c r="F1" s="4" t="str">
        <x:v>AUDITORÍA, EVIDENCIA Y SUFICIENCIA DEL PANEL</x:v>
      </x:c>
      <x:c r="G1" s="4" t="str">
        <x:v>AUDITORÍA, EVIDENCIA Y SUFICIENCIA DEL PANEL</x:v>
      </x:c>
      <x:c r="H1" s="4" t="str">
        <x:v>AUDITORÍA, EVIDENCIA Y SUFICIENCIA DEL PANEL</x:v>
      </x:c>
    </x:row>
    <x:row r="2" ht="30" customHeight="1">
      <x:c r="A2" s="8" t="str">
        <x:v>Esta hoja permite comprobar exactamente qué se analizó, qué significa cada nivel y por qué 150 casos son suficientes para una síntesis global sin afirmar un censo imposible.</x:v>
      </x:c>
      <x:c r="B2" s="8" t="str">
        <x:v>Esta hoja permite comprobar exactamente qué se analizó, qué significa cada nivel y por qué 150 casos son suficientes para una síntesis global sin afirmar un censo imposible.</x:v>
      </x:c>
      <x:c r="C2" s="8" t="str">
        <x:v>Esta hoja permite comprobar exactamente qué se analizó, qué significa cada nivel y por qué 150 casos son suficientes para una síntesis global sin afirmar un censo imposible.</x:v>
      </x:c>
      <x:c r="D2" s="8" t="str">
        <x:v>Esta hoja permite comprobar exactamente qué se analizó, qué significa cada nivel y por qué 150 casos son suficientes para una síntesis global sin afirmar un censo imposible.</x:v>
      </x:c>
      <x:c r="E2" s="8" t="str">
        <x:v>Esta hoja permite comprobar exactamente qué se analizó, qué significa cada nivel y por qué 150 casos son suficientes para una síntesis global sin afirmar un censo imposible.</x:v>
      </x:c>
      <x:c r="F2" s="8" t="str">
        <x:v>Esta hoja permite comprobar exactamente qué se analizó, qué significa cada nivel y por qué 150 casos son suficientes para una síntesis global sin afirmar un censo imposible.</x:v>
      </x:c>
      <x:c r="G2" s="8" t="str">
        <x:v>Esta hoja permite comprobar exactamente qué se analizó, qué significa cada nivel y por qué 150 casos son suficientes para una síntesis global sin afirmar un censo imposible.</x:v>
      </x:c>
      <x:c r="H2" s="8" t="str">
        <x:v>Esta hoja permite comprobar exactamente qué se analizó, qué significa cada nivel y por qué 150 casos son suficientes para una síntesis global sin afirmar un censo imposible.</x:v>
      </x:c>
    </x:row>
    <x:row r="4">
      <x:c r="A4" s="377" t="str">
        <x:v>Nivel</x:v>
      </x:c>
      <x:c r="B4" s="377" t="str">
        <x:v>Evidencia pública</x:v>
      </x:c>
      <x:c r="C4" s="377" t="str">
        <x:v>Qué se comprobó</x:v>
      </x:c>
      <x:c r="D4" s="377" t="str">
        <x:v>Uso en la síntesis</x:v>
      </x:c>
    </x:row>
    <x:row r="5" ht="48" customHeight="1">
      <x:c r="A5" s="429" t="str">
        <x:v>A</x:v>
      </x:c>
      <x:c r="B5" s="429" t="str">
        <x:v>Malla o estructura detallada</x:v>
      </x:c>
      <x:c r="C5" s="429" t="str">
        <x:v>Cursos, créditos, estructura o requisitos curriculares visibles en la fuente oficial.</x:v>
      </x:c>
      <x:c r="D5" s="429" t="str">
        <x:v>Usada para extracción y contraste directo.</x:v>
      </x:c>
    </x:row>
    <x:row r="6" ht="48" customHeight="1">
      <x:c r="A6" s="430" t="str">
        <x:v>B</x:v>
      </x:c>
      <x:c r="B6" s="430" t="str">
        <x:v>Programa o catálogo oficial</x:v>
      </x:c>
      <x:c r="C6" s="430" t="str">
        <x:v>Oferta, requisitos o estructura del programa visible, pero sin todos los sílabos en una sola página.</x:v>
      </x:c>
      <x:c r="D6" s="430" t="str">
        <x:v>Usada para validar familias y cobertura; los nombres se normalizan.</x:v>
      </x:c>
    </x:row>
    <x:row r="7" ht="48" customHeight="1">
      <x:c r="A7" s="460" t="str">
        <x:v>C</x:v>
      </x:c>
      <x:c r="B7" s="460" t="str">
        <x:v>Página oficial parcial</x:v>
      </x:c>
      <x:c r="C7" s="460" t="str">
        <x:v>La institución confirma el programa, pero el detalle curricular público es incompleto o dinámico.</x:v>
      </x:c>
      <x:c r="D7" s="460" t="str">
        <x:v>Solo valida alcance; no sustenta por sí sola una materia.</x:v>
      </x:c>
    </x:row>
    <x:row r="8" ht="28" customHeight="1"/>
    <x:row r="9" ht="28" customHeight="1"/>
    <x:row r="10" ht="28" customHeight="1">
      <x:c r="A10" s="112" t="str">
        <x:v>ID</x:v>
      </x:c>
      <x:c r="B10" s="112" t="str">
        <x:v>Fuente de selección</x:v>
      </x:c>
      <x:c r="C10" s="112" t="str">
        <x:v>Edición</x:v>
      </x:c>
      <x:c r="D10" s="112" t="str">
        <x:v>URL</x:v>
      </x:c>
      <x:c r="E10" s="112" t="str">
        <x:v>Uso</x:v>
      </x:c>
    </x:row>
    <x:row r="11" ht="48" customHeight="1">
      <x:c r="A11" s="469" t="str">
        <x:v>RANK-01</x:v>
      </x:c>
      <x:c r="B11" s="469" t="str">
        <x:v>QS</x:v>
      </x:c>
      <x:c r="C11" s="469" t="str">
        <x:v>Computer Science &amp; Information Systems 2026</x:v>
      </x:c>
      <x:c r="D11" s="469" t="str">
        <x:v>https://www.topuniversities.com/university-subject-rankings/computer-science-information-systems</x:v>
      </x:c>
      <x:c r="E11" s="469" t="str">
        <x:v>Contraste de líderes globales; no se copió un ranking propietario completo.</x:v>
      </x:c>
    </x:row>
    <x:row r="12" ht="48" customHeight="1">
      <x:c r="A12" s="470" t="str">
        <x:v>RANK-02</x:v>
      </x:c>
      <x:c r="B12" s="470" t="str">
        <x:v>Times Higher Education</x:v>
      </x:c>
      <x:c r="C12" s="470" t="str">
        <x:v>Computer Science 2026</x:v>
      </x:c>
      <x:c r="D12" s="470" t="str">
        <x:v>https://www.timeshighereducation.com/world-university-rankings/2026/subject-ranking/computer-science</x:v>
      </x:c>
      <x:c r="E12" s="470" t="str">
        <x:v>Cobertura de 1,165 universidades en 84 países/territorios; base de amplitud global.</x:v>
      </x:c>
    </x:row>
    <x:row r="13" ht="48" customHeight="1">
      <x:c r="A13" s="470" t="str">
        <x:v>RANK-03</x:v>
      </x:c>
      <x:c r="B13" s="470" t="str">
        <x:v>ShanghaiRanking</x:v>
      </x:c>
      <x:c r="C13" s="470" t="str">
        <x:v>Global Ranking of Academic Subjects 2025</x:v>
      </x:c>
      <x:c r="D13" s="470" t="str">
        <x:v>https://www.shanghairanking.com/rankings/gras/2025</x:v>
      </x:c>
      <x:c r="E13" s="470" t="str">
        <x:v>Contraste en CS, IA, robótica, telecom, eléctrica, control y áreas relacionadas.</x:v>
      </x:c>
    </x:row>
    <x:row r="14" ht="48" customHeight="1">
      <x:c r="A14" s="471" t="str">
        <x:v>RANK-04</x:v>
      </x:c>
      <x:c r="B14" s="471" t="str">
        <x:v>CSRankings</x:v>
      </x:c>
      <x:c r="C14" s="471" t="str">
        <x:v>Computer Science Rankings</x:v>
      </x:c>
      <x:c r="D14" s="471" t="str">
        <x:v>https://csrankings.org/</x:v>
      </x:c>
      <x:c r="E14" s="471" t="str">
        <x:v>Contraste de investigación por publicaciones selectivas y subáreas.</x:v>
      </x:c>
    </x:row>
    <x:row r="15" ht="28" customHeight="1"/>
    <x:row r="16" ht="28" customHeight="1"/>
    <x:row r="17" ht="28" customHeight="1">
      <x:c r="A17" s="377" t="str">
        <x:v>Segmento</x:v>
      </x:c>
      <x:c r="B17" s="377" t="str">
        <x:v>Instituciones</x:v>
      </x:c>
      <x:c r="C17" s="377" t="str">
        <x:v>Nivel A</x:v>
      </x:c>
      <x:c r="D17" s="377" t="str">
        <x:v>Nivel B</x:v>
      </x:c>
      <x:c r="E17" s="377" t="str">
        <x:v>Nivel C</x:v>
      </x:c>
      <x:c r="F17" s="377" t="str">
        <x:v>Países</x:v>
      </x:c>
      <x:c r="G17" s="377" t="str">
        <x:v>Regiones</x:v>
      </x:c>
      <x:c r="H17" s="377" t="str">
        <x:v>Rutas cubiertas</x:v>
      </x:c>
    </x:row>
    <x:row r="18" ht="28" customHeight="1">
      <x:c r="A18" s="473" t="str">
        <x:v>100 líderes globales</x:v>
      </x:c>
      <x:c r="B18" s="473" t="n">
        <x:v>100</x:v>
      </x:c>
      <x:c r="C18" s="473" t="n">
        <x:v>15</x:v>
      </x:c>
      <x:c r="D18" s="473" t="n">
        <x:v>85</x:v>
      </x:c>
      <x:c r="E18" s="473" t="n">
        <x:v>0</x:v>
      </x:c>
      <x:c r="F18" s="473" t="n">
        <x:v>21</x:v>
      </x:c>
      <x:c r="G18" s="473" t="n">
        <x:v>4</x:v>
      </x:c>
      <x:c r="H18" s="473" t="n">
        <x:v>17</x:v>
      </x:c>
    </x:row>
    <x:row r="19" ht="28" customHeight="1">
      <x:c r="A19" s="474" t="str">
        <x:v>30 especialistas</x:v>
      </x:c>
      <x:c r="B19" s="474" t="n">
        <x:v>30</x:v>
      </x:c>
      <x:c r="C19" s="474" t="n">
        <x:v>3</x:v>
      </x:c>
      <x:c r="D19" s="474" t="n">
        <x:v>27</x:v>
      </x:c>
      <x:c r="E19" s="474" t="n">
        <x:v>0</x:v>
      </x:c>
      <x:c r="F19" s="474" t="n">
        <x:v>10</x:v>
      </x:c>
      <x:c r="G19" s="474" t="n">
        <x:v>2</x:v>
      </x:c>
      <x:c r="H19" s="474" t="n">
        <x:v>17</x:v>
      </x:c>
    </x:row>
    <x:row r="20" ht="28" customHeight="1">
      <x:c r="A20" s="475" t="str">
        <x:v>20 referentes regionales</x:v>
      </x:c>
      <x:c r="B20" s="475" t="n">
        <x:v>20</x:v>
      </x:c>
      <x:c r="C20" s="475" t="n">
        <x:v>2</x:v>
      </x:c>
      <x:c r="D20" s="475" t="n">
        <x:v>18</x:v>
      </x:c>
      <x:c r="E20" s="475" t="n">
        <x:v>0</x:v>
      </x:c>
      <x:c r="F20" s="475" t="n">
        <x:v>9</x:v>
      </x:c>
      <x:c r="G20" s="475" t="n">
        <x:v>3</x:v>
      </x:c>
      <x:c r="H20" s="475" t="n">
        <x:v>17</x:v>
      </x:c>
    </x:row>
    <x:row r="21" ht="28" customHeight="1"/>
    <x:row r="22" ht="28" customHeight="1"/>
    <x:row r="23" ht="28" customHeight="1">
      <x:c r="A23" s="112" t="str">
        <x:v>Región</x:v>
      </x:c>
      <x:c r="B23" s="112" t="str">
        <x:v>Instituciones</x:v>
      </x:c>
      <x:c r="C23" s="112" t="str">
        <x:v>Países</x:v>
      </x:c>
      <x:c r="D23" s="112" t="str">
        <x:v>Nivel A</x:v>
      </x:c>
      <x:c r="E23" s="112" t="str">
        <x:v>Rutas cubiertas</x:v>
      </x:c>
    </x:row>
    <x:row r="24" ht="28" customHeight="1">
      <x:c r="A24" s="454" t="str">
        <x:v>Norteamérica</x:v>
      </x:c>
      <x:c r="B24" s="454" t="n">
        <x:v>50</x:v>
      </x:c>
      <x:c r="C24" s="454" t="n">
        <x:v>2</x:v>
      </x:c>
      <x:c r="D24" s="454" t="n">
        <x:v>7</x:v>
      </x:c>
      <x:c r="E24" s="454" t="n">
        <x:v>17</x:v>
      </x:c>
    </x:row>
    <x:row r="25" ht="28" customHeight="1">
      <x:c r="A25" s="421" t="str">
        <x:v>Europa</x:v>
      </x:c>
      <x:c r="B25" s="421" t="n">
        <x:v>55</x:v>
      </x:c>
      <x:c r="C25" s="421" t="n">
        <x:v>14</x:v>
      </x:c>
      <x:c r="D25" s="421" t="n">
        <x:v>7</x:v>
      </x:c>
      <x:c r="E25" s="421" t="n">
        <x:v>17</x:v>
      </x:c>
    </x:row>
    <x:row r="26" ht="28" customHeight="1">
      <x:c r="A26" s="455" t="str">
        <x:v>Asia</x:v>
      </x:c>
      <x:c r="B26" s="455" t="n">
        <x:v>23</x:v>
      </x:c>
      <x:c r="C26" s="455" t="n">
        <x:v>6</x:v>
      </x:c>
      <x:c r="D26" s="455" t="n">
        <x:v>4</x:v>
      </x:c>
      <x:c r="E26" s="455" t="n">
        <x:v>15</x:v>
      </x:c>
    </x:row>
    <x:row r="27" ht="28" customHeight="1">
      <x:c r="A27" s="421" t="str">
        <x:v>Oceanía</x:v>
      </x:c>
      <x:c r="B27" s="421" t="n">
        <x:v>2</x:v>
      </x:c>
      <x:c r="C27" s="421" t="n">
        <x:v>1</x:v>
      </x:c>
      <x:c r="D27" s="421" t="n">
        <x:v>0</x:v>
      </x:c>
      <x:c r="E27" s="421" t="n">
        <x:v>14</x:v>
      </x:c>
    </x:row>
    <x:row r="28" ht="28" customHeight="1">
      <x:c r="A28" s="455" t="str">
        <x:v>Latinoamérica</x:v>
      </x:c>
      <x:c r="B28" s="455" t="n">
        <x:v>12</x:v>
      </x:c>
      <x:c r="C28" s="455" t="n">
        <x:v>6</x:v>
      </x:c>
      <x:c r="D28" s="455" t="n">
        <x:v>2</x:v>
      </x:c>
      <x:c r="E28" s="455" t="n">
        <x:v>17</x:v>
      </x:c>
    </x:row>
    <x:row r="29" ht="28" customHeight="1">
      <x:c r="A29" s="421" t="str">
        <x:v>África</x:v>
      </x:c>
      <x:c r="B29" s="421" t="n">
        <x:v>4</x:v>
      </x:c>
      <x:c r="C29" s="421" t="n">
        <x:v>1</x:v>
      </x:c>
      <x:c r="D29" s="421" t="n">
        <x:v>0</x:v>
      </x:c>
      <x:c r="E29" s="421" t="n">
        <x:v>15</x:v>
      </x:c>
    </x:row>
    <x:row r="30" ht="28" customHeight="1">
      <x:c r="A30" s="456" t="str">
        <x:v>Oriente Medio</x:v>
      </x:c>
      <x:c r="B30" s="456" t="n">
        <x:v>4</x:v>
      </x:c>
      <x:c r="C30" s="456" t="n">
        <x:v>2</x:v>
      </x:c>
      <x:c r="D30" s="456" t="n">
        <x:v>0</x:v>
      </x:c>
      <x:c r="E30" s="456" t="n">
        <x:v>13</x:v>
      </x:c>
    </x:row>
    <x:row r="31" ht="28" customHeight="1"/>
    <x:row r="32" ht="28" customHeight="1"/>
    <x:row r="33" ht="28" customHeight="1">
      <x:c r="A33" s="377" t="str">
        <x:v>Lote incorporado</x:v>
      </x:c>
      <x:c r="B33" s="377" t="str">
        <x:v>Nuevas instituciones</x:v>
      </x:c>
      <x:c r="C33" s="377" t="str">
        <x:v>Acumulado</x:v>
      </x:c>
      <x:c r="D33" s="377" t="str">
        <x:v>Países acum.</x:v>
      </x:c>
      <x:c r="E33" s="377" t="str">
        <x:v>Regiones acum.</x:v>
      </x:c>
      <x:c r="F33" s="377" t="str">
        <x:v>Rutas acum.</x:v>
      </x:c>
      <x:c r="G33" s="377" t="str">
        <x:v>Nivel A acum.</x:v>
      </x:c>
      <x:c r="H33" s="377" t="str">
        <x:v>Nivel B acum.</x:v>
      </x:c>
    </x:row>
    <x:row r="34" ht="28" customHeight="1">
      <x:c r="A34" s="463" t="str">
        <x:v>1–25</x:v>
      </x:c>
      <x:c r="B34" s="463" t="n">
        <x:v>25</x:v>
      </x:c>
      <x:c r="C34" s="463" t="n">
        <x:v>25</x:v>
      </x:c>
      <x:c r="D34" s="463" t="n">
        <x:v>1</x:v>
      </x:c>
      <x:c r="E34" s="463" t="n">
        <x:v>1</x:v>
      </x:c>
      <x:c r="F34" s="463" t="n">
        <x:v>17</x:v>
      </x:c>
      <x:c r="G34" s="463" t="n">
        <x:v>5</x:v>
      </x:c>
      <x:c r="H34" s="463" t="n">
        <x:v>20</x:v>
      </x:c>
    </x:row>
    <x:row r="35" ht="28" customHeight="1">
      <x:c r="A35" s="464" t="str">
        <x:v>26–50</x:v>
      </x:c>
      <x:c r="B35" s="464" t="n">
        <x:v>25</x:v>
      </x:c>
      <x:c r="C35" s="464" t="n">
        <x:v>50</x:v>
      </x:c>
      <x:c r="D35" s="464" t="n">
        <x:v>3</x:v>
      </x:c>
      <x:c r="E35" s="464" t="n">
        <x:v>2</x:v>
      </x:c>
      <x:c r="F35" s="464" t="n">
        <x:v>17</x:v>
      </x:c>
      <x:c r="G35" s="464" t="n">
        <x:v>8</x:v>
      </x:c>
      <x:c r="H35" s="464" t="n">
        <x:v>42</x:v>
      </x:c>
    </x:row>
    <x:row r="36" ht="28" customHeight="1">
      <x:c r="A36" s="464" t="str">
        <x:v>51–75</x:v>
      </x:c>
      <x:c r="B36" s="464" t="n">
        <x:v>25</x:v>
      </x:c>
      <x:c r="C36" s="464" t="n">
        <x:v>75</x:v>
      </x:c>
      <x:c r="D36" s="464" t="n">
        <x:v>14</x:v>
      </x:c>
      <x:c r="E36" s="464" t="n">
        <x:v>2</x:v>
      </x:c>
      <x:c r="F36" s="464" t="n">
        <x:v>17</x:v>
      </x:c>
      <x:c r="G36" s="464" t="n">
        <x:v>11</x:v>
      </x:c>
      <x:c r="H36" s="464" t="n">
        <x:v>64</x:v>
      </x:c>
    </x:row>
    <x:row r="37" ht="28" customHeight="1">
      <x:c r="A37" s="464" t="str">
        <x:v>76–100</x:v>
      </x:c>
      <x:c r="B37" s="464" t="n">
        <x:v>25</x:v>
      </x:c>
      <x:c r="C37" s="464" t="n">
        <x:v>100</x:v>
      </x:c>
      <x:c r="D37" s="464" t="n">
        <x:v>21</x:v>
      </x:c>
      <x:c r="E37" s="464" t="n">
        <x:v>4</x:v>
      </x:c>
      <x:c r="F37" s="464" t="n">
        <x:v>17</x:v>
      </x:c>
      <x:c r="G37" s="464" t="n">
        <x:v>15</x:v>
      </x:c>
      <x:c r="H37" s="464" t="n">
        <x:v>85</x:v>
      </x:c>
    </x:row>
    <x:row r="38" ht="28" customHeight="1">
      <x:c r="A38" s="464" t="str">
        <x:v>101–130</x:v>
      </x:c>
      <x:c r="B38" s="464" t="n">
        <x:v>30</x:v>
      </x:c>
      <x:c r="C38" s="464" t="n">
        <x:v>130</x:v>
      </x:c>
      <x:c r="D38" s="464" t="n">
        <x:v>23</x:v>
      </x:c>
      <x:c r="E38" s="464" t="n">
        <x:v>4</x:v>
      </x:c>
      <x:c r="F38" s="464" t="n">
        <x:v>17</x:v>
      </x:c>
      <x:c r="G38" s="464" t="n">
        <x:v>18</x:v>
      </x:c>
      <x:c r="H38" s="464" t="n">
        <x:v>112</x:v>
      </x:c>
    </x:row>
    <x:row r="39" ht="28" customHeight="1">
      <x:c r="A39" s="465" t="str">
        <x:v>131–150</x:v>
      </x:c>
      <x:c r="B39" s="465" t="n">
        <x:v>20</x:v>
      </x:c>
      <x:c r="C39" s="465" t="n">
        <x:v>150</x:v>
      </x:c>
      <x:c r="D39" s="465" t="n">
        <x:v>32</x:v>
      </x:c>
      <x:c r="E39" s="465" t="n">
        <x:v>7</x:v>
      </x:c>
      <x:c r="F39" s="465" t="n">
        <x:v>17</x:v>
      </x:c>
      <x:c r="G39" s="465" t="n">
        <x:v>20</x:v>
      </x:c>
      <x:c r="H39" s="465" t="n">
        <x:v>130</x:v>
      </x:c>
    </x:row>
    <x:row r="40" ht="28" customHeight="1"/>
    <x:row r="41" ht="28" customHeight="1"/>
    <x:row r="42" ht="28" customHeight="1">
      <x:c r="A42" s="53" t="str">
        <x:v>Criterio de suficiencia</x:v>
      </x:c>
      <x:c r="B42" s="53" t="str">
        <x:v>Criterio de suficiencia</x:v>
      </x:c>
      <x:c r="C42" s="53" t="str">
        <x:v>Criterio de suficiencia</x:v>
      </x:c>
      <x:c r="D42" s="53" t="str">
        <x:v>Criterio de suficiencia</x:v>
      </x:c>
      <x:c r="E42" s="53" t="str">
        <x:v>Criterio de suficiencia</x:v>
      </x:c>
      <x:c r="F42" s="53" t="str">
        <x:v>Criterio de suficiencia</x:v>
      </x:c>
      <x:c r="G42" s="53" t="str">
        <x:v>Criterio de suficiencia</x:v>
      </x:c>
      <x:c r="H42" s="53" t="str">
        <x:v>Criterio de suficiencia</x:v>
      </x:c>
    </x:row>
    <x:row r="43" ht="28" customHeight="1">
      <x:c r="A43" s="494"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B43" s="495"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C43" s="495"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D43" s="495"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E43" s="495"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F43" s="495"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G43" s="495"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H43" s="496"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row>
    <x:row r="44" ht="28" customHeight="1">
      <x:c r="A44" s="497"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B44"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C44"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D44"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E44"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F44"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G44"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H44" s="499"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row>
    <x:row r="45" ht="28" customHeight="1">
      <x:c r="A45" s="497"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B45"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C45"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D45"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E45"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F45"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G45"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H45" s="499"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row>
    <x:row r="46" ht="28" customHeight="1">
      <x:c r="A46" s="497"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B46"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C46"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D46"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E46"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F46"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G46"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H46" s="499"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row>
    <x:row r="47" ht="28" customHeight="1">
      <x:c r="A47" s="497"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B47"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C47"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D47"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E47"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F47"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G47" s="498"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H47" s="499"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row>
    <x:row r="48" ht="28" customHeight="1">
      <x:c r="A48" s="500"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B48" s="501"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C48" s="501"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D48" s="501"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E48" s="501"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F48" s="501"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G48" s="501"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c r="H48" s="502" t="str">
        <x:v>El panel quedó cerrado al alcanzar 150 instituciones, 32 países/territorios, 7 regiones y 17/17 rutas. La expansión de 100 a 150 se reservó para especialidades y regiones que los rankings generales subrepresentan. La tabla de lotes mide saturación de cobertura temática, no “nuevas materias” inventadas. Nivel A sustenta extracción directa; Nivel B valida familias y estructura. Una página de programa nunca se presenta como si fuera un sílabo completo.</x:v>
      </x:c>
    </x:row>
  </x:sheetData>
  <x:mergeCells>
    <x:mergeCell ref="A1:H1"/>
    <x:mergeCell ref="A2:H2"/>
    <x:mergeCell ref="A42:H42"/>
    <x:mergeCell ref="A43:H48"/>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34" hidden="0" customWidth="1"/>
    <x:col min="4" max="4" width="24" hidden="0" customWidth="1"/>
    <x:col min="5" max="5" width="10" hidden="0" customWidth="1"/>
    <x:col min="6" max="6" width="17" hidden="0" customWidth="1"/>
    <x:col min="7" max="7" width="16" hidden="0" customWidth="1"/>
    <x:col min="8" max="8" width="72" hidden="0" customWidth="1"/>
    <x:col min="9" max="9" width="58" hidden="0" customWidth="1"/>
  </x:cols>
  <x:sheetData>
    <x:row r="1" ht="34" customHeight="1">
      <x:c r="A1" s="4" t="str">
        <x:v>TRAZABILIDAD TEMÁTICA DE LAS 533 MATERIAS</x:v>
      </x:c>
      <x:c r="B1" s="4" t="str">
        <x:v>TRAZABILIDAD TEMÁTICA DE LAS 533 MATERIAS</x:v>
      </x:c>
      <x:c r="C1" s="4" t="str">
        <x:v>TRAZABILIDAD TEMÁTICA DE LAS 533 MATERIAS</x:v>
      </x:c>
      <x:c r="D1" s="4" t="str">
        <x:v>TRAZABILIDAD TEMÁTICA DE LAS 533 MATERIAS</x:v>
      </x:c>
      <x:c r="E1" s="4" t="str">
        <x:v>TRAZABILIDAD TEMÁTICA DE LAS 533 MATERIAS</x:v>
      </x:c>
      <x:c r="F1" s="4" t="str">
        <x:v>TRAZABILIDAD TEMÁTICA DE LAS 533 MATERIAS</x:v>
      </x:c>
      <x:c r="G1" s="4" t="str">
        <x:v>TRAZABILIDAD TEMÁTICA DE LAS 533 MATERIAS</x:v>
      </x:c>
      <x:c r="H1" s="4" t="str">
        <x:v>TRAZABILIDAD TEMÁTICA DE LAS 533 MATERIAS</x:v>
      </x:c>
      <x:c r="I1" s="4" t="str">
        <x:v>TRAZABILIDAD TEMÁTICA DE LAS 533 MATERIAS</x:v>
      </x:c>
    </x:row>
    <x:row r="2" ht="30" customHeight="1">
      <x:c r="A2" s="8" t="str">
        <x:v>Relaciona cada materia normalizada con la cobertura institucional de su ruta. Es apoyo temático, no coincidencia literal de título en todas las universidades.</x:v>
      </x:c>
      <x:c r="B2" s="8" t="str">
        <x:v>Relaciona cada materia normalizada con la cobertura institucional de su ruta. Es apoyo temático, no coincidencia literal de título en todas las universidades.</x:v>
      </x:c>
      <x:c r="C2" s="8" t="str">
        <x:v>Relaciona cada materia normalizada con la cobertura institucional de su ruta. Es apoyo temático, no coincidencia literal de título en todas las universidades.</x:v>
      </x:c>
      <x:c r="D2" s="8" t="str">
        <x:v>Relaciona cada materia normalizada con la cobertura institucional de su ruta. Es apoyo temático, no coincidencia literal de título en todas las universidades.</x:v>
      </x:c>
      <x:c r="E2" s="8" t="str">
        <x:v>Relaciona cada materia normalizada con la cobertura institucional de su ruta. Es apoyo temático, no coincidencia literal de título en todas las universidades.</x:v>
      </x:c>
      <x:c r="F2" s="8" t="str">
        <x:v>Relaciona cada materia normalizada con la cobertura institucional de su ruta. Es apoyo temático, no coincidencia literal de título en todas las universidades.</x:v>
      </x:c>
      <x:c r="G2" s="8" t="str">
        <x:v>Relaciona cada materia normalizada con la cobertura institucional de su ruta. Es apoyo temático, no coincidencia literal de título en todas las universidades.</x:v>
      </x:c>
      <x:c r="H2" s="8" t="str">
        <x:v>Relaciona cada materia normalizada con la cobertura institucional de su ruta. Es apoyo temático, no coincidencia literal de título en todas las universidades.</x:v>
      </x:c>
      <x:c r="I2" s="8" t="str">
        <x:v>Relaciona cada materia normalizada con la cobertura institucional de su ruta. Es apoyo temático, no coincidencia literal de título en todas las universidades.</x:v>
      </x:c>
    </x:row>
    <x:row r="4">
      <x:c r="A4" s="377" t="str">
        <x:v>ID</x:v>
      </x:c>
      <x:c r="B4" s="377" t="str">
        <x:v>Materia normalizada</x:v>
      </x:c>
      <x:c r="C4" s="377" t="str">
        <x:v>Ruta</x:v>
      </x:c>
      <x:c r="D4" s="377" t="str">
        <x:v>Fase</x:v>
      </x:c>
      <x:c r="E4" s="377" t="str">
        <x:v>Prioridad</x:v>
      </x:c>
      <x:c r="F4" s="377" t="str">
        <x:v>Instituciones que cubren la ruta</x:v>
      </x:c>
      <x:c r="G4" s="377" t="str">
        <x:v>Nivel A en la ruta</x:v>
      </x:c>
      <x:c r="H4" s="377" t="str">
        <x:v>Anclas visibles</x:v>
      </x:c>
      <x:c r="I4" s="377" t="str">
        <x:v>Interpretación</x:v>
      </x:c>
    </x:row>
    <x:row r="5" ht="42" customHeight="1">
      <x:c r="A5" s="444" t="str">
        <x:v>PRE-001</x:v>
      </x:c>
      <x:c r="B5" s="444" t="str">
        <x:v>Aprender a aprender y gestión del conocimiento</x:v>
      </x:c>
      <x:c r="C5" s="444" t="str">
        <x:v>Preparación y ofimática</x:v>
      </x:c>
      <x:c r="D5" s="444" t="str">
        <x:v>Preparación</x:v>
      </x:c>
      <x:c r="E5" s="444" t="n">
        <x:v>1</x:v>
      </x:c>
      <x:c r="F5" s="444" t="n">
        <x:v>9</x:v>
      </x:c>
      <x:c r="G5" s="444" t="n">
        <x:v>3</x:v>
      </x:c>
      <x:c r="H5" s="444" t="str">
        <x:v>Purdue University; Rochester Institute of Technology; Northumbria University; Universidad Nacional Autónoma de México; Tecnológico de Monterrey; Universidad Nacional de Colombia</x:v>
      </x:c>
      <x:c r="I5" s="444" t="str">
        <x:v>Cobertura de la familia temática; consultar la fuente oficial antes de atribuir una asignatura literal.</x:v>
      </x:c>
    </x:row>
    <x:row r="6" ht="42" customHeight="1">
      <x:c r="A6" s="442" t="str">
        <x:v>PRE-002</x:v>
      </x:c>
      <x:c r="B6" s="442" t="str">
        <x:v>Pensamiento lógico y resolución de problemas</x:v>
      </x:c>
      <x:c r="C6" s="442" t="str">
        <x:v>Preparación y ofimática</x:v>
      </x:c>
      <x:c r="D6" s="442" t="str">
        <x:v>Preparación</x:v>
      </x:c>
      <x:c r="E6" s="442" t="n">
        <x:v>1</x:v>
      </x:c>
      <x:c r="F6" s="442" t="n">
        <x:v>9</x:v>
      </x:c>
      <x:c r="G6" s="442" t="n">
        <x:v>3</x:v>
      </x:c>
      <x:c r="H6" s="442" t="str">
        <x:v>Purdue University; Rochester Institute of Technology; Northumbria University; Universidad Nacional Autónoma de México; Tecnológico de Monterrey; Universidad Nacional de Colombia</x:v>
      </x:c>
      <x:c r="I6" s="442" t="str">
        <x:v>Cobertura de la familia temática; consultar la fuente oficial antes de atribuir una asignatura literal.</x:v>
      </x:c>
    </x:row>
    <x:row r="7" ht="42" customHeight="1">
      <x:c r="A7" s="445" t="str">
        <x:v>PRE-003</x:v>
      </x:c>
      <x:c r="B7" s="445" t="str">
        <x:v>Comunicación oral y escrita en español</x:v>
      </x:c>
      <x:c r="C7" s="445" t="str">
        <x:v>Preparación y ofimática</x:v>
      </x:c>
      <x:c r="D7" s="445" t="str">
        <x:v>Preparación</x:v>
      </x:c>
      <x:c r="E7" s="445" t="n">
        <x:v>1</x:v>
      </x:c>
      <x:c r="F7" s="445" t="n">
        <x:v>9</x:v>
      </x:c>
      <x:c r="G7" s="445" t="n">
        <x:v>3</x:v>
      </x:c>
      <x:c r="H7" s="445" t="str">
        <x:v>Purdue University; Rochester Institute of Technology; Northumbria University; Universidad Nacional Autónoma de México; Tecnológico de Monterrey; Universidad Nacional de Colombia</x:v>
      </x:c>
      <x:c r="I7" s="445" t="str">
        <x:v>Cobertura de la familia temática; consultar la fuente oficial antes de atribuir una asignatura literal.</x:v>
      </x:c>
    </x:row>
    <x:row r="8" ht="42" customHeight="1">
      <x:c r="A8" s="442" t="str">
        <x:v>PRE-004</x:v>
      </x:c>
      <x:c r="B8" s="442" t="str">
        <x:v>Inglés técnico I</x:v>
      </x:c>
      <x:c r="C8" s="442" t="str">
        <x:v>Preparación y ofimática</x:v>
      </x:c>
      <x:c r="D8" s="442" t="str">
        <x:v>Preparación</x:v>
      </x:c>
      <x:c r="E8" s="442" t="n">
        <x:v>1</x:v>
      </x:c>
      <x:c r="F8" s="442" t="n">
        <x:v>9</x:v>
      </x:c>
      <x:c r="G8" s="442" t="n">
        <x:v>3</x:v>
      </x:c>
      <x:c r="H8" s="442" t="str">
        <x:v>Purdue University; Rochester Institute of Technology; Northumbria University; Universidad Nacional Autónoma de México; Tecnológico de Monterrey; Universidad Nacional de Colombia</x:v>
      </x:c>
      <x:c r="I8" s="442" t="str">
        <x:v>Cobertura de la familia temática; consultar la fuente oficial antes de atribuir una asignatura literal.</x:v>
      </x:c>
    </x:row>
    <x:row r="9" ht="42" customHeight="1">
      <x:c r="A9" s="445" t="str">
        <x:v>PRE-005</x:v>
      </x:c>
      <x:c r="B9" s="445" t="str">
        <x:v>Inglés técnico II</x:v>
      </x:c>
      <x:c r="C9" s="445" t="str">
        <x:v>Preparación y ofimática</x:v>
      </x:c>
      <x:c r="D9" s="445" t="str">
        <x:v>Preparación</x:v>
      </x:c>
      <x:c r="E9" s="445" t="n">
        <x:v>1</x:v>
      </x:c>
      <x:c r="F9" s="445" t="n">
        <x:v>9</x:v>
      </x:c>
      <x:c r="G9" s="445" t="n">
        <x:v>3</x:v>
      </x:c>
      <x:c r="H9" s="445" t="str">
        <x:v>Purdue University; Rochester Institute of Technology; Northumbria University; Universidad Nacional Autónoma de México; Tecnológico de Monterrey; Universidad Nacional de Colombia</x:v>
      </x:c>
      <x:c r="I9" s="445" t="str">
        <x:v>Cobertura de la familia temática; consultar la fuente oficial antes de atribuir una asignatura literal.</x:v>
      </x:c>
    </x:row>
    <x:row r="10" ht="42" customHeight="1">
      <x:c r="A10" s="442" t="str">
        <x:v>PRE-006</x:v>
      </x:c>
      <x:c r="B10" s="442" t="str">
        <x:v>Investigación documental y normas APA</x:v>
      </x:c>
      <x:c r="C10" s="442" t="str">
        <x:v>Preparación y ofimática</x:v>
      </x:c>
      <x:c r="D10" s="442" t="str">
        <x:v>Preparación</x:v>
      </x:c>
      <x:c r="E10" s="442" t="n">
        <x:v>1</x:v>
      </x:c>
      <x:c r="F10" s="442" t="n">
        <x:v>9</x:v>
      </x:c>
      <x:c r="G10" s="442" t="n">
        <x:v>3</x:v>
      </x:c>
      <x:c r="H10" s="442" t="str">
        <x:v>Purdue University; Rochester Institute of Technology; Northumbria University; Universidad Nacional Autónoma de México; Tecnológico de Monterrey; Universidad Nacional de Colombia</x:v>
      </x:c>
      <x:c r="I10" s="442" t="str">
        <x:v>Cobertura de la familia temática; consultar la fuente oficial antes de atribuir una asignatura literal.</x:v>
      </x:c>
    </x:row>
    <x:row r="11" ht="42" customHeight="1">
      <x:c r="A11" s="445" t="str">
        <x:v>PRE-007</x:v>
      </x:c>
      <x:c r="B11" s="445" t="str">
        <x:v>Alfabetización digital y seguridad personal</x:v>
      </x:c>
      <x:c r="C11" s="445" t="str">
        <x:v>Preparación y ofimática</x:v>
      </x:c>
      <x:c r="D11" s="445" t="str">
        <x:v>Preparación</x:v>
      </x:c>
      <x:c r="E11" s="445" t="n">
        <x:v>1</x:v>
      </x:c>
      <x:c r="F11" s="445" t="n">
        <x:v>9</x:v>
      </x:c>
      <x:c r="G11" s="445" t="n">
        <x:v>3</x:v>
      </x:c>
      <x:c r="H11" s="445" t="str">
        <x:v>Purdue University; Rochester Institute of Technology; Northumbria University; Universidad Nacional Autónoma de México; Tecnológico de Monterrey; Universidad Nacional de Colombia</x:v>
      </x:c>
      <x:c r="I11" s="445" t="str">
        <x:v>Cobertura de la familia temática; consultar la fuente oficial antes de atribuir una asignatura literal.</x:v>
      </x:c>
    </x:row>
    <x:row r="12" ht="42" customHeight="1">
      <x:c r="A12" s="442" t="str">
        <x:v>PRE-008</x:v>
      </x:c>
      <x:c r="B12" s="442" t="str">
        <x:v>Mecanografía y productividad con atajos</x:v>
      </x:c>
      <x:c r="C12" s="442" t="str">
        <x:v>Preparación y ofimática</x:v>
      </x:c>
      <x:c r="D12" s="442" t="str">
        <x:v>Preparación</x:v>
      </x:c>
      <x:c r="E12" s="442" t="n">
        <x:v>1</x:v>
      </x:c>
      <x:c r="F12" s="442" t="n">
        <x:v>9</x:v>
      </x:c>
      <x:c r="G12" s="442" t="n">
        <x:v>3</x:v>
      </x:c>
      <x:c r="H12" s="442" t="str">
        <x:v>Purdue University; Rochester Institute of Technology; Northumbria University; Universidad Nacional Autónoma de México; Tecnológico de Monterrey; Universidad Nacional de Colombia</x:v>
      </x:c>
      <x:c r="I12" s="442" t="str">
        <x:v>Cobertura de la familia temática; consultar la fuente oficial antes de atribuir una asignatura literal.</x:v>
      </x:c>
    </x:row>
    <x:row r="13" ht="42" customHeight="1">
      <x:c r="A13" s="445" t="str">
        <x:v>PRE-009</x:v>
      </x:c>
      <x:c r="B13" s="445" t="str">
        <x:v>Windows para usuarios avanzados</x:v>
      </x:c>
      <x:c r="C13" s="445" t="str">
        <x:v>Preparación y ofimática</x:v>
      </x:c>
      <x:c r="D13" s="445" t="str">
        <x:v>Preparación</x:v>
      </x:c>
      <x:c r="E13" s="445" t="n">
        <x:v>1</x:v>
      </x:c>
      <x:c r="F13" s="445" t="n">
        <x:v>9</x:v>
      </x:c>
      <x:c r="G13" s="445" t="n">
        <x:v>3</x:v>
      </x:c>
      <x:c r="H13" s="445" t="str">
        <x:v>Purdue University; Rochester Institute of Technology; Northumbria University; Universidad Nacional Autónoma de México; Tecnológico de Monterrey; Universidad Nacional de Colombia</x:v>
      </x:c>
      <x:c r="I13" s="445" t="str">
        <x:v>Cobertura de la familia temática; consultar la fuente oficial antes de atribuir una asignatura literal.</x:v>
      </x:c>
    </x:row>
    <x:row r="14" ht="42" customHeight="1">
      <x:c r="A14" s="442" t="str">
        <x:v>PRE-010</x:v>
      </x:c>
      <x:c r="B14" s="442" t="str">
        <x:v>Linux de escritorio y terminal básica</x:v>
      </x:c>
      <x:c r="C14" s="442" t="str">
        <x:v>Preparación y ofimática</x:v>
      </x:c>
      <x:c r="D14" s="442" t="str">
        <x:v>Preparación</x:v>
      </x:c>
      <x:c r="E14" s="442" t="n">
        <x:v>1</x:v>
      </x:c>
      <x:c r="F14" s="442" t="n">
        <x:v>9</x:v>
      </x:c>
      <x:c r="G14" s="442" t="n">
        <x:v>3</x:v>
      </x:c>
      <x:c r="H14" s="442" t="str">
        <x:v>Purdue University; Rochester Institute of Technology; Northumbria University; Universidad Nacional Autónoma de México; Tecnológico de Monterrey; Universidad Nacional de Colombia</x:v>
      </x:c>
      <x:c r="I14" s="442" t="str">
        <x:v>Cobertura de la familia temática; consultar la fuente oficial antes de atribuir una asignatura literal.</x:v>
      </x:c>
    </x:row>
    <x:row r="15" ht="42" customHeight="1">
      <x:c r="A15" s="445" t="str">
        <x:v>PRE-011</x:v>
      </x:c>
      <x:c r="B15" s="445" t="str">
        <x:v>Git y GitHub desde cero</x:v>
      </x:c>
      <x:c r="C15" s="445" t="str">
        <x:v>Preparación y ofimática</x:v>
      </x:c>
      <x:c r="D15" s="445" t="str">
        <x:v>Preparación</x:v>
      </x:c>
      <x:c r="E15" s="445" t="n">
        <x:v>1</x:v>
      </x:c>
      <x:c r="F15" s="445" t="n">
        <x:v>9</x:v>
      </x:c>
      <x:c r="G15" s="445" t="n">
        <x:v>3</x:v>
      </x:c>
      <x:c r="H15" s="445" t="str">
        <x:v>Purdue University; Rochester Institute of Technology; Northumbria University; Universidad Nacional Autónoma de México; Tecnológico de Monterrey; Universidad Nacional de Colombia</x:v>
      </x:c>
      <x:c r="I15" s="445" t="str">
        <x:v>Cobertura de la familia temática; consultar la fuente oficial antes de atribuir una asignatura literal.</x:v>
      </x:c>
    </x:row>
    <x:row r="16" ht="42" customHeight="1">
      <x:c r="A16" s="442" t="str">
        <x:v>PRE-012</x:v>
      </x:c>
      <x:c r="B16" s="442" t="str">
        <x:v>Word profesional y documentos largos</x:v>
      </x:c>
      <x:c r="C16" s="442" t="str">
        <x:v>Preparación y ofimática</x:v>
      </x:c>
      <x:c r="D16" s="442" t="str">
        <x:v>Preparación</x:v>
      </x:c>
      <x:c r="E16" s="442" t="n">
        <x:v>1</x:v>
      </x:c>
      <x:c r="F16" s="442" t="n">
        <x:v>9</x:v>
      </x:c>
      <x:c r="G16" s="442" t="n">
        <x:v>3</x:v>
      </x:c>
      <x:c r="H16" s="442" t="str">
        <x:v>Purdue University; Rochester Institute of Technology; Northumbria University; Universidad Nacional Autónoma de México; Tecnológico de Monterrey; Universidad Nacional de Colombia</x:v>
      </x:c>
      <x:c r="I16" s="442" t="str">
        <x:v>Cobertura de la familia temática; consultar la fuente oficial antes de atribuir una asignatura literal.</x:v>
      </x:c>
    </x:row>
    <x:row r="17" ht="42" customHeight="1">
      <x:c r="A17" s="445" t="str">
        <x:v>PRE-013</x:v>
      </x:c>
      <x:c r="B17" s="445" t="str">
        <x:v>Excel intermedio</x:v>
      </x:c>
      <x:c r="C17" s="445" t="str">
        <x:v>Preparación y ofimática</x:v>
      </x:c>
      <x:c r="D17" s="445" t="str">
        <x:v>Preparación</x:v>
      </x:c>
      <x:c r="E17" s="445" t="n">
        <x:v>1</x:v>
      </x:c>
      <x:c r="F17" s="445" t="n">
        <x:v>9</x:v>
      </x:c>
      <x:c r="G17" s="445" t="n">
        <x:v>3</x:v>
      </x:c>
      <x:c r="H17" s="445" t="str">
        <x:v>Purdue University; Rochester Institute of Technology; Northumbria University; Universidad Nacional Autónoma de México; Tecnológico de Monterrey; Universidad Nacional de Colombia</x:v>
      </x:c>
      <x:c r="I17" s="445" t="str">
        <x:v>Cobertura de la familia temática; consultar la fuente oficial antes de atribuir una asignatura literal.</x:v>
      </x:c>
    </x:row>
    <x:row r="18" ht="42" customHeight="1">
      <x:c r="A18" s="442" t="str">
        <x:v>PRE-014</x:v>
      </x:c>
      <x:c r="B18" s="442" t="str">
        <x:v>Excel avanzado y modelado</x:v>
      </x:c>
      <x:c r="C18" s="442" t="str">
        <x:v>Preparación y ofimática</x:v>
      </x:c>
      <x:c r="D18" s="442" t="str">
        <x:v>Preparación</x:v>
      </x:c>
      <x:c r="E18" s="442" t="n">
        <x:v>1</x:v>
      </x:c>
      <x:c r="F18" s="442" t="n">
        <x:v>9</x:v>
      </x:c>
      <x:c r="G18" s="442" t="n">
        <x:v>3</x:v>
      </x:c>
      <x:c r="H18" s="442" t="str">
        <x:v>Purdue University; Rochester Institute of Technology; Northumbria University; Universidad Nacional Autónoma de México; Tecnológico de Monterrey; Universidad Nacional de Colombia</x:v>
      </x:c>
      <x:c r="I18" s="442" t="str">
        <x:v>Cobertura de la familia temática; consultar la fuente oficial antes de atribuir una asignatura literal.</x:v>
      </x:c>
    </x:row>
    <x:row r="19" ht="42" customHeight="1">
      <x:c r="A19" s="445" t="str">
        <x:v>PRE-015</x:v>
      </x:c>
      <x:c r="B19" s="445" t="str">
        <x:v>Excel VBA y automatización</x:v>
      </x:c>
      <x:c r="C19" s="445" t="str">
        <x:v>Preparación y ofimática</x:v>
      </x:c>
      <x:c r="D19" s="445" t="str">
        <x:v>Preparación</x:v>
      </x:c>
      <x:c r="E19" s="445" t="n">
        <x:v>1</x:v>
      </x:c>
      <x:c r="F19" s="445" t="n">
        <x:v>9</x:v>
      </x:c>
      <x:c r="G19" s="445" t="n">
        <x:v>3</x:v>
      </x:c>
      <x:c r="H19" s="445" t="str">
        <x:v>Purdue University; Rochester Institute of Technology; Northumbria University; Universidad Nacional Autónoma de México; Tecnológico de Monterrey; Universidad Nacional de Colombia</x:v>
      </x:c>
      <x:c r="I19" s="445" t="str">
        <x:v>Cobertura de la familia temática; consultar la fuente oficial antes de atribuir una asignatura literal.</x:v>
      </x:c>
    </x:row>
    <x:row r="20" ht="42" customHeight="1">
      <x:c r="A20" s="442" t="str">
        <x:v>PRE-016</x:v>
      </x:c>
      <x:c r="B20" s="442" t="str">
        <x:v>PowerPoint profesional y storytelling</x:v>
      </x:c>
      <x:c r="C20" s="442" t="str">
        <x:v>Preparación y ofimática</x:v>
      </x:c>
      <x:c r="D20" s="442" t="str">
        <x:v>Preparación</x:v>
      </x:c>
      <x:c r="E20" s="442" t="n">
        <x:v>1</x:v>
      </x:c>
      <x:c r="F20" s="442" t="n">
        <x:v>9</x:v>
      </x:c>
      <x:c r="G20" s="442" t="n">
        <x:v>3</x:v>
      </x:c>
      <x:c r="H20" s="442" t="str">
        <x:v>Purdue University; Rochester Institute of Technology; Northumbria University; Universidad Nacional Autónoma de México; Tecnológico de Monterrey; Universidad Nacional de Colombia</x:v>
      </x:c>
      <x:c r="I20" s="442" t="str">
        <x:v>Cobertura de la familia temática; consultar la fuente oficial antes de atribuir una asignatura literal.</x:v>
      </x:c>
    </x:row>
    <x:row r="21" ht="42" customHeight="1">
      <x:c r="A21" s="445" t="str">
        <x:v>PRE-017</x:v>
      </x:c>
      <x:c r="B21" s="445" t="str">
        <x:v>Access y bases de datos de oficina</x:v>
      </x:c>
      <x:c r="C21" s="445" t="str">
        <x:v>Preparación y ofimática</x:v>
      </x:c>
      <x:c r="D21" s="445" t="str">
        <x:v>Preparación</x:v>
      </x:c>
      <x:c r="E21" s="445" t="n">
        <x:v>1</x:v>
      </x:c>
      <x:c r="F21" s="445" t="n">
        <x:v>9</x:v>
      </x:c>
      <x:c r="G21" s="445" t="n">
        <x:v>3</x:v>
      </x:c>
      <x:c r="H21" s="445" t="str">
        <x:v>Purdue University; Rochester Institute of Technology; Northumbria University; Universidad Nacional Autónoma de México; Tecnológico de Monterrey; Universidad Nacional de Colombia</x:v>
      </x:c>
      <x:c r="I21" s="445" t="str">
        <x:v>Cobertura de la familia temática; consultar la fuente oficial antes de atribuir una asignatura literal.</x:v>
      </x:c>
    </x:row>
    <x:row r="22" ht="42" customHeight="1">
      <x:c r="A22" s="442" t="str">
        <x:v>PRE-018</x:v>
      </x:c>
      <x:c r="B22" s="442" t="str">
        <x:v>Microsoft 365, colaboración y administración básica</x:v>
      </x:c>
      <x:c r="C22" s="442" t="str">
        <x:v>Preparación y ofimática</x:v>
      </x:c>
      <x:c r="D22" s="442" t="str">
        <x:v>Preparación</x:v>
      </x:c>
      <x:c r="E22" s="442" t="n">
        <x:v>1</x:v>
      </x:c>
      <x:c r="F22" s="442" t="n">
        <x:v>9</x:v>
      </x:c>
      <x:c r="G22" s="442" t="n">
        <x:v>3</x:v>
      </x:c>
      <x:c r="H22" s="442" t="str">
        <x:v>Purdue University; Rochester Institute of Technology; Northumbria University; Universidad Nacional Autónoma de México; Tecnológico de Monterrey; Universidad Nacional de Colombia</x:v>
      </x:c>
      <x:c r="I22" s="442" t="str">
        <x:v>Cobertura de la familia temática; consultar la fuente oficial antes de atribuir una asignatura literal.</x:v>
      </x:c>
    </x:row>
    <x:row r="23" ht="42" customHeight="1">
      <x:c r="A23" s="445" t="str">
        <x:v>MED-001</x:v>
      </x:c>
      <x:c r="B23" s="445" t="str">
        <x:v>Fundamentos del diseño visual</x:v>
      </x:c>
      <x:c r="C23" s="445" t="str">
        <x:v>Diseño, foto, cine y multimedia</x:v>
      </x:c>
      <x:c r="D23" s="445" t="str">
        <x:v>Fundamentos STEM</x:v>
      </x:c>
      <x:c r="E23" s="445" t="n">
        <x:v>3</x:v>
      </x:c>
      <x:c r="F23" s="445" t="n">
        <x:v>32</x:v>
      </x:c>
      <x:c r="G23" s="445" t="n">
        <x:v>4</x:v>
      </x:c>
      <x:c r="H23" s="445" t="str">
        <x:v>Georgia Institute of Technology; New York University; University of Southern California; University of Maryland, College Park; University of Pennsylvania; Simon Fraser University</x:v>
      </x:c>
      <x:c r="I23" s="445" t="str">
        <x:v>Cobertura de la familia temática; consultar la fuente oficial antes de atribuir una asignatura literal.</x:v>
      </x:c>
    </x:row>
    <x:row r="24" ht="42" customHeight="1">
      <x:c r="A24" s="442" t="str">
        <x:v>MED-002</x:v>
      </x:c>
      <x:c r="B24" s="442" t="str">
        <x:v>Dibujo y bocetaje</x:v>
      </x:c>
      <x:c r="C24" s="442" t="str">
        <x:v>Diseño, foto, cine y multimedia</x:v>
      </x:c>
      <x:c r="D24" s="442" t="str">
        <x:v>Fundamentos STEM</x:v>
      </x:c>
      <x:c r="E24" s="442" t="n">
        <x:v>3</x:v>
      </x:c>
      <x:c r="F24" s="442" t="n">
        <x:v>32</x:v>
      </x:c>
      <x:c r="G24" s="442" t="n">
        <x:v>4</x:v>
      </x:c>
      <x:c r="H24" s="442" t="str">
        <x:v>Georgia Institute of Technology; New York University; University of Southern California; University of Maryland, College Park; University of Pennsylvania; Simon Fraser University</x:v>
      </x:c>
      <x:c r="I24" s="442" t="str">
        <x:v>Cobertura de la familia temática; consultar la fuente oficial antes de atribuir una asignatura literal.</x:v>
      </x:c>
    </x:row>
    <x:row r="25" ht="42" customHeight="1">
      <x:c r="A25" s="445" t="str">
        <x:v>MED-003</x:v>
      </x:c>
      <x:c r="B25" s="445" t="str">
        <x:v>Teoría del color</x:v>
      </x:c>
      <x:c r="C25" s="445" t="str">
        <x:v>Diseño, foto, cine y multimedia</x:v>
      </x:c>
      <x:c r="D25" s="445" t="str">
        <x:v>Fundamentos STEM</x:v>
      </x:c>
      <x:c r="E25" s="445" t="n">
        <x:v>3</x:v>
      </x:c>
      <x:c r="F25" s="445" t="n">
        <x:v>32</x:v>
      </x:c>
      <x:c r="G25" s="445" t="n">
        <x:v>4</x:v>
      </x:c>
      <x:c r="H25" s="445" t="str">
        <x:v>Georgia Institute of Technology; New York University; University of Southern California; University of Maryland, College Park; University of Pennsylvania; Simon Fraser University</x:v>
      </x:c>
      <x:c r="I25" s="445" t="str">
        <x:v>Cobertura de la familia temática; consultar la fuente oficial antes de atribuir una asignatura literal.</x:v>
      </x:c>
    </x:row>
    <x:row r="26" ht="42" customHeight="1">
      <x:c r="A26" s="442" t="str">
        <x:v>MED-004</x:v>
      </x:c>
      <x:c r="B26" s="442" t="str">
        <x:v>Composición y retícula</x:v>
      </x:c>
      <x:c r="C26" s="442" t="str">
        <x:v>Diseño, foto, cine y multimedia</x:v>
      </x:c>
      <x:c r="D26" s="442" t="str">
        <x:v>Fundamentos STEM</x:v>
      </x:c>
      <x:c r="E26" s="442" t="n">
        <x:v>3</x:v>
      </x:c>
      <x:c r="F26" s="442" t="n">
        <x:v>32</x:v>
      </x:c>
      <x:c r="G26" s="442" t="n">
        <x:v>4</x:v>
      </x:c>
      <x:c r="H26" s="442" t="str">
        <x:v>Georgia Institute of Technology; New York University; University of Southern California; University of Maryland, College Park; University of Pennsylvania; Simon Fraser University</x:v>
      </x:c>
      <x:c r="I26" s="442" t="str">
        <x:v>Cobertura de la familia temática; consultar la fuente oficial antes de atribuir una asignatura literal.</x:v>
      </x:c>
    </x:row>
    <x:row r="27" ht="42" customHeight="1">
      <x:c r="A27" s="445" t="str">
        <x:v>MED-005</x:v>
      </x:c>
      <x:c r="B27" s="445" t="str">
        <x:v>Tipografía I</x:v>
      </x:c>
      <x:c r="C27" s="445" t="str">
        <x:v>Diseño, foto, cine y multimedia</x:v>
      </x:c>
      <x:c r="D27" s="445" t="str">
        <x:v>Fundamentos STEM</x:v>
      </x:c>
      <x:c r="E27" s="445" t="n">
        <x:v>3</x:v>
      </x:c>
      <x:c r="F27" s="445" t="n">
        <x:v>32</x:v>
      </x:c>
      <x:c r="G27" s="445" t="n">
        <x:v>4</x:v>
      </x:c>
      <x:c r="H27" s="445" t="str">
        <x:v>Georgia Institute of Technology; New York University; University of Southern California; University of Maryland, College Park; University of Pennsylvania; Simon Fraser University</x:v>
      </x:c>
      <x:c r="I27" s="445" t="str">
        <x:v>Cobertura de la familia temática; consultar la fuente oficial antes de atribuir una asignatura literal.</x:v>
      </x:c>
    </x:row>
    <x:row r="28" ht="42" customHeight="1">
      <x:c r="A28" s="442" t="str">
        <x:v>MED-006</x:v>
      </x:c>
      <x:c r="B28" s="442" t="str">
        <x:v>Tipografía II</x:v>
      </x:c>
      <x:c r="C28" s="442" t="str">
        <x:v>Diseño, foto, cine y multimedia</x:v>
      </x:c>
      <x:c r="D28" s="442" t="str">
        <x:v>Fundamentos STEM</x:v>
      </x:c>
      <x:c r="E28" s="442" t="n">
        <x:v>3</x:v>
      </x:c>
      <x:c r="F28" s="442" t="n">
        <x:v>32</x:v>
      </x:c>
      <x:c r="G28" s="442" t="n">
        <x:v>4</x:v>
      </x:c>
      <x:c r="H28" s="442" t="str">
        <x:v>Georgia Institute of Technology; New York University; University of Southern California; University of Maryland, College Park; University of Pennsylvania; Simon Fraser University</x:v>
      </x:c>
      <x:c r="I28" s="442" t="str">
        <x:v>Cobertura de la familia temática; consultar la fuente oficial antes de atribuir una asignatura literal.</x:v>
      </x:c>
    </x:row>
    <x:row r="29" ht="42" customHeight="1">
      <x:c r="A29" s="445" t="str">
        <x:v>CAP-001</x:v>
      </x:c>
      <x:c r="B29" s="445" t="str">
        <x:v>Ética profesional, derecho digital y sociedad</x:v>
      </x:c>
      <x:c r="C29" s="445" t="str">
        <x:v>Investigación, profesión y capstones</x:v>
      </x:c>
      <x:c r="D29" s="445" t="str">
        <x:v>Fundamentos STEM</x:v>
      </x:c>
      <x:c r="E29" s="445" t="n">
        <x:v>1</x:v>
      </x:c>
      <x:c r="F29" s="445" t="n">
        <x:v>150</x:v>
      </x:c>
      <x:c r="G29" s="445" t="n">
        <x:v>20</x:v>
      </x:c>
      <x:c r="H29" s="445" t="str">
        <x:v>Massachusetts Institute of Technology (MIT); Stanford University; Carnegie Mellon University; University of California, Berkeley; Harvard University; Princeton University</x:v>
      </x:c>
      <x:c r="I29" s="445" t="str">
        <x:v>Cobertura de la familia temática; consultar la fuente oficial antes de atribuir una asignatura literal.</x:v>
      </x:c>
    </x:row>
    <x:row r="30" ht="42" customHeight="1">
      <x:c r="A30" s="442" t="str">
        <x:v>CAP-002</x:v>
      </x:c>
      <x:c r="B30" s="442" t="str">
        <x:v>Comunicación técnica</x:v>
      </x:c>
      <x:c r="C30" s="442" t="str">
        <x:v>Investigación, profesión y capstones</x:v>
      </x:c>
      <x:c r="D30" s="442" t="str">
        <x:v>Fundamentos STEM</x:v>
      </x:c>
      <x:c r="E30" s="442" t="n">
        <x:v>1</x:v>
      </x:c>
      <x:c r="F30" s="442" t="n">
        <x:v>150</x:v>
      </x:c>
      <x:c r="G30" s="442" t="n">
        <x:v>20</x:v>
      </x:c>
      <x:c r="H30" s="442" t="str">
        <x:v>Massachusetts Institute of Technology (MIT); Stanford University; Carnegie Mellon University; University of California, Berkeley; Harvard University; Princeton University</x:v>
      </x:c>
      <x:c r="I30" s="442" t="str">
        <x:v>Cobertura de la familia temática; consultar la fuente oficial antes de atribuir una asignatura literal.</x:v>
      </x:c>
    </x:row>
    <x:row r="31" ht="42" customHeight="1">
      <x:c r="A31" s="445" t="str">
        <x:v>CAP-003</x:v>
      </x:c>
      <x:c r="B31" s="445" t="str">
        <x:v>Metodología de investigación I</x:v>
      </x:c>
      <x:c r="C31" s="445" t="str">
        <x:v>Investigación, profesión y capstones</x:v>
      </x:c>
      <x:c r="D31" s="445" t="str">
        <x:v>Fundamentos STEM</x:v>
      </x:c>
      <x:c r="E31" s="445" t="n">
        <x:v>1</x:v>
      </x:c>
      <x:c r="F31" s="445" t="n">
        <x:v>150</x:v>
      </x:c>
      <x:c r="G31" s="445" t="n">
        <x:v>20</x:v>
      </x:c>
      <x:c r="H31" s="445" t="str">
        <x:v>Massachusetts Institute of Technology (MIT); Stanford University; Carnegie Mellon University; University of California, Berkeley; Harvard University; Princeton University</x:v>
      </x:c>
      <x:c r="I31" s="445" t="str">
        <x:v>Cobertura de la familia temática; consultar la fuente oficial antes de atribuir una asignatura literal.</x:v>
      </x:c>
    </x:row>
    <x:row r="32" ht="42" customHeight="1">
      <x:c r="A32" s="442" t="str">
        <x:v>CAP-004</x:v>
      </x:c>
      <x:c r="B32" s="442" t="str">
        <x:v>Metodología de investigación II</x:v>
      </x:c>
      <x:c r="C32" s="442" t="str">
        <x:v>Investigación, profesión y capstones</x:v>
      </x:c>
      <x:c r="D32" s="442" t="str">
        <x:v>Fundamentos STEM</x:v>
      </x:c>
      <x:c r="E32" s="442" t="n">
        <x:v>1</x:v>
      </x:c>
      <x:c r="F32" s="442" t="n">
        <x:v>150</x:v>
      </x:c>
      <x:c r="G32" s="442" t="n">
        <x:v>20</x:v>
      </x:c>
      <x:c r="H32" s="442" t="str">
        <x:v>Massachusetts Institute of Technology (MIT); Stanford University; Carnegie Mellon University; University of California, Berkeley; Harvard University; Princeton University</x:v>
      </x:c>
      <x:c r="I32" s="442" t="str">
        <x:v>Cobertura de la familia temática; consultar la fuente oficial antes de atribuir una asignatura literal.</x:v>
      </x:c>
    </x:row>
    <x:row r="33" ht="42" customHeight="1">
      <x:c r="A33" s="445" t="str">
        <x:v>CAP-005</x:v>
      </x:c>
      <x:c r="B33" s="445" t="str">
        <x:v>Reproducibilidad, ciencia abierta y datos FAIR</x:v>
      </x:c>
      <x:c r="C33" s="445" t="str">
        <x:v>Investigación, profesión y capstones</x:v>
      </x:c>
      <x:c r="D33" s="445" t="str">
        <x:v>Fundamentos STEM</x:v>
      </x:c>
      <x:c r="E33" s="445" t="n">
        <x:v>1</x:v>
      </x:c>
      <x:c r="F33" s="445" t="n">
        <x:v>150</x:v>
      </x:c>
      <x:c r="G33" s="445" t="n">
        <x:v>20</x:v>
      </x:c>
      <x:c r="H33" s="445" t="str">
        <x:v>Massachusetts Institute of Technology (MIT); Stanford University; Carnegie Mellon University; University of California, Berkeley; Harvard University; Princeton University</x:v>
      </x:c>
      <x:c r="I33" s="445" t="str">
        <x:v>Cobertura de la familia temática; consultar la fuente oficial antes de atribuir una asignatura literal.</x:v>
      </x:c>
    </x:row>
    <x:row r="34" ht="42" customHeight="1">
      <x:c r="A34" s="442" t="str">
        <x:v>MAT-001</x:v>
      </x:c>
      <x:c r="B34" s="442" t="str">
        <x:v>Álgebra y precálculo</x:v>
      </x:c>
      <x:c r="C34" s="442" t="str">
        <x:v>Matemática y ciencias</x:v>
      </x:c>
      <x:c r="D34" s="442" t="str">
        <x:v>Fundamentos STEM</x:v>
      </x:c>
      <x:c r="E34" s="442" t="n">
        <x:v>1</x:v>
      </x:c>
      <x:c r="F34" s="442" t="n">
        <x:v>140</x:v>
      </x:c>
      <x:c r="G34" s="442" t="n">
        <x:v>18</x:v>
      </x:c>
      <x:c r="H34" s="442" t="str">
        <x:v>Massachusetts Institute of Technology (MIT); Stanford University; Carnegie Mellon University; University of California, Berkeley; Harvard University; Princeton University</x:v>
      </x:c>
      <x:c r="I34" s="442" t="str">
        <x:v>Cobertura de la familia temática; consultar la fuente oficial antes de atribuir una asignatura literal.</x:v>
      </x:c>
    </x:row>
    <x:row r="35" ht="42" customHeight="1">
      <x:c r="A35" s="445" t="str">
        <x:v>MAT-002</x:v>
      </x:c>
      <x:c r="B35" s="445" t="str">
        <x:v>Geometría analítica y trigonometría</x:v>
      </x:c>
      <x:c r="C35" s="445" t="str">
        <x:v>Matemática y ciencias</x:v>
      </x:c>
      <x:c r="D35" s="445" t="str">
        <x:v>Fundamentos STEM</x:v>
      </x:c>
      <x:c r="E35" s="445" t="n">
        <x:v>1</x:v>
      </x:c>
      <x:c r="F35" s="445" t="n">
        <x:v>140</x:v>
      </x:c>
      <x:c r="G35" s="445" t="n">
        <x:v>18</x:v>
      </x:c>
      <x:c r="H35" s="445" t="str">
        <x:v>Massachusetts Institute of Technology (MIT); Stanford University; Carnegie Mellon University; University of California, Berkeley; Harvard University; Princeton University</x:v>
      </x:c>
      <x:c r="I35" s="445" t="str">
        <x:v>Cobertura de la familia temática; consultar la fuente oficial antes de atribuir una asignatura literal.</x:v>
      </x:c>
    </x:row>
    <x:row r="36" ht="42" customHeight="1">
      <x:c r="A36" s="442" t="str">
        <x:v>MAT-003</x:v>
      </x:c>
      <x:c r="B36" s="442" t="str">
        <x:v>Cálculo diferencial</x:v>
      </x:c>
      <x:c r="C36" s="442" t="str">
        <x:v>Matemática y ciencias</x:v>
      </x:c>
      <x:c r="D36" s="442" t="str">
        <x:v>Fundamentos STEM</x:v>
      </x:c>
      <x:c r="E36" s="442" t="n">
        <x:v>1</x:v>
      </x:c>
      <x:c r="F36" s="442" t="n">
        <x:v>140</x:v>
      </x:c>
      <x:c r="G36" s="442" t="n">
        <x:v>18</x:v>
      </x:c>
      <x:c r="H36" s="442" t="str">
        <x:v>Massachusetts Institute of Technology (MIT); Stanford University; Carnegie Mellon University; University of California, Berkeley; Harvard University; Princeton University</x:v>
      </x:c>
      <x:c r="I36" s="442" t="str">
        <x:v>Cobertura de la familia temática; consultar la fuente oficial antes de atribuir una asignatura literal.</x:v>
      </x:c>
    </x:row>
    <x:row r="37" ht="42" customHeight="1">
      <x:c r="A37" s="445" t="str">
        <x:v>MAT-004</x:v>
      </x:c>
      <x:c r="B37" s="445" t="str">
        <x:v>Cálculo integral</x:v>
      </x:c>
      <x:c r="C37" s="445" t="str">
        <x:v>Matemática y ciencias</x:v>
      </x:c>
      <x:c r="D37" s="445" t="str">
        <x:v>Fundamentos STEM</x:v>
      </x:c>
      <x:c r="E37" s="445" t="n">
        <x:v>1</x:v>
      </x:c>
      <x:c r="F37" s="445" t="n">
        <x:v>140</x:v>
      </x:c>
      <x:c r="G37" s="445" t="n">
        <x:v>18</x:v>
      </x:c>
      <x:c r="H37" s="445" t="str">
        <x:v>Massachusetts Institute of Technology (MIT); Stanford University; Carnegie Mellon University; University of California, Berkeley; Harvard University; Princeton University</x:v>
      </x:c>
      <x:c r="I37" s="445" t="str">
        <x:v>Cobertura de la familia temática; consultar la fuente oficial antes de atribuir una asignatura literal.</x:v>
      </x:c>
    </x:row>
    <x:row r="38" ht="42" customHeight="1">
      <x:c r="A38" s="442" t="str">
        <x:v>MAT-005</x:v>
      </x:c>
      <x:c r="B38" s="442" t="str">
        <x:v>Cálculo multivariable</x:v>
      </x:c>
      <x:c r="C38" s="442" t="str">
        <x:v>Matemática y ciencias</x:v>
      </x:c>
      <x:c r="D38" s="442" t="str">
        <x:v>Fundamentos STEM</x:v>
      </x:c>
      <x:c r="E38" s="442" t="n">
        <x:v>1</x:v>
      </x:c>
      <x:c r="F38" s="442" t="n">
        <x:v>140</x:v>
      </x:c>
      <x:c r="G38" s="442" t="n">
        <x:v>18</x:v>
      </x:c>
      <x:c r="H38" s="442" t="str">
        <x:v>Massachusetts Institute of Technology (MIT); Stanford University; Carnegie Mellon University; University of California, Berkeley; Harvard University; Princeton University</x:v>
      </x:c>
      <x:c r="I38" s="442" t="str">
        <x:v>Cobertura de la familia temática; consultar la fuente oficial antes de atribuir una asignatura literal.</x:v>
      </x:c>
    </x:row>
    <x:row r="39" ht="42" customHeight="1">
      <x:c r="A39" s="445" t="str">
        <x:v>MAT-006</x:v>
      </x:c>
      <x:c r="B39" s="445" t="str">
        <x:v>Álgebra lineal I</x:v>
      </x:c>
      <x:c r="C39" s="445" t="str">
        <x:v>Matemática y ciencias</x:v>
      </x:c>
      <x:c r="D39" s="445" t="str">
        <x:v>Fundamentos STEM</x:v>
      </x:c>
      <x:c r="E39" s="445" t="n">
        <x:v>1</x:v>
      </x:c>
      <x:c r="F39" s="445" t="n">
        <x:v>140</x:v>
      </x:c>
      <x:c r="G39" s="445" t="n">
        <x:v>18</x:v>
      </x:c>
      <x:c r="H39" s="445" t="str">
        <x:v>Massachusetts Institute of Technology (MIT); Stanford University; Carnegie Mellon University; University of California, Berkeley; Harvard University; Princeton University</x:v>
      </x:c>
      <x:c r="I39" s="445" t="str">
        <x:v>Cobertura de la familia temática; consultar la fuente oficial antes de atribuir una asignatura literal.</x:v>
      </x:c>
    </x:row>
    <x:row r="40" ht="42" customHeight="1">
      <x:c r="A40" s="442" t="str">
        <x:v>MAT-007</x:v>
      </x:c>
      <x:c r="B40" s="442" t="str">
        <x:v>Álgebra lineal II y tensores</x:v>
      </x:c>
      <x:c r="C40" s="442" t="str">
        <x:v>Matemática y ciencias</x:v>
      </x:c>
      <x:c r="D40" s="442" t="str">
        <x:v>Fundamentos STEM</x:v>
      </x:c>
      <x:c r="E40" s="442" t="n">
        <x:v>1</x:v>
      </x:c>
      <x:c r="F40" s="442" t="n">
        <x:v>140</x:v>
      </x:c>
      <x:c r="G40" s="442" t="n">
        <x:v>18</x:v>
      </x:c>
      <x:c r="H40" s="442" t="str">
        <x:v>Massachusetts Institute of Technology (MIT); Stanford University; Carnegie Mellon University; University of California, Berkeley; Harvard University; Princeton University</x:v>
      </x:c>
      <x:c r="I40" s="442" t="str">
        <x:v>Cobertura de la familia temática; consultar la fuente oficial antes de atribuir una asignatura literal.</x:v>
      </x:c>
    </x:row>
    <x:row r="41" ht="42" customHeight="1">
      <x:c r="A41" s="445" t="str">
        <x:v>MAT-021</x:v>
      </x:c>
      <x:c r="B41" s="445" t="str">
        <x:v>Física I: mecánica</x:v>
      </x:c>
      <x:c r="C41" s="445" t="str">
        <x:v>Matemática y ciencias</x:v>
      </x:c>
      <x:c r="D41" s="445" t="str">
        <x:v>Fundamentos STEM</x:v>
      </x:c>
      <x:c r="E41" s="445" t="n">
        <x:v>1</x:v>
      </x:c>
      <x:c r="F41" s="445" t="n">
        <x:v>140</x:v>
      </x:c>
      <x:c r="G41" s="445" t="n">
        <x:v>18</x:v>
      </x:c>
      <x:c r="H41" s="445" t="str">
        <x:v>Massachusetts Institute of Technology (MIT); Stanford University; Carnegie Mellon University; University of California, Berkeley; Harvard University; Princeton University</x:v>
      </x:c>
      <x:c r="I41" s="445" t="str">
        <x:v>Cobertura de la familia temática; consultar la fuente oficial antes de atribuir una asignatura literal.</x:v>
      </x:c>
    </x:row>
    <x:row r="42" ht="42" customHeight="1">
      <x:c r="A42" s="442" t="str">
        <x:v>MAT-022</x:v>
      </x:c>
      <x:c r="B42" s="442" t="str">
        <x:v>Física II: electricidad y magnetismo</x:v>
      </x:c>
      <x:c r="C42" s="442" t="str">
        <x:v>Matemática y ciencias</x:v>
      </x:c>
      <x:c r="D42" s="442" t="str">
        <x:v>Fundamentos STEM</x:v>
      </x:c>
      <x:c r="E42" s="442" t="n">
        <x:v>1</x:v>
      </x:c>
      <x:c r="F42" s="442" t="n">
        <x:v>140</x:v>
      </x:c>
      <x:c r="G42" s="442" t="n">
        <x:v>18</x:v>
      </x:c>
      <x:c r="H42" s="442" t="str">
        <x:v>Massachusetts Institute of Technology (MIT); Stanford University; Carnegie Mellon University; University of California, Berkeley; Harvard University; Princeton University</x:v>
      </x:c>
      <x:c r="I42" s="442" t="str">
        <x:v>Cobertura de la familia temática; consultar la fuente oficial antes de atribuir una asignatura literal.</x:v>
      </x:c>
    </x:row>
    <x:row r="43" ht="42" customHeight="1">
      <x:c r="A43" s="445" t="str">
        <x:v>MAT-023</x:v>
      </x:c>
      <x:c r="B43" s="445" t="str">
        <x:v>Física III: ondas, óptica y termodinámica</x:v>
      </x:c>
      <x:c r="C43" s="445" t="str">
        <x:v>Matemática y ciencias</x:v>
      </x:c>
      <x:c r="D43" s="445" t="str">
        <x:v>Fundamentos STEM</x:v>
      </x:c>
      <x:c r="E43" s="445" t="n">
        <x:v>1</x:v>
      </x:c>
      <x:c r="F43" s="445" t="n">
        <x:v>140</x:v>
      </x:c>
      <x:c r="G43" s="445" t="n">
        <x:v>18</x:v>
      </x:c>
      <x:c r="H43" s="445" t="str">
        <x:v>Massachusetts Institute of Technology (MIT); Stanford University; Carnegie Mellon University; University of California, Berkeley; Harvard University; Princeton University</x:v>
      </x:c>
      <x:c r="I43" s="445" t="str">
        <x:v>Cobertura de la familia temática; consultar la fuente oficial antes de atribuir una asignatura literal.</x:v>
      </x:c>
    </x:row>
    <x:row r="44" ht="42" customHeight="1">
      <x:c r="A44" s="442" t="str">
        <x:v>MAT-024</x:v>
      </x:c>
      <x:c r="B44" s="442" t="str">
        <x:v>Química y ciencia de materiales</x:v>
      </x:c>
      <x:c r="C44" s="442" t="str">
        <x:v>Matemática y ciencias</x:v>
      </x:c>
      <x:c r="D44" s="442" t="str">
        <x:v>Fundamentos STEM</x:v>
      </x:c>
      <x:c r="E44" s="442" t="n">
        <x:v>1</x:v>
      </x:c>
      <x:c r="F44" s="442" t="n">
        <x:v>140</x:v>
      </x:c>
      <x:c r="G44" s="442" t="n">
        <x:v>18</x:v>
      </x:c>
      <x:c r="H44" s="442" t="str">
        <x:v>Massachusetts Institute of Technology (MIT); Stanford University; Carnegie Mellon University; University of California, Berkeley; Harvard University; Princeton University</x:v>
      </x:c>
      <x:c r="I44" s="442" t="str">
        <x:v>Cobertura de la familia temática; consultar la fuente oficial antes de atribuir una asignatura literal.</x:v>
      </x:c>
    </x:row>
    <x:row r="45" ht="42" customHeight="1">
      <x:c r="A45" s="445" t="str">
        <x:v>MAT-025</x:v>
      </x:c>
      <x:c r="B45" s="445" t="str">
        <x:v>Sistemas y señales</x:v>
      </x:c>
      <x:c r="C45" s="445" t="str">
        <x:v>Matemática y ciencias</x:v>
      </x:c>
      <x:c r="D45" s="445" t="str">
        <x:v>Fundamentos STEM</x:v>
      </x:c>
      <x:c r="E45" s="445" t="n">
        <x:v>1</x:v>
      </x:c>
      <x:c r="F45" s="445" t="n">
        <x:v>140</x:v>
      </x:c>
      <x:c r="G45" s="445" t="n">
        <x:v>18</x:v>
      </x:c>
      <x:c r="H45" s="445" t="str">
        <x:v>Massachusetts Institute of Technology (MIT); Stanford University; Carnegie Mellon University; University of California, Berkeley; Harvard University; Princeton University</x:v>
      </x:c>
      <x:c r="I45" s="445" t="str">
        <x:v>Cobertura de la familia temática; consultar la fuente oficial antes de atribuir una asignatura literal.</x:v>
      </x:c>
    </x:row>
    <x:row r="46" ht="42" customHeight="1">
      <x:c r="A46" s="442" t="str">
        <x:v>CST-001</x:v>
      </x:c>
      <x:c r="B46" s="442" t="str">
        <x:v>Pensamiento computacional</x:v>
      </x:c>
      <x:c r="C46" s="442" t="str">
        <x:v>Programación y teoría CS</x:v>
      </x:c>
      <x:c r="D46" s="442" t="str">
        <x:v>Fundamentos STEM</x:v>
      </x:c>
      <x:c r="E46" s="442" t="n">
        <x:v>1</x:v>
      </x:c>
      <x:c r="F46" s="442" t="n">
        <x:v>147</x:v>
      </x:c>
      <x:c r="G46" s="442" t="n">
        <x:v>19</x:v>
      </x:c>
      <x:c r="H46" s="442" t="str">
        <x:v>Massachusetts Institute of Technology (MIT); Stanford University; Carnegie Mellon University; University of California, Berkeley; Harvard University; Princeton University</x:v>
      </x:c>
      <x:c r="I46" s="442" t="str">
        <x:v>Cobertura de la familia temática; consultar la fuente oficial antes de atribuir una asignatura literal.</x:v>
      </x:c>
    </x:row>
    <x:row r="47" ht="42" customHeight="1">
      <x:c r="A47" s="445" t="str">
        <x:v>CST-002</x:v>
      </x:c>
      <x:c r="B47" s="445" t="str">
        <x:v>Programación I con Python</x:v>
      </x:c>
      <x:c r="C47" s="445" t="str">
        <x:v>Programación y teoría CS</x:v>
      </x:c>
      <x:c r="D47" s="445" t="str">
        <x:v>Fundamentos STEM</x:v>
      </x:c>
      <x:c r="E47" s="445" t="n">
        <x:v>1</x:v>
      </x:c>
      <x:c r="F47" s="445" t="n">
        <x:v>147</x:v>
      </x:c>
      <x:c r="G47" s="445" t="n">
        <x:v>19</x:v>
      </x:c>
      <x:c r="H47" s="445" t="str">
        <x:v>Massachusetts Institute of Technology (MIT); Stanford University; Carnegie Mellon University; University of California, Berkeley; Harvard University; Princeton University</x:v>
      </x:c>
      <x:c r="I47" s="445" t="str">
        <x:v>Cobertura de la familia temática; consultar la fuente oficial antes de atribuir una asignatura literal.</x:v>
      </x:c>
    </x:row>
    <x:row r="48" ht="42" customHeight="1">
      <x:c r="A48" s="442" t="str">
        <x:v>CST-003</x:v>
      </x:c>
      <x:c r="B48" s="442" t="str">
        <x:v>Programación II con C</x:v>
      </x:c>
      <x:c r="C48" s="442" t="str">
        <x:v>Programación y teoría CS</x:v>
      </x:c>
      <x:c r="D48" s="442" t="str">
        <x:v>Fundamentos STEM</x:v>
      </x:c>
      <x:c r="E48" s="442" t="n">
        <x:v>1</x:v>
      </x:c>
      <x:c r="F48" s="442" t="n">
        <x:v>147</x:v>
      </x:c>
      <x:c r="G48" s="442" t="n">
        <x:v>19</x:v>
      </x:c>
      <x:c r="H48" s="442" t="str">
        <x:v>Massachusetts Institute of Technology (MIT); Stanford University; Carnegie Mellon University; University of California, Berkeley; Harvard University; Princeton University</x:v>
      </x:c>
      <x:c r="I48" s="442" t="str">
        <x:v>Cobertura de la familia temática; consultar la fuente oficial antes de atribuir una asignatura literal.</x:v>
      </x:c>
    </x:row>
    <x:row r="49" ht="42" customHeight="1">
      <x:c r="A49" s="445" t="str">
        <x:v>CST-004</x:v>
      </x:c>
      <x:c r="B49" s="445" t="str">
        <x:v>Programación orientada a objetos</x:v>
      </x:c>
      <x:c r="C49" s="445" t="str">
        <x:v>Programación y teoría CS</x:v>
      </x:c>
      <x:c r="D49" s="445" t="str">
        <x:v>Fundamentos STEM</x:v>
      </x:c>
      <x:c r="E49" s="445" t="n">
        <x:v>1</x:v>
      </x:c>
      <x:c r="F49" s="445" t="n">
        <x:v>147</x:v>
      </x:c>
      <x:c r="G49" s="445" t="n">
        <x:v>19</x:v>
      </x:c>
      <x:c r="H49" s="445" t="str">
        <x:v>Massachusetts Institute of Technology (MIT); Stanford University; Carnegie Mellon University; University of California, Berkeley; Harvard University; Princeton University</x:v>
      </x:c>
      <x:c r="I49" s="445" t="str">
        <x:v>Cobertura de la familia temática; consultar la fuente oficial antes de atribuir una asignatura literal.</x:v>
      </x:c>
    </x:row>
    <x:row r="50" ht="42" customHeight="1">
      <x:c r="A50" s="442" t="str">
        <x:v>CST-005</x:v>
      </x:c>
      <x:c r="B50" s="442" t="str">
        <x:v>Estructuras de datos</x:v>
      </x:c>
      <x:c r="C50" s="442" t="str">
        <x:v>Programación y teoría CS</x:v>
      </x:c>
      <x:c r="D50" s="442" t="str">
        <x:v>Fundamentos STEM</x:v>
      </x:c>
      <x:c r="E50" s="442" t="n">
        <x:v>1</x:v>
      </x:c>
      <x:c r="F50" s="442" t="n">
        <x:v>147</x:v>
      </x:c>
      <x:c r="G50" s="442" t="n">
        <x:v>19</x:v>
      </x:c>
      <x:c r="H50" s="442" t="str">
        <x:v>Massachusetts Institute of Technology (MIT); Stanford University; Carnegie Mellon University; University of California, Berkeley; Harvard University; Princeton University</x:v>
      </x:c>
      <x:c r="I50" s="442" t="str">
        <x:v>Cobertura de la familia temática; consultar la fuente oficial antes de atribuir una asignatura literal.</x:v>
      </x:c>
    </x:row>
    <x:row r="51" ht="42" customHeight="1">
      <x:c r="A51" s="445" t="str">
        <x:v>CST-006</x:v>
      </x:c>
      <x:c r="B51" s="445" t="str">
        <x:v>Algoritmos I</x:v>
      </x:c>
      <x:c r="C51" s="445" t="str">
        <x:v>Programación y teoría CS</x:v>
      </x:c>
      <x:c r="D51" s="445" t="str">
        <x:v>Fundamentos STEM</x:v>
      </x:c>
      <x:c r="E51" s="445" t="n">
        <x:v>1</x:v>
      </x:c>
      <x:c r="F51" s="445" t="n">
        <x:v>147</x:v>
      </x:c>
      <x:c r="G51" s="445" t="n">
        <x:v>19</x:v>
      </x:c>
      <x:c r="H51" s="445" t="str">
        <x:v>Massachusetts Institute of Technology (MIT); Stanford University; Carnegie Mellon University; University of California, Berkeley; Harvard University; Princeton University</x:v>
      </x:c>
      <x:c r="I51" s="445" t="str">
        <x:v>Cobertura de la familia temática; consultar la fuente oficial antes de atribuir una asignatura literal.</x:v>
      </x:c>
    </x:row>
    <x:row r="52" ht="42" customHeight="1">
      <x:c r="A52" s="442" t="str">
        <x:v>REP-001</x:v>
      </x:c>
      <x:c r="B52" s="442" t="str">
        <x:v>Fundamentos de soporte técnico y mesa de ayuda</x:v>
      </x:c>
      <x:c r="C52" s="442" t="str">
        <x:v>Soporte y reparación</x:v>
      </x:c>
      <x:c r="D52" s="442" t="str">
        <x:v>Fundamentos STEM</x:v>
      </x:c>
      <x:c r="E52" s="442" t="n">
        <x:v>2</x:v>
      </x:c>
      <x:c r="F52" s="442" t="n">
        <x:v>10</x:v>
      </x:c>
      <x:c r="G52" s="442" t="n">
        <x:v>3</x:v>
      </x:c>
      <x:c r="H52" s="442" t="str">
        <x:v>Purdue University; Rochester Institute of Technology; Northumbria University; De Montfort University; Universidad Nacional Autónoma de México; Tecnológico de Monterrey</x:v>
      </x:c>
      <x:c r="I52" s="442" t="str">
        <x:v>Cobertura de la familia temática; consultar la fuente oficial antes de atribuir una asignatura literal.</x:v>
      </x:c>
    </x:row>
    <x:row r="53" ht="42" customHeight="1">
      <x:c r="A53" s="445" t="str">
        <x:v>REP-002</x:v>
      </x:c>
      <x:c r="B53" s="445" t="str">
        <x:v>Hardware de computadoras y periféricos</x:v>
      </x:c>
      <x:c r="C53" s="445" t="str">
        <x:v>Soporte y reparación</x:v>
      </x:c>
      <x:c r="D53" s="445" t="str">
        <x:v>Fundamentos STEM</x:v>
      </x:c>
      <x:c r="E53" s="445" t="n">
        <x:v>2</x:v>
      </x:c>
      <x:c r="F53" s="445" t="n">
        <x:v>10</x:v>
      </x:c>
      <x:c r="G53" s="445" t="n">
        <x:v>3</x:v>
      </x:c>
      <x:c r="H53" s="445" t="str">
        <x:v>Purdue University; Rochester Institute of Technology; Northumbria University; De Montfort University; Universidad Nacional Autónoma de México; Tecnológico de Monterrey</x:v>
      </x:c>
      <x:c r="I53" s="445" t="str">
        <x:v>Cobertura de la familia temática; consultar la fuente oficial antes de atribuir una asignatura literal.</x:v>
      </x:c>
    </x:row>
    <x:row r="54" ht="42" customHeight="1">
      <x:c r="A54" s="442" t="str">
        <x:v>REP-003</x:v>
      </x:c>
      <x:c r="B54" s="442" t="str">
        <x:v>Ensamblaje y actualización de PC</x:v>
      </x:c>
      <x:c r="C54" s="442" t="str">
        <x:v>Soporte y reparación</x:v>
      </x:c>
      <x:c r="D54" s="442" t="str">
        <x:v>Fundamentos STEM</x:v>
      </x:c>
      <x:c r="E54" s="442" t="n">
        <x:v>2</x:v>
      </x:c>
      <x:c r="F54" s="442" t="n">
        <x:v>10</x:v>
      </x:c>
      <x:c r="G54" s="442" t="n">
        <x:v>3</x:v>
      </x:c>
      <x:c r="H54" s="442" t="str">
        <x:v>Purdue University; Rochester Institute of Technology; Northumbria University; De Montfort University; Universidad Nacional Autónoma de México; Tecnológico de Monterrey</x:v>
      </x:c>
      <x:c r="I54" s="442" t="str">
        <x:v>Cobertura de la familia temática; consultar la fuente oficial antes de atribuir una asignatura literal.</x:v>
      </x:c>
    </x:row>
    <x:row r="55" ht="42" customHeight="1">
      <x:c r="A55" s="445" t="str">
        <x:v>REP-004</x:v>
      </x:c>
      <x:c r="B55" s="445" t="str">
        <x:v>Instalación y recuperación de sistemas operativos</x:v>
      </x:c>
      <x:c r="C55" s="445" t="str">
        <x:v>Soporte y reparación</x:v>
      </x:c>
      <x:c r="D55" s="445" t="str">
        <x:v>Fundamentos STEM</x:v>
      </x:c>
      <x:c r="E55" s="445" t="n">
        <x:v>2</x:v>
      </x:c>
      <x:c r="F55" s="445" t="n">
        <x:v>10</x:v>
      </x:c>
      <x:c r="G55" s="445" t="n">
        <x:v>3</x:v>
      </x:c>
      <x:c r="H55" s="445" t="str">
        <x:v>Purdue University; Rochester Institute of Technology; Northumbria University; De Montfort University; Universidad Nacional Autónoma de México; Tecnológico de Monterrey</x:v>
      </x:c>
      <x:c r="I55" s="445" t="str">
        <x:v>Cobertura de la familia temática; consultar la fuente oficial antes de atribuir una asignatura literal.</x:v>
      </x:c>
    </x:row>
    <x:row r="56" ht="42" customHeight="1">
      <x:c r="A56" s="442" t="str">
        <x:v>REP-005</x:v>
      </x:c>
      <x:c r="B56" s="442" t="str">
        <x:v>Diagnóstico de software y rendimiento</x:v>
      </x:c>
      <x:c r="C56" s="442" t="str">
        <x:v>Soporte y reparación</x:v>
      </x:c>
      <x:c r="D56" s="442" t="str">
        <x:v>Fundamentos STEM</x:v>
      </x:c>
      <x:c r="E56" s="442" t="n">
        <x:v>2</x:v>
      </x:c>
      <x:c r="F56" s="442" t="n">
        <x:v>10</x:v>
      </x:c>
      <x:c r="G56" s="442" t="n">
        <x:v>3</x:v>
      </x:c>
      <x:c r="H56" s="442" t="str">
        <x:v>Purdue University; Rochester Institute of Technology; Northumbria University; De Montfort University; Universidad Nacional Autónoma de México; Tecnológico de Monterrey</x:v>
      </x:c>
      <x:c r="I56" s="442" t="str">
        <x:v>Cobertura de la familia temática; consultar la fuente oficial antes de atribuir una asignatura literal.</x:v>
      </x:c>
    </x:row>
    <x:row r="57" ht="42" customHeight="1">
      <x:c r="A57" s="445" t="str">
        <x:v>REP-006</x:v>
      </x:c>
      <x:c r="B57" s="445" t="str">
        <x:v>Diagnóstico eléctrico y uso de multímetro</x:v>
      </x:c>
      <x:c r="C57" s="445" t="str">
        <x:v>Soporte y reparación</x:v>
      </x:c>
      <x:c r="D57" s="445" t="str">
        <x:v>Fundamentos STEM</x:v>
      </x:c>
      <x:c r="E57" s="445" t="n">
        <x:v>2</x:v>
      </x:c>
      <x:c r="F57" s="445" t="n">
        <x:v>10</x:v>
      </x:c>
      <x:c r="G57" s="445" t="n">
        <x:v>3</x:v>
      </x:c>
      <x:c r="H57" s="445" t="str">
        <x:v>Purdue University; Rochester Institute of Technology; Northumbria University; De Montfort University; Universidad Nacional Autónoma de México; Tecnológico de Monterrey</x:v>
      </x:c>
      <x:c r="I57" s="445" t="str">
        <x:v>Cobertura de la familia temática; consultar la fuente oficial antes de atribuir una asignatura literal.</x:v>
      </x:c>
    </x:row>
    <x:row r="58" ht="42" customHeight="1">
      <x:c r="A58" s="442" t="str">
        <x:v>REP-007</x:v>
      </x:c>
      <x:c r="B58" s="442" t="str">
        <x:v>Mantenimiento preventivo</x:v>
      </x:c>
      <x:c r="C58" s="442" t="str">
        <x:v>Soporte y reparación</x:v>
      </x:c>
      <x:c r="D58" s="442" t="str">
        <x:v>Fundamentos STEM</x:v>
      </x:c>
      <x:c r="E58" s="442" t="n">
        <x:v>2</x:v>
      </x:c>
      <x:c r="F58" s="442" t="n">
        <x:v>10</x:v>
      </x:c>
      <x:c r="G58" s="442" t="n">
        <x:v>3</x:v>
      </x:c>
      <x:c r="H58" s="442" t="str">
        <x:v>Purdue University; Rochester Institute of Technology; Northumbria University; De Montfort University; Universidad Nacional Autónoma de México; Tecnológico de Monterrey</x:v>
      </x:c>
      <x:c r="I58" s="442" t="str">
        <x:v>Cobertura de la familia temática; consultar la fuente oficial antes de atribuir una asignatura literal.</x:v>
      </x:c>
    </x:row>
    <x:row r="59" ht="42" customHeight="1">
      <x:c r="A59" s="445" t="str">
        <x:v>DAI-001</x:v>
      </x:c>
      <x:c r="B59" s="445" t="str">
        <x:v>Fundamentos de datos y SQL</x:v>
      </x:c>
      <x:c r="C59" s="445" t="str">
        <x:v>Datos, BI e IA</x:v>
      </x:c>
      <x:c r="D59" s="445" t="str">
        <x:v>Núcleo computacional</x:v>
      </x:c>
      <x:c r="E59" s="445" t="n">
        <x:v>1</x:v>
      </x:c>
      <x:c r="F59" s="445" t="n">
        <x:v>145</x:v>
      </x:c>
      <x:c r="G59" s="445" t="n">
        <x:v>19</x:v>
      </x:c>
      <x:c r="H59" s="445" t="str">
        <x:v>Massachusetts Institute of Technology (MIT); Stanford University; Carnegie Mellon University; University of California, Berkeley; Harvard University; Princeton University</x:v>
      </x:c>
      <x:c r="I59" s="445" t="str">
        <x:v>Cobertura de la familia temática; consultar la fuente oficial antes de atribuir una asignatura literal.</x:v>
      </x:c>
    </x:row>
    <x:row r="60" ht="42" customHeight="1">
      <x:c r="A60" s="442" t="str">
        <x:v>DAI-002</x:v>
      </x:c>
      <x:c r="B60" s="442" t="str">
        <x:v>Diseño de bases de datos relacionales</x:v>
      </x:c>
      <x:c r="C60" s="442" t="str">
        <x:v>Datos, BI e IA</x:v>
      </x:c>
      <x:c r="D60" s="442" t="str">
        <x:v>Núcleo computacional</x:v>
      </x:c>
      <x:c r="E60" s="442" t="n">
        <x:v>1</x:v>
      </x:c>
      <x:c r="F60" s="442" t="n">
        <x:v>145</x:v>
      </x:c>
      <x:c r="G60" s="442" t="n">
        <x:v>19</x:v>
      </x:c>
      <x:c r="H60" s="442" t="str">
        <x:v>Massachusetts Institute of Technology (MIT); Stanford University; Carnegie Mellon University; University of California, Berkeley; Harvard University; Princeton University</x:v>
      </x:c>
      <x:c r="I60" s="442" t="str">
        <x:v>Cobertura de la familia temática; consultar la fuente oficial antes de atribuir una asignatura literal.</x:v>
      </x:c>
    </x:row>
    <x:row r="61" ht="42" customHeight="1">
      <x:c r="A61" s="445" t="str">
        <x:v>DAI-003</x:v>
      </x:c>
      <x:c r="B61" s="445" t="str">
        <x:v>SQL avanzado y optimización de consultas</x:v>
      </x:c>
      <x:c r="C61" s="445" t="str">
        <x:v>Datos, BI e IA</x:v>
      </x:c>
      <x:c r="D61" s="445" t="str">
        <x:v>Núcleo computacional</x:v>
      </x:c>
      <x:c r="E61" s="445" t="n">
        <x:v>1</x:v>
      </x:c>
      <x:c r="F61" s="445" t="n">
        <x:v>145</x:v>
      </x:c>
      <x:c r="G61" s="445" t="n">
        <x:v>19</x:v>
      </x:c>
      <x:c r="H61" s="445" t="str">
        <x:v>Massachusetts Institute of Technology (MIT); Stanford University; Carnegie Mellon University; University of California, Berkeley; Harvard University; Princeton University</x:v>
      </x:c>
      <x:c r="I61" s="445" t="str">
        <x:v>Cobertura de la familia temática; consultar la fuente oficial antes de atribuir una asignatura literal.</x:v>
      </x:c>
    </x:row>
    <x:row r="62" ht="42" customHeight="1">
      <x:c r="A62" s="442" t="str">
        <x:v>DAI-004</x:v>
      </x:c>
      <x:c r="B62" s="442" t="str">
        <x:v>Administración de bases de datos</x:v>
      </x:c>
      <x:c r="C62" s="442" t="str">
        <x:v>Datos, BI e IA</x:v>
      </x:c>
      <x:c r="D62" s="442" t="str">
        <x:v>Núcleo computacional</x:v>
      </x:c>
      <x:c r="E62" s="442" t="n">
        <x:v>1</x:v>
      </x:c>
      <x:c r="F62" s="442" t="n">
        <x:v>145</x:v>
      </x:c>
      <x:c r="G62" s="442" t="n">
        <x:v>19</x:v>
      </x:c>
      <x:c r="H62" s="442" t="str">
        <x:v>Massachusetts Institute of Technology (MIT); Stanford University; Carnegie Mellon University; University of California, Berkeley; Harvard University; Princeton University</x:v>
      </x:c>
      <x:c r="I62" s="442" t="str">
        <x:v>Cobertura de la familia temática; consultar la fuente oficial antes de atribuir una asignatura literal.</x:v>
      </x:c>
    </x:row>
    <x:row r="63" ht="42" customHeight="1">
      <x:c r="A63" s="445" t="str">
        <x:v>DAI-005</x:v>
      </x:c>
      <x:c r="B63" s="445" t="str">
        <x:v>Bases de datos NoSQL</x:v>
      </x:c>
      <x:c r="C63" s="445" t="str">
        <x:v>Datos, BI e IA</x:v>
      </x:c>
      <x:c r="D63" s="445" t="str">
        <x:v>Núcleo computacional</x:v>
      </x:c>
      <x:c r="E63" s="445" t="n">
        <x:v>1</x:v>
      </x:c>
      <x:c r="F63" s="445" t="n">
        <x:v>145</x:v>
      </x:c>
      <x:c r="G63" s="445" t="n">
        <x:v>19</x:v>
      </x:c>
      <x:c r="H63" s="445" t="str">
        <x:v>Massachusetts Institute of Technology (MIT); Stanford University; Carnegie Mellon University; University of California, Berkeley; Harvard University; Princeton University</x:v>
      </x:c>
      <x:c r="I63" s="445" t="str">
        <x:v>Cobertura de la familia temática; consultar la fuente oficial antes de atribuir una asignatura literal.</x:v>
      </x:c>
    </x:row>
    <x:row r="64" ht="42" customHeight="1">
      <x:c r="A64" s="442" t="str">
        <x:v>DAI-006</x:v>
      </x:c>
      <x:c r="B64" s="442" t="str">
        <x:v>Bases de datos distribuidas</x:v>
      </x:c>
      <x:c r="C64" s="442" t="str">
        <x:v>Datos, BI e IA</x:v>
      </x:c>
      <x:c r="D64" s="442" t="str">
        <x:v>Núcleo computacional</x:v>
      </x:c>
      <x:c r="E64" s="442" t="n">
        <x:v>1</x:v>
      </x:c>
      <x:c r="F64" s="442" t="n">
        <x:v>145</x:v>
      </x:c>
      <x:c r="G64" s="442" t="n">
        <x:v>19</x:v>
      </x:c>
      <x:c r="H64" s="442" t="str">
        <x:v>Massachusetts Institute of Technology (MIT); Stanford University; Carnegie Mellon University; University of California, Berkeley; Harvard University; Princeton University</x:v>
      </x:c>
      <x:c r="I64" s="442" t="str">
        <x:v>Cobertura de la familia temática; consultar la fuente oficial antes de atribuir una asignatura literal.</x:v>
      </x:c>
    </x:row>
    <x:row r="65" ht="42" customHeight="1">
      <x:c r="A65" s="445" t="str">
        <x:v>MED-007</x:v>
      </x:c>
      <x:c r="B65" s="445" t="str">
        <x:v>Diseño de identidad y branding</x:v>
      </x:c>
      <x:c r="C65" s="445" t="str">
        <x:v>Diseño, foto, cine y multimedia</x:v>
      </x:c>
      <x:c r="D65" s="445" t="str">
        <x:v>Núcleo computacional</x:v>
      </x:c>
      <x:c r="E65" s="445" t="n">
        <x:v>3</x:v>
      </x:c>
      <x:c r="F65" s="445" t="n">
        <x:v>32</x:v>
      </x:c>
      <x:c r="G65" s="445" t="n">
        <x:v>4</x:v>
      </x:c>
      <x:c r="H65" s="445" t="str">
        <x:v>Georgia Institute of Technology; New York University; University of Southern California; University of Maryland, College Park; University of Pennsylvania; Simon Fraser University</x:v>
      </x:c>
      <x:c r="I65" s="445" t="str">
        <x:v>Cobertura de la familia temática; consultar la fuente oficial antes de atribuir una asignatura literal.</x:v>
      </x:c>
    </x:row>
    <x:row r="66" ht="42" customHeight="1">
      <x:c r="A66" s="442" t="str">
        <x:v>MED-008</x:v>
      </x:c>
      <x:c r="B66" s="442" t="str">
        <x:v>Diseño editorial</x:v>
      </x:c>
      <x:c r="C66" s="442" t="str">
        <x:v>Diseño, foto, cine y multimedia</x:v>
      </x:c>
      <x:c r="D66" s="442" t="str">
        <x:v>Núcleo computacional</x:v>
      </x:c>
      <x:c r="E66" s="442" t="n">
        <x:v>3</x:v>
      </x:c>
      <x:c r="F66" s="442" t="n">
        <x:v>32</x:v>
      </x:c>
      <x:c r="G66" s="442" t="n">
        <x:v>4</x:v>
      </x:c>
      <x:c r="H66" s="442" t="str">
        <x:v>Georgia Institute of Technology; New York University; University of Southern California; University of Maryland, College Park; University of Pennsylvania; Simon Fraser University</x:v>
      </x:c>
      <x:c r="I66" s="442" t="str">
        <x:v>Cobertura de la familia temática; consultar la fuente oficial antes de atribuir una asignatura literal.</x:v>
      </x:c>
    </x:row>
    <x:row r="67" ht="42" customHeight="1">
      <x:c r="A67" s="445" t="str">
        <x:v>MED-009</x:v>
      </x:c>
      <x:c r="B67" s="445" t="str">
        <x:v>Diseño de información e infografía</x:v>
      </x:c>
      <x:c r="C67" s="445" t="str">
        <x:v>Diseño, foto, cine y multimedia</x:v>
      </x:c>
      <x:c r="D67" s="445" t="str">
        <x:v>Núcleo computacional</x:v>
      </x:c>
      <x:c r="E67" s="445" t="n">
        <x:v>3</x:v>
      </x:c>
      <x:c r="F67" s="445" t="n">
        <x:v>32</x:v>
      </x:c>
      <x:c r="G67" s="445" t="n">
        <x:v>4</x:v>
      </x:c>
      <x:c r="H67" s="445" t="str">
        <x:v>Georgia Institute of Technology; New York University; University of Southern California; University of Maryland, College Park; University of Pennsylvania; Simon Fraser University</x:v>
      </x:c>
      <x:c r="I67" s="445" t="str">
        <x:v>Cobertura de la familia temática; consultar la fuente oficial antes de atribuir una asignatura literal.</x:v>
      </x:c>
    </x:row>
    <x:row r="68" ht="42" customHeight="1">
      <x:c r="A68" s="442" t="str">
        <x:v>MED-010</x:v>
      </x:c>
      <x:c r="B68" s="442" t="str">
        <x:v>Diseño publicitario</x:v>
      </x:c>
      <x:c r="C68" s="442" t="str">
        <x:v>Diseño, foto, cine y multimedia</x:v>
      </x:c>
      <x:c r="D68" s="442" t="str">
        <x:v>Núcleo computacional</x:v>
      </x:c>
      <x:c r="E68" s="442" t="n">
        <x:v>3</x:v>
      </x:c>
      <x:c r="F68" s="442" t="n">
        <x:v>32</x:v>
      </x:c>
      <x:c r="G68" s="442" t="n">
        <x:v>4</x:v>
      </x:c>
      <x:c r="H68" s="442" t="str">
        <x:v>Georgia Institute of Technology; New York University; University of Southern California; University of Maryland, College Park; University of Pennsylvania; Simon Fraser University</x:v>
      </x:c>
      <x:c r="I68" s="442" t="str">
        <x:v>Cobertura de la familia temática; consultar la fuente oficial antes de atribuir una asignatura literal.</x:v>
      </x:c>
    </x:row>
    <x:row r="69" ht="42" customHeight="1">
      <x:c r="A69" s="445" t="str">
        <x:v>MED-011</x:v>
      </x:c>
      <x:c r="B69" s="445" t="str">
        <x:v>Diseño UI</x:v>
      </x:c>
      <x:c r="C69" s="445" t="str">
        <x:v>Diseño, foto, cine y multimedia</x:v>
      </x:c>
      <x:c r="D69" s="445" t="str">
        <x:v>Núcleo computacional</x:v>
      </x:c>
      <x:c r="E69" s="445" t="n">
        <x:v>3</x:v>
      </x:c>
      <x:c r="F69" s="445" t="n">
        <x:v>32</x:v>
      </x:c>
      <x:c r="G69" s="445" t="n">
        <x:v>4</x:v>
      </x:c>
      <x:c r="H69" s="445" t="str">
        <x:v>Georgia Institute of Technology; New York University; University of Southern California; University of Maryland, College Park; University of Pennsylvania; Simon Fraser University</x:v>
      </x:c>
      <x:c r="I69" s="445" t="str">
        <x:v>Cobertura de la familia temática; consultar la fuente oficial antes de atribuir una asignatura literal.</x:v>
      </x:c>
    </x:row>
    <x:row r="70" ht="42" customHeight="1">
      <x:c r="A70" s="442" t="str">
        <x:v>MED-012</x:v>
      </x:c>
      <x:c r="B70" s="442" t="str">
        <x:v>Sistemas de diseño</x:v>
      </x:c>
      <x:c r="C70" s="442" t="str">
        <x:v>Diseño, foto, cine y multimedia</x:v>
      </x:c>
      <x:c r="D70" s="442" t="str">
        <x:v>Núcleo computacional</x:v>
      </x:c>
      <x:c r="E70" s="442" t="n">
        <x:v>3</x:v>
      </x:c>
      <x:c r="F70" s="442" t="n">
        <x:v>32</x:v>
      </x:c>
      <x:c r="G70" s="442" t="n">
        <x:v>4</x:v>
      </x:c>
      <x:c r="H70" s="442" t="str">
        <x:v>Georgia Institute of Technology; New York University; University of Southern California; University of Maryland, College Park; University of Pennsylvania; Simon Fraser University</x:v>
      </x:c>
      <x:c r="I70" s="442" t="str">
        <x:v>Cobertura de la familia temática; consultar la fuente oficial antes de atribuir una asignatura literal.</x:v>
      </x:c>
    </x:row>
    <x:row r="71" ht="42" customHeight="1">
      <x:c r="A71" s="445" t="str">
        <x:v>MED-019</x:v>
      </x:c>
      <x:c r="B71" s="445" t="str">
        <x:v>Fotografía I: exposición y composición</x:v>
      </x:c>
      <x:c r="C71" s="445" t="str">
        <x:v>Diseño, foto, cine y multimedia</x:v>
      </x:c>
      <x:c r="D71" s="445" t="str">
        <x:v>Núcleo computacional</x:v>
      </x:c>
      <x:c r="E71" s="445" t="n">
        <x:v>3</x:v>
      </x:c>
      <x:c r="F71" s="445" t="n">
        <x:v>32</x:v>
      </x:c>
      <x:c r="G71" s="445" t="n">
        <x:v>4</x:v>
      </x:c>
      <x:c r="H71" s="445" t="str">
        <x:v>Georgia Institute of Technology; New York University; University of Southern California; University of Maryland, College Park; University of Pennsylvania; Simon Fraser University</x:v>
      </x:c>
      <x:c r="I71" s="445" t="str">
        <x:v>Cobertura de la familia temática; consultar la fuente oficial antes de atribuir una asignatura literal.</x:v>
      </x:c>
    </x:row>
    <x:row r="72" ht="42" customHeight="1">
      <x:c r="A72" s="442" t="str">
        <x:v>MED-020</x:v>
      </x:c>
      <x:c r="B72" s="442" t="str">
        <x:v>Fotografía II: iluminación y dirección</x:v>
      </x:c>
      <x:c r="C72" s="442" t="str">
        <x:v>Diseño, foto, cine y multimedia</x:v>
      </x:c>
      <x:c r="D72" s="442" t="str">
        <x:v>Núcleo computacional</x:v>
      </x:c>
      <x:c r="E72" s="442" t="n">
        <x:v>3</x:v>
      </x:c>
      <x:c r="F72" s="442" t="n">
        <x:v>32</x:v>
      </x:c>
      <x:c r="G72" s="442" t="n">
        <x:v>4</x:v>
      </x:c>
      <x:c r="H72" s="442" t="str">
        <x:v>Georgia Institute of Technology; New York University; University of Southern California; University of Maryland, College Park; University of Pennsylvania; Simon Fraser University</x:v>
      </x:c>
      <x:c r="I72" s="442" t="str">
        <x:v>Cobertura de la familia temática; consultar la fuente oficial antes de atribuir una asignatura literal.</x:v>
      </x:c>
    </x:row>
    <x:row r="73" ht="42" customHeight="1">
      <x:c r="A73" s="445" t="str">
        <x:v>MED-021</x:v>
      </x:c>
      <x:c r="B73" s="445" t="str">
        <x:v>Fotografía documental y periodística</x:v>
      </x:c>
      <x:c r="C73" s="445" t="str">
        <x:v>Diseño, foto, cine y multimedia</x:v>
      </x:c>
      <x:c r="D73" s="445" t="str">
        <x:v>Núcleo computacional</x:v>
      </x:c>
      <x:c r="E73" s="445" t="n">
        <x:v>3</x:v>
      </x:c>
      <x:c r="F73" s="445" t="n">
        <x:v>32</x:v>
      </x:c>
      <x:c r="G73" s="445" t="n">
        <x:v>4</x:v>
      </x:c>
      <x:c r="H73" s="445" t="str">
        <x:v>Georgia Institute of Technology; New York University; University of Southern California; University of Maryland, College Park; University of Pennsylvania; Simon Fraser University</x:v>
      </x:c>
      <x:c r="I73" s="445" t="str">
        <x:v>Cobertura de la familia temática; consultar la fuente oficial antes de atribuir una asignatura literal.</x:v>
      </x:c>
    </x:row>
    <x:row r="74" ht="42" customHeight="1">
      <x:c r="A74" s="442" t="str">
        <x:v>MED-022</x:v>
      </x:c>
      <x:c r="B74" s="442" t="str">
        <x:v>Fotografía publicitaria y de producto</x:v>
      </x:c>
      <x:c r="C74" s="442" t="str">
        <x:v>Diseño, foto, cine y multimedia</x:v>
      </x:c>
      <x:c r="D74" s="442" t="str">
        <x:v>Núcleo computacional</x:v>
      </x:c>
      <x:c r="E74" s="442" t="n">
        <x:v>3</x:v>
      </x:c>
      <x:c r="F74" s="442" t="n">
        <x:v>32</x:v>
      </x:c>
      <x:c r="G74" s="442" t="n">
        <x:v>4</x:v>
      </x:c>
      <x:c r="H74" s="442" t="str">
        <x:v>Georgia Institute of Technology; New York University; University of Southern California; University of Maryland, College Park; University of Pennsylvania; Simon Fraser University</x:v>
      </x:c>
      <x:c r="I74" s="442" t="str">
        <x:v>Cobertura de la familia temática; consultar la fuente oficial antes de atribuir una asignatura literal.</x:v>
      </x:c>
    </x:row>
    <x:row r="75" ht="42" customHeight="1">
      <x:c r="A75" s="445" t="str">
        <x:v>MED-023</x:v>
      </x:c>
      <x:c r="B75" s="445" t="str">
        <x:v>Revelado digital y gestión de color</x:v>
      </x:c>
      <x:c r="C75" s="445" t="str">
        <x:v>Diseño, foto, cine y multimedia</x:v>
      </x:c>
      <x:c r="D75" s="445" t="str">
        <x:v>Núcleo computacional</x:v>
      </x:c>
      <x:c r="E75" s="445" t="n">
        <x:v>3</x:v>
      </x:c>
      <x:c r="F75" s="445" t="n">
        <x:v>32</x:v>
      </x:c>
      <x:c r="G75" s="445" t="n">
        <x:v>4</x:v>
      </x:c>
      <x:c r="H75" s="445" t="str">
        <x:v>Georgia Institute of Technology; New York University; University of Southern California; University of Maryland, College Park; University of Pennsylvania; Simon Fraser University</x:v>
      </x:c>
      <x:c r="I75" s="445" t="str">
        <x:v>Cobertura de la familia temática; consultar la fuente oficial antes de atribuir una asignatura literal.</x:v>
      </x:c>
    </x:row>
    <x:row r="76" ht="42" customHeight="1">
      <x:c r="A76" s="442" t="str">
        <x:v>MED-024</x:v>
      </x:c>
      <x:c r="B76" s="442" t="str">
        <x:v>Historia y lenguaje del cine</x:v>
      </x:c>
      <x:c r="C76" s="442" t="str">
        <x:v>Diseño, foto, cine y multimedia</x:v>
      </x:c>
      <x:c r="D76" s="442" t="str">
        <x:v>Núcleo computacional</x:v>
      </x:c>
      <x:c r="E76" s="442" t="n">
        <x:v>3</x:v>
      </x:c>
      <x:c r="F76" s="442" t="n">
        <x:v>32</x:v>
      </x:c>
      <x:c r="G76" s="442" t="n">
        <x:v>4</x:v>
      </x:c>
      <x:c r="H76" s="442" t="str">
        <x:v>Georgia Institute of Technology; New York University; University of Southern California; University of Maryland, College Park; University of Pennsylvania; Simon Fraser University</x:v>
      </x:c>
      <x:c r="I76" s="442" t="str">
        <x:v>Cobertura de la familia temática; consultar la fuente oficial antes de atribuir una asignatura literal.</x:v>
      </x:c>
    </x:row>
    <x:row r="77" ht="42" customHeight="1">
      <x:c r="A77" s="445" t="str">
        <x:v>MED-025</x:v>
      </x:c>
      <x:c r="B77" s="445" t="str">
        <x:v>Guion y narrativa audiovisual</x:v>
      </x:c>
      <x:c r="C77" s="445" t="str">
        <x:v>Diseño, foto, cine y multimedia</x:v>
      </x:c>
      <x:c r="D77" s="445" t="str">
        <x:v>Núcleo computacional</x:v>
      </x:c>
      <x:c r="E77" s="445" t="n">
        <x:v>3</x:v>
      </x:c>
      <x:c r="F77" s="445" t="n">
        <x:v>32</x:v>
      </x:c>
      <x:c r="G77" s="445" t="n">
        <x:v>4</x:v>
      </x:c>
      <x:c r="H77" s="445" t="str">
        <x:v>Georgia Institute of Technology; New York University; University of Southern California; University of Maryland, College Park; University of Pennsylvania; Simon Fraser University</x:v>
      </x:c>
      <x:c r="I77" s="445" t="str">
        <x:v>Cobertura de la familia temática; consultar la fuente oficial antes de atribuir una asignatura literal.</x:v>
      </x:c>
    </x:row>
    <x:row r="78" ht="42" customHeight="1">
      <x:c r="A78" s="442" t="str">
        <x:v>EIO-001</x:v>
      </x:c>
      <x:c r="B78" s="442" t="str">
        <x:v>Electricidad y seguridad de laboratorio</x:v>
      </x:c>
      <x:c r="C78" s="442" t="str">
        <x:v>Electrónica, embebidos e IoT</x:v>
      </x:c>
      <x:c r="D78" s="442" t="str">
        <x:v>Núcleo computacional</x:v>
      </x:c>
      <x:c r="E78" s="442" t="n">
        <x:v>1</x:v>
      </x:c>
      <x:c r="F78" s="442" t="n">
        <x:v>128</x:v>
      </x:c>
      <x:c r="G78" s="442" t="n">
        <x:v>17</x:v>
      </x:c>
      <x:c r="H78" s="442" t="str">
        <x:v>Massachusetts Institute of Technology (MIT); Stanford University; Carnegie Mellon University; University of California, Berkeley; Harvard University; Princeton University</x:v>
      </x:c>
      <x:c r="I78" s="442" t="str">
        <x:v>Cobertura de la familia temática; consultar la fuente oficial antes de atribuir una asignatura literal.</x:v>
      </x:c>
    </x:row>
    <x:row r="79" ht="42" customHeight="1">
      <x:c r="A79" s="445" t="str">
        <x:v>EIO-002</x:v>
      </x:c>
      <x:c r="B79" s="445" t="str">
        <x:v>Circuitos eléctricos I</x:v>
      </x:c>
      <x:c r="C79" s="445" t="str">
        <x:v>Electrónica, embebidos e IoT</x:v>
      </x:c>
      <x:c r="D79" s="445" t="str">
        <x:v>Núcleo computacional</x:v>
      </x:c>
      <x:c r="E79" s="445" t="n">
        <x:v>1</x:v>
      </x:c>
      <x:c r="F79" s="445" t="n">
        <x:v>128</x:v>
      </x:c>
      <x:c r="G79" s="445" t="n">
        <x:v>17</x:v>
      </x:c>
      <x:c r="H79" s="445" t="str">
        <x:v>Massachusetts Institute of Technology (MIT); Stanford University; Carnegie Mellon University; University of California, Berkeley; Harvard University; Princeton University</x:v>
      </x:c>
      <x:c r="I79" s="445" t="str">
        <x:v>Cobertura de la familia temática; consultar la fuente oficial antes de atribuir una asignatura literal.</x:v>
      </x:c>
    </x:row>
    <x:row r="80" ht="42" customHeight="1">
      <x:c r="A80" s="442" t="str">
        <x:v>EIO-003</x:v>
      </x:c>
      <x:c r="B80" s="442" t="str">
        <x:v>Circuitos eléctricos II</x:v>
      </x:c>
      <x:c r="C80" s="442" t="str">
        <x:v>Electrónica, embebidos e IoT</x:v>
      </x:c>
      <x:c r="D80" s="442" t="str">
        <x:v>Núcleo computacional</x:v>
      </x:c>
      <x:c r="E80" s="442" t="n">
        <x:v>1</x:v>
      </x:c>
      <x:c r="F80" s="442" t="n">
        <x:v>128</x:v>
      </x:c>
      <x:c r="G80" s="442" t="n">
        <x:v>17</x:v>
      </x:c>
      <x:c r="H80" s="442" t="str">
        <x:v>Massachusetts Institute of Technology (MIT); Stanford University; Carnegie Mellon University; University of California, Berkeley; Harvard University; Princeton University</x:v>
      </x:c>
      <x:c r="I80" s="442" t="str">
        <x:v>Cobertura de la familia temática; consultar la fuente oficial antes de atribuir una asignatura literal.</x:v>
      </x:c>
    </x:row>
    <x:row r="81" ht="42" customHeight="1">
      <x:c r="A81" s="445" t="str">
        <x:v>EIO-004</x:v>
      </x:c>
      <x:c r="B81" s="445" t="str">
        <x:v>Electrónica analógica I</x:v>
      </x:c>
      <x:c r="C81" s="445" t="str">
        <x:v>Electrónica, embebidos e IoT</x:v>
      </x:c>
      <x:c r="D81" s="445" t="str">
        <x:v>Núcleo computacional</x:v>
      </x:c>
      <x:c r="E81" s="445" t="n">
        <x:v>1</x:v>
      </x:c>
      <x:c r="F81" s="445" t="n">
        <x:v>128</x:v>
      </x:c>
      <x:c r="G81" s="445" t="n">
        <x:v>17</x:v>
      </x:c>
      <x:c r="H81" s="445" t="str">
        <x:v>Massachusetts Institute of Technology (MIT); Stanford University; Carnegie Mellon University; University of California, Berkeley; Harvard University; Princeton University</x:v>
      </x:c>
      <x:c r="I81" s="445" t="str">
        <x:v>Cobertura de la familia temática; consultar la fuente oficial antes de atribuir una asignatura literal.</x:v>
      </x:c>
    </x:row>
    <x:row r="82" ht="42" customHeight="1">
      <x:c r="A82" s="442" t="str">
        <x:v>EIO-005</x:v>
      </x:c>
      <x:c r="B82" s="442" t="str">
        <x:v>Electrónica analógica II</x:v>
      </x:c>
      <x:c r="C82" s="442" t="str">
        <x:v>Electrónica, embebidos e IoT</x:v>
      </x:c>
      <x:c r="D82" s="442" t="str">
        <x:v>Núcleo computacional</x:v>
      </x:c>
      <x:c r="E82" s="442" t="n">
        <x:v>1</x:v>
      </x:c>
      <x:c r="F82" s="442" t="n">
        <x:v>128</x:v>
      </x:c>
      <x:c r="G82" s="442" t="n">
        <x:v>17</x:v>
      </x:c>
      <x:c r="H82" s="442" t="str">
        <x:v>Massachusetts Institute of Technology (MIT); Stanford University; Carnegie Mellon University; University of California, Berkeley; Harvard University; Princeton University</x:v>
      </x:c>
      <x:c r="I82" s="442" t="str">
        <x:v>Cobertura de la familia temática; consultar la fuente oficial antes de atribuir una asignatura literal.</x:v>
      </x:c>
    </x:row>
    <x:row r="83" ht="42" customHeight="1">
      <x:c r="A83" s="445" t="str">
        <x:v>EIO-006</x:v>
      </x:c>
      <x:c r="B83" s="445" t="str">
        <x:v>Electrónica digital</x:v>
      </x:c>
      <x:c r="C83" s="445" t="str">
        <x:v>Electrónica, embebidos e IoT</x:v>
      </x:c>
      <x:c r="D83" s="445" t="str">
        <x:v>Núcleo computacional</x:v>
      </x:c>
      <x:c r="E83" s="445" t="n">
        <x:v>1</x:v>
      </x:c>
      <x:c r="F83" s="445" t="n">
        <x:v>128</x:v>
      </x:c>
      <x:c r="G83" s="445" t="n">
        <x:v>17</x:v>
      </x:c>
      <x:c r="H83" s="445" t="str">
        <x:v>Massachusetts Institute of Technology (MIT); Stanford University; Carnegie Mellon University; University of California, Berkeley; Harvard University; Princeton University</x:v>
      </x:c>
      <x:c r="I83" s="445" t="str">
        <x:v>Cobertura de la familia temática; consultar la fuente oficial antes de atribuir una asignatura literal.</x:v>
      </x:c>
    </x:row>
    <x:row r="84" ht="42" customHeight="1">
      <x:c r="A84" s="442" t="str">
        <x:v>SWE-001</x:v>
      </x:c>
      <x:c r="B84" s="442" t="str">
        <x:v>Fundamentos de ingeniería de software</x:v>
      </x:c>
      <x:c r="C84" s="442" t="str">
        <x:v>Ingeniería de software</x:v>
      </x:c>
      <x:c r="D84" s="442" t="str">
        <x:v>Núcleo computacional</x:v>
      </x:c>
      <x:c r="E84" s="442" t="n">
        <x:v>1</x:v>
      </x:c>
      <x:c r="F84" s="442" t="n">
        <x:v>147</x:v>
      </x:c>
      <x:c r="G84" s="442" t="n">
        <x:v>19</x:v>
      </x:c>
      <x:c r="H84" s="442" t="str">
        <x:v>Massachusetts Institute of Technology (MIT); Stanford University; Carnegie Mellon University; University of California, Berkeley; Harvard University; Princeton University</x:v>
      </x:c>
      <x:c r="I84" s="442" t="str">
        <x:v>Cobertura de la familia temática; consultar la fuente oficial antes de atribuir una asignatura literal.</x:v>
      </x:c>
    </x:row>
    <x:row r="85" ht="42" customHeight="1">
      <x:c r="A85" s="445" t="str">
        <x:v>SWE-002</x:v>
      </x:c>
      <x:c r="B85" s="445" t="str">
        <x:v>Requisitos y especificación</x:v>
      </x:c>
      <x:c r="C85" s="445" t="str">
        <x:v>Ingeniería de software</x:v>
      </x:c>
      <x:c r="D85" s="445" t="str">
        <x:v>Núcleo computacional</x:v>
      </x:c>
      <x:c r="E85" s="445" t="n">
        <x:v>1</x:v>
      </x:c>
      <x:c r="F85" s="445" t="n">
        <x:v>147</x:v>
      </x:c>
      <x:c r="G85" s="445" t="n">
        <x:v>19</x:v>
      </x:c>
      <x:c r="H85" s="445" t="str">
        <x:v>Massachusetts Institute of Technology (MIT); Stanford University; Carnegie Mellon University; University of California, Berkeley; Harvard University; Princeton University</x:v>
      </x:c>
      <x:c r="I85" s="445" t="str">
        <x:v>Cobertura de la familia temática; consultar la fuente oficial antes de atribuir una asignatura literal.</x:v>
      </x:c>
    </x:row>
    <x:row r="86" ht="42" customHeight="1">
      <x:c r="A86" s="442" t="str">
        <x:v>SWE-003</x:v>
      </x:c>
      <x:c r="B86" s="442" t="str">
        <x:v>Análisis y diseño orientado a objetos con UML</x:v>
      </x:c>
      <x:c r="C86" s="442" t="str">
        <x:v>Ingeniería de software</x:v>
      </x:c>
      <x:c r="D86" s="442" t="str">
        <x:v>Núcleo computacional</x:v>
      </x:c>
      <x:c r="E86" s="442" t="n">
        <x:v>1</x:v>
      </x:c>
      <x:c r="F86" s="442" t="n">
        <x:v>147</x:v>
      </x:c>
      <x:c r="G86" s="442" t="n">
        <x:v>19</x:v>
      </x:c>
      <x:c r="H86" s="442" t="str">
        <x:v>Massachusetts Institute of Technology (MIT); Stanford University; Carnegie Mellon University; University of California, Berkeley; Harvard University; Princeton University</x:v>
      </x:c>
      <x:c r="I86" s="442" t="str">
        <x:v>Cobertura de la familia temática; consultar la fuente oficial antes de atribuir una asignatura literal.</x:v>
      </x:c>
    </x:row>
    <x:row r="87" ht="42" customHeight="1">
      <x:c r="A87" s="445" t="str">
        <x:v>SWE-004</x:v>
      </x:c>
      <x:c r="B87" s="445" t="str">
        <x:v>Patrones de diseño</x:v>
      </x:c>
      <x:c r="C87" s="445" t="str">
        <x:v>Ingeniería de software</x:v>
      </x:c>
      <x:c r="D87" s="445" t="str">
        <x:v>Núcleo computacional</x:v>
      </x:c>
      <x:c r="E87" s="445" t="n">
        <x:v>1</x:v>
      </x:c>
      <x:c r="F87" s="445" t="n">
        <x:v>147</x:v>
      </x:c>
      <x:c r="G87" s="445" t="n">
        <x:v>19</x:v>
      </x:c>
      <x:c r="H87" s="445" t="str">
        <x:v>Massachusetts Institute of Technology (MIT); Stanford University; Carnegie Mellon University; University of California, Berkeley; Harvard University; Princeton University</x:v>
      </x:c>
      <x:c r="I87" s="445" t="str">
        <x:v>Cobertura de la familia temática; consultar la fuente oficial antes de atribuir una asignatura literal.</x:v>
      </x:c>
    </x:row>
    <x:row r="88" ht="42" customHeight="1">
      <x:c r="A88" s="442" t="str">
        <x:v>SWE-005</x:v>
      </x:c>
      <x:c r="B88" s="442" t="str">
        <x:v>Arquitectura de software</x:v>
      </x:c>
      <x:c r="C88" s="442" t="str">
        <x:v>Ingeniería de software</x:v>
      </x:c>
      <x:c r="D88" s="442" t="str">
        <x:v>Núcleo computacional</x:v>
      </x:c>
      <x:c r="E88" s="442" t="n">
        <x:v>1</x:v>
      </x:c>
      <x:c r="F88" s="442" t="n">
        <x:v>147</x:v>
      </x:c>
      <x:c r="G88" s="442" t="n">
        <x:v>19</x:v>
      </x:c>
      <x:c r="H88" s="442" t="str">
        <x:v>Massachusetts Institute of Technology (MIT); Stanford University; Carnegie Mellon University; University of California, Berkeley; Harvard University; Princeton University</x:v>
      </x:c>
      <x:c r="I88" s="442" t="str">
        <x:v>Cobertura de la familia temática; consultar la fuente oficial antes de atribuir una asignatura literal.</x:v>
      </x:c>
    </x:row>
    <x:row r="89" ht="42" customHeight="1">
      <x:c r="A89" s="445" t="str">
        <x:v>SWE-006</x:v>
      </x:c>
      <x:c r="B89" s="445" t="str">
        <x:v>Calidad de software</x:v>
      </x:c>
      <x:c r="C89" s="445" t="str">
        <x:v>Ingeniería de software</x:v>
      </x:c>
      <x:c r="D89" s="445" t="str">
        <x:v>Núcleo computacional</x:v>
      </x:c>
      <x:c r="E89" s="445" t="n">
        <x:v>1</x:v>
      </x:c>
      <x:c r="F89" s="445" t="n">
        <x:v>147</x:v>
      </x:c>
      <x:c r="G89" s="445" t="n">
        <x:v>19</x:v>
      </x:c>
      <x:c r="H89" s="445" t="str">
        <x:v>Massachusetts Institute of Technology (MIT); Stanford University; Carnegie Mellon University; University of California, Berkeley; Harvard University; Princeton University</x:v>
      </x:c>
      <x:c r="I89" s="445" t="str">
        <x:v>Cobertura de la familia temática; consultar la fuente oficial antes de atribuir una asignatura literal.</x:v>
      </x:c>
    </x:row>
    <x:row r="90" ht="42" customHeight="1">
      <x:c r="A90" s="442" t="str">
        <x:v>SWE-007</x:v>
      </x:c>
      <x:c r="B90" s="442" t="str">
        <x:v>Pruebas de software I</x:v>
      </x:c>
      <x:c r="C90" s="442" t="str">
        <x:v>Ingeniería de software</x:v>
      </x:c>
      <x:c r="D90" s="442" t="str">
        <x:v>Núcleo computacional</x:v>
      </x:c>
      <x:c r="E90" s="442" t="n">
        <x:v>1</x:v>
      </x:c>
      <x:c r="F90" s="442" t="n">
        <x:v>147</x:v>
      </x:c>
      <x:c r="G90" s="442" t="n">
        <x:v>19</x:v>
      </x:c>
      <x:c r="H90" s="442" t="str">
        <x:v>Massachusetts Institute of Technology (MIT); Stanford University; Carnegie Mellon University; University of California, Berkeley; Harvard University; Princeton University</x:v>
      </x:c>
      <x:c r="I90" s="442" t="str">
        <x:v>Cobertura de la familia temática; consultar la fuente oficial antes de atribuir una asignatura literal.</x:v>
      </x:c>
    </x:row>
    <x:row r="91" ht="42" customHeight="1">
      <x:c r="A91" s="445" t="str">
        <x:v>CAP-006</x:v>
      </x:c>
      <x:c r="B91" s="445" t="str">
        <x:v>Contribución a proyectos open source</x:v>
      </x:c>
      <x:c r="C91" s="445" t="str">
        <x:v>Investigación, profesión y capstones</x:v>
      </x:c>
      <x:c r="D91" s="445" t="str">
        <x:v>Núcleo computacional</x:v>
      </x:c>
      <x:c r="E91" s="445" t="n">
        <x:v>1</x:v>
      </x:c>
      <x:c r="F91" s="445" t="n">
        <x:v>150</x:v>
      </x:c>
      <x:c r="G91" s="445" t="n">
        <x:v>20</x:v>
      </x:c>
      <x:c r="H91" s="445" t="str">
        <x:v>Massachusetts Institute of Technology (MIT); Stanford University; Carnegie Mellon University; University of California, Berkeley; Harvard University; Princeton University</x:v>
      </x:c>
      <x:c r="I91" s="445" t="str">
        <x:v>Cobertura de la familia temática; consultar la fuente oficial antes de atribuir una asignatura literal.</x:v>
      </x:c>
    </x:row>
    <x:row r="92" ht="42" customHeight="1">
      <x:c r="A92" s="442" t="str">
        <x:v>CAP-007</x:v>
      </x:c>
      <x:c r="B92" s="442" t="str">
        <x:v>Prácticas profesionales I</x:v>
      </x:c>
      <x:c r="C92" s="442" t="str">
        <x:v>Investigación, profesión y capstones</x:v>
      </x:c>
      <x:c r="D92" s="442" t="str">
        <x:v>Núcleo computacional</x:v>
      </x:c>
      <x:c r="E92" s="442" t="n">
        <x:v>1</x:v>
      </x:c>
      <x:c r="F92" s="442" t="n">
        <x:v>150</x:v>
      </x:c>
      <x:c r="G92" s="442" t="n">
        <x:v>20</x:v>
      </x:c>
      <x:c r="H92" s="442" t="str">
        <x:v>Massachusetts Institute of Technology (MIT); Stanford University; Carnegie Mellon University; University of California, Berkeley; Harvard University; Princeton University</x:v>
      </x:c>
      <x:c r="I92" s="442" t="str">
        <x:v>Cobertura de la familia temática; consultar la fuente oficial antes de atribuir una asignatura literal.</x:v>
      </x:c>
    </x:row>
    <x:row r="93" ht="42" customHeight="1">
      <x:c r="A93" s="445" t="str">
        <x:v>CAP-008</x:v>
      </x:c>
      <x:c r="B93" s="445" t="str">
        <x:v>Prácticas profesionales II</x:v>
      </x:c>
      <x:c r="C93" s="445" t="str">
        <x:v>Investigación, profesión y capstones</x:v>
      </x:c>
      <x:c r="D93" s="445" t="str">
        <x:v>Núcleo computacional</x:v>
      </x:c>
      <x:c r="E93" s="445" t="n">
        <x:v>1</x:v>
      </x:c>
      <x:c r="F93" s="445" t="n">
        <x:v>150</x:v>
      </x:c>
      <x:c r="G93" s="445" t="n">
        <x:v>20</x:v>
      </x:c>
      <x:c r="H93" s="445" t="str">
        <x:v>Massachusetts Institute of Technology (MIT); Stanford University; Carnegie Mellon University; University of California, Berkeley; Harvard University; Princeton University</x:v>
      </x:c>
      <x:c r="I93" s="445" t="str">
        <x:v>Cobertura de la familia temática; consultar la fuente oficial antes de atribuir una asignatura literal.</x:v>
      </x:c>
    </x:row>
    <x:row r="94" ht="42" customHeight="1">
      <x:c r="A94" s="442" t="str">
        <x:v>CAP-009</x:v>
      </x:c>
      <x:c r="B94" s="442" t="str">
        <x:v>Docencia, mentoría y divulgación tecnológica</x:v>
      </x:c>
      <x:c r="C94" s="442" t="str">
        <x:v>Investigación, profesión y capstones</x:v>
      </x:c>
      <x:c r="D94" s="442" t="str">
        <x:v>Núcleo computacional</x:v>
      </x:c>
      <x:c r="E94" s="442" t="n">
        <x:v>1</x:v>
      </x:c>
      <x:c r="F94" s="442" t="n">
        <x:v>150</x:v>
      </x:c>
      <x:c r="G94" s="442" t="n">
        <x:v>20</x:v>
      </x:c>
      <x:c r="H94" s="442" t="str">
        <x:v>Massachusetts Institute of Technology (MIT); Stanford University; Carnegie Mellon University; University of California, Berkeley; Harvard University; Princeton University</x:v>
      </x:c>
      <x:c r="I94" s="442" t="str">
        <x:v>Cobertura de la familia temática; consultar la fuente oficial antes de atribuir una asignatura literal.</x:v>
      </x:c>
    </x:row>
    <x:row r="95" ht="42" customHeight="1">
      <x:c r="A95" s="445" t="str">
        <x:v>CAP-010</x:v>
      </x:c>
      <x:c r="B95" s="445" t="str">
        <x:v>Gestión de carrera y marca profesional</x:v>
      </x:c>
      <x:c r="C95" s="445" t="str">
        <x:v>Investigación, profesión y capstones</x:v>
      </x:c>
      <x:c r="D95" s="445" t="str">
        <x:v>Núcleo computacional</x:v>
      </x:c>
      <x:c r="E95" s="445" t="n">
        <x:v>1</x:v>
      </x:c>
      <x:c r="F95" s="445" t="n">
        <x:v>150</x:v>
      </x:c>
      <x:c r="G95" s="445" t="n">
        <x:v>20</x:v>
      </x:c>
      <x:c r="H95" s="445" t="str">
        <x:v>Massachusetts Institute of Technology (MIT); Stanford University; Carnegie Mellon University; University of California, Berkeley; Harvard University; Princeton University</x:v>
      </x:c>
      <x:c r="I95" s="445" t="str">
        <x:v>Cobertura de la familia temática; consultar la fuente oficial antes de atribuir una asignatura literal.</x:v>
      </x:c>
    </x:row>
    <x:row r="96" ht="42" customHeight="1">
      <x:c r="A96" s="442" t="str">
        <x:v>MAT-008</x:v>
      </x:c>
      <x:c r="B96" s="442" t="str">
        <x:v>Matemática discreta I</x:v>
      </x:c>
      <x:c r="C96" s="442" t="str">
        <x:v>Matemática y ciencias</x:v>
      </x:c>
      <x:c r="D96" s="442" t="str">
        <x:v>Núcleo computacional</x:v>
      </x:c>
      <x:c r="E96" s="442" t="n">
        <x:v>1</x:v>
      </x:c>
      <x:c r="F96" s="442" t="n">
        <x:v>140</x:v>
      </x:c>
      <x:c r="G96" s="442" t="n">
        <x:v>18</x:v>
      </x:c>
      <x:c r="H96" s="442" t="str">
        <x:v>Massachusetts Institute of Technology (MIT); Stanford University; Carnegie Mellon University; University of California, Berkeley; Harvard University; Princeton University</x:v>
      </x:c>
      <x:c r="I96" s="442" t="str">
        <x:v>Cobertura de la familia temática; consultar la fuente oficial antes de atribuir una asignatura literal.</x:v>
      </x:c>
    </x:row>
    <x:row r="97" ht="42" customHeight="1">
      <x:c r="A97" s="445" t="str">
        <x:v>MAT-009</x:v>
      </x:c>
      <x:c r="B97" s="445" t="str">
        <x:v>Matemática discreta II</x:v>
      </x:c>
      <x:c r="C97" s="445" t="str">
        <x:v>Matemática y ciencias</x:v>
      </x:c>
      <x:c r="D97" s="445" t="str">
        <x:v>Núcleo computacional</x:v>
      </x:c>
      <x:c r="E97" s="445" t="n">
        <x:v>1</x:v>
      </x:c>
      <x:c r="F97" s="445" t="n">
        <x:v>140</x:v>
      </x:c>
      <x:c r="G97" s="445" t="n">
        <x:v>18</x:v>
      </x:c>
      <x:c r="H97" s="445" t="str">
        <x:v>Massachusetts Institute of Technology (MIT); Stanford University; Carnegie Mellon University; University of California, Berkeley; Harvard University; Princeton University</x:v>
      </x:c>
      <x:c r="I97" s="445" t="str">
        <x:v>Cobertura de la familia temática; consultar la fuente oficial antes de atribuir una asignatura literal.</x:v>
      </x:c>
    </x:row>
    <x:row r="98" ht="42" customHeight="1">
      <x:c r="A98" s="442" t="str">
        <x:v>MAT-010</x:v>
      </x:c>
      <x:c r="B98" s="442" t="str">
        <x:v>Lógica matemática y técnicas de demostración</x:v>
      </x:c>
      <x:c r="C98" s="442" t="str">
        <x:v>Matemática y ciencias</x:v>
      </x:c>
      <x:c r="D98" s="442" t="str">
        <x:v>Núcleo computacional</x:v>
      </x:c>
      <x:c r="E98" s="442" t="n">
        <x:v>1</x:v>
      </x:c>
      <x:c r="F98" s="442" t="n">
        <x:v>140</x:v>
      </x:c>
      <x:c r="G98" s="442" t="n">
        <x:v>18</x:v>
      </x:c>
      <x:c r="H98" s="442" t="str">
        <x:v>Massachusetts Institute of Technology (MIT); Stanford University; Carnegie Mellon University; University of California, Berkeley; Harvard University; Princeton University</x:v>
      </x:c>
      <x:c r="I98" s="442" t="str">
        <x:v>Cobertura de la familia temática; consultar la fuente oficial antes de atribuir una asignatura literal.</x:v>
      </x:c>
    </x:row>
    <x:row r="99" ht="42" customHeight="1">
      <x:c r="A99" s="445" t="str">
        <x:v>MAT-011</x:v>
      </x:c>
      <x:c r="B99" s="445" t="str">
        <x:v>Probabilidad</x:v>
      </x:c>
      <x:c r="C99" s="445" t="str">
        <x:v>Matemática y ciencias</x:v>
      </x:c>
      <x:c r="D99" s="445" t="str">
        <x:v>Núcleo computacional</x:v>
      </x:c>
      <x:c r="E99" s="445" t="n">
        <x:v>1</x:v>
      </x:c>
      <x:c r="F99" s="445" t="n">
        <x:v>140</x:v>
      </x:c>
      <x:c r="G99" s="445" t="n">
        <x:v>18</x:v>
      </x:c>
      <x:c r="H99" s="445" t="str">
        <x:v>Massachusetts Institute of Technology (MIT); Stanford University; Carnegie Mellon University; University of California, Berkeley; Harvard University; Princeton University</x:v>
      </x:c>
      <x:c r="I99" s="445" t="str">
        <x:v>Cobertura de la familia temática; consultar la fuente oficial antes de atribuir una asignatura literal.</x:v>
      </x:c>
    </x:row>
    <x:row r="100" ht="42" customHeight="1">
      <x:c r="A100" s="442" t="str">
        <x:v>MAT-012</x:v>
      </x:c>
      <x:c r="B100" s="442" t="str">
        <x:v>Estadística descriptiva e inferencial</x:v>
      </x:c>
      <x:c r="C100" s="442" t="str">
        <x:v>Matemática y ciencias</x:v>
      </x:c>
      <x:c r="D100" s="442" t="str">
        <x:v>Núcleo computacional</x:v>
      </x:c>
      <x:c r="E100" s="442" t="n">
        <x:v>1</x:v>
      </x:c>
      <x:c r="F100" s="442" t="n">
        <x:v>140</x:v>
      </x:c>
      <x:c r="G100" s="442" t="n">
        <x:v>18</x:v>
      </x:c>
      <x:c r="H100" s="442" t="str">
        <x:v>Massachusetts Institute of Technology (MIT); Stanford University; Carnegie Mellon University; University of California, Berkeley; Harvard University; Princeton University</x:v>
      </x:c>
      <x:c r="I100" s="442" t="str">
        <x:v>Cobertura de la familia temática; consultar la fuente oficial antes de atribuir una asignatura literal.</x:v>
      </x:c>
    </x:row>
    <x:row r="101" ht="42" customHeight="1">
      <x:c r="A101" s="445" t="str">
        <x:v>MAT-013</x:v>
      </x:c>
      <x:c r="B101" s="445" t="str">
        <x:v>Estadística multivariante</x:v>
      </x:c>
      <x:c r="C101" s="445" t="str">
        <x:v>Matemática y ciencias</x:v>
      </x:c>
      <x:c r="D101" s="445" t="str">
        <x:v>Núcleo computacional</x:v>
      </x:c>
      <x:c r="E101" s="445" t="n">
        <x:v>1</x:v>
      </x:c>
      <x:c r="F101" s="445" t="n">
        <x:v>140</x:v>
      </x:c>
      <x:c r="G101" s="445" t="n">
        <x:v>18</x:v>
      </x:c>
      <x:c r="H101" s="445" t="str">
        <x:v>Massachusetts Institute of Technology (MIT); Stanford University; Carnegie Mellon University; University of California, Berkeley; Harvard University; Princeton University</x:v>
      </x:c>
      <x:c r="I101" s="445" t="str">
        <x:v>Cobertura de la familia temática; consultar la fuente oficial antes de atribuir una asignatura literal.</x:v>
      </x:c>
    </x:row>
    <x:row r="102" ht="42" customHeight="1">
      <x:c r="A102" s="442" t="str">
        <x:v>MAT-014</x:v>
      </x:c>
      <x:c r="B102" s="442" t="str">
        <x:v>Ecuaciones diferenciales</x:v>
      </x:c>
      <x:c r="C102" s="442" t="str">
        <x:v>Matemática y ciencias</x:v>
      </x:c>
      <x:c r="D102" s="442" t="str">
        <x:v>Núcleo computacional</x:v>
      </x:c>
      <x:c r="E102" s="442" t="n">
        <x:v>1</x:v>
      </x:c>
      <x:c r="F102" s="442" t="n">
        <x:v>140</x:v>
      </x:c>
      <x:c r="G102" s="442" t="n">
        <x:v>18</x:v>
      </x:c>
      <x:c r="H102" s="442" t="str">
        <x:v>Massachusetts Institute of Technology (MIT); Stanford University; Carnegie Mellon University; University of California, Berkeley; Harvard University; Princeton University</x:v>
      </x:c>
      <x:c r="I102" s="442" t="str">
        <x:v>Cobertura de la familia temática; consultar la fuente oficial antes de atribuir una asignatura literal.</x:v>
      </x:c>
    </x:row>
    <x:row r="103" ht="42" customHeight="1">
      <x:c r="A103" s="445" t="str">
        <x:v>MAT-026</x:v>
      </x:c>
      <x:c r="B103" s="445" t="str">
        <x:v>Análisis de Fourier y transformadas</x:v>
      </x:c>
      <x:c r="C103" s="445" t="str">
        <x:v>Matemática y ciencias</x:v>
      </x:c>
      <x:c r="D103" s="445" t="str">
        <x:v>Núcleo computacional</x:v>
      </x:c>
      <x:c r="E103" s="445" t="n">
        <x:v>1</x:v>
      </x:c>
      <x:c r="F103" s="445" t="n">
        <x:v>140</x:v>
      </x:c>
      <x:c r="G103" s="445" t="n">
        <x:v>18</x:v>
      </x:c>
      <x:c r="H103" s="445" t="str">
        <x:v>Massachusetts Institute of Technology (MIT); Stanford University; Carnegie Mellon University; University of California, Berkeley; Harvard University; Princeton University</x:v>
      </x:c>
      <x:c r="I103" s="445" t="str">
        <x:v>Cobertura de la familia temática; consultar la fuente oficial antes de atribuir una asignatura literal.</x:v>
      </x:c>
    </x:row>
    <x:row r="104" ht="42" customHeight="1">
      <x:c r="A104" s="442" t="str">
        <x:v>MAT-027</x:v>
      </x:c>
      <x:c r="B104" s="442" t="str">
        <x:v>Economía para ingeniería</x:v>
      </x:c>
      <x:c r="C104" s="442" t="str">
        <x:v>Matemática y ciencias</x:v>
      </x:c>
      <x:c r="D104" s="442" t="str">
        <x:v>Núcleo computacional</x:v>
      </x:c>
      <x:c r="E104" s="442" t="n">
        <x:v>1</x:v>
      </x:c>
      <x:c r="F104" s="442" t="n">
        <x:v>140</x:v>
      </x:c>
      <x:c r="G104" s="442" t="n">
        <x:v>18</x:v>
      </x:c>
      <x:c r="H104" s="442" t="str">
        <x:v>Massachusetts Institute of Technology (MIT); Stanford University; Carnegie Mellon University; University of California, Berkeley; Harvard University; Princeton University</x:v>
      </x:c>
      <x:c r="I104" s="442" t="str">
        <x:v>Cobertura de la familia temática; consultar la fuente oficial antes de atribuir una asignatura literal.</x:v>
      </x:c>
    </x:row>
    <x:row r="105" ht="42" customHeight="1">
      <x:c r="A105" s="445" t="str">
        <x:v>MAT-028</x:v>
      </x:c>
      <x:c r="B105" s="445" t="str">
        <x:v>Sostenibilidad y computación verde</x:v>
      </x:c>
      <x:c r="C105" s="445" t="str">
        <x:v>Matemática y ciencias</x:v>
      </x:c>
      <x:c r="D105" s="445" t="str">
        <x:v>Núcleo computacional</x:v>
      </x:c>
      <x:c r="E105" s="445" t="n">
        <x:v>1</x:v>
      </x:c>
      <x:c r="F105" s="445" t="n">
        <x:v>140</x:v>
      </x:c>
      <x:c r="G105" s="445" t="n">
        <x:v>18</x:v>
      </x:c>
      <x:c r="H105" s="445" t="str">
        <x:v>Massachusetts Institute of Technology (MIT); Stanford University; Carnegie Mellon University; University of California, Berkeley; Harvard University; Princeton University</x:v>
      </x:c>
      <x:c r="I105" s="445" t="str">
        <x:v>Cobertura de la familia temática; consultar la fuente oficial antes de atribuir una asignatura literal.</x:v>
      </x:c>
    </x:row>
    <x:row r="106" ht="42" customHeight="1">
      <x:c r="A106" s="442" t="str">
        <x:v>CST-007</x:v>
      </x:c>
      <x:c r="B106" s="442" t="str">
        <x:v>Algoritmos II</x:v>
      </x:c>
      <x:c r="C106" s="442" t="str">
        <x:v>Programación y teoría CS</x:v>
      </x:c>
      <x:c r="D106" s="442" t="str">
        <x:v>Núcleo computacional</x:v>
      </x:c>
      <x:c r="E106" s="442" t="n">
        <x:v>1</x:v>
      </x:c>
      <x:c r="F106" s="442" t="n">
        <x:v>147</x:v>
      </x:c>
      <x:c r="G106" s="442" t="n">
        <x:v>19</x:v>
      </x:c>
      <x:c r="H106" s="442" t="str">
        <x:v>Massachusetts Institute of Technology (MIT); Stanford University; Carnegie Mellon University; University of California, Berkeley; Harvard University; Princeton University</x:v>
      </x:c>
      <x:c r="I106" s="442" t="str">
        <x:v>Cobertura de la familia temática; consultar la fuente oficial antes de atribuir una asignatura literal.</x:v>
      </x:c>
    </x:row>
    <x:row r="107" ht="42" customHeight="1">
      <x:c r="A107" s="445" t="str">
        <x:v>CST-008</x:v>
      </x:c>
      <x:c r="B107" s="445" t="str">
        <x:v>Análisis avanzado de algoritmos</x:v>
      </x:c>
      <x:c r="C107" s="445" t="str">
        <x:v>Programación y teoría CS</x:v>
      </x:c>
      <x:c r="D107" s="445" t="str">
        <x:v>Núcleo computacional</x:v>
      </x:c>
      <x:c r="E107" s="445" t="n">
        <x:v>1</x:v>
      </x:c>
      <x:c r="F107" s="445" t="n">
        <x:v>147</x:v>
      </x:c>
      <x:c r="G107" s="445" t="n">
        <x:v>19</x:v>
      </x:c>
      <x:c r="H107" s="445" t="str">
        <x:v>Massachusetts Institute of Technology (MIT); Stanford University; Carnegie Mellon University; University of California, Berkeley; Harvard University; Princeton University</x:v>
      </x:c>
      <x:c r="I107" s="445" t="str">
        <x:v>Cobertura de la familia temática; consultar la fuente oficial antes de atribuir una asignatura literal.</x:v>
      </x:c>
    </x:row>
    <x:row r="108" ht="42" customHeight="1">
      <x:c r="A108" s="442" t="str">
        <x:v>CST-009</x:v>
      </x:c>
      <x:c r="B108" s="442" t="str">
        <x:v>Programación funcional</x:v>
      </x:c>
      <x:c r="C108" s="442" t="str">
        <x:v>Programación y teoría CS</x:v>
      </x:c>
      <x:c r="D108" s="442" t="str">
        <x:v>Núcleo computacional</x:v>
      </x:c>
      <x:c r="E108" s="442" t="n">
        <x:v>1</x:v>
      </x:c>
      <x:c r="F108" s="442" t="n">
        <x:v>147</x:v>
      </x:c>
      <x:c r="G108" s="442" t="n">
        <x:v>19</x:v>
      </x:c>
      <x:c r="H108" s="442" t="str">
        <x:v>Massachusetts Institute of Technology (MIT); Stanford University; Carnegie Mellon University; University of California, Berkeley; Harvard University; Princeton University</x:v>
      </x:c>
      <x:c r="I108" s="442" t="str">
        <x:v>Cobertura de la familia temática; consultar la fuente oficial antes de atribuir una asignatura literal.</x:v>
      </x:c>
    </x:row>
    <x:row r="109" ht="42" customHeight="1">
      <x:c r="A109" s="445" t="str">
        <x:v>CST-010</x:v>
      </x:c>
      <x:c r="B109" s="445" t="str">
        <x:v>Programación lógica</x:v>
      </x:c>
      <x:c r="C109" s="445" t="str">
        <x:v>Programación y teoría CS</x:v>
      </x:c>
      <x:c r="D109" s="445" t="str">
        <x:v>Núcleo computacional</x:v>
      </x:c>
      <x:c r="E109" s="445" t="n">
        <x:v>1</x:v>
      </x:c>
      <x:c r="F109" s="445" t="n">
        <x:v>147</x:v>
      </x:c>
      <x:c r="G109" s="445" t="n">
        <x:v>19</x:v>
      </x:c>
      <x:c r="H109" s="445" t="str">
        <x:v>Massachusetts Institute of Technology (MIT); Stanford University; Carnegie Mellon University; University of California, Berkeley; Harvard University; Princeton University</x:v>
      </x:c>
      <x:c r="I109" s="445" t="str">
        <x:v>Cobertura de la familia temática; consultar la fuente oficial antes de atribuir una asignatura literal.</x:v>
      </x:c>
    </x:row>
    <x:row r="110" ht="42" customHeight="1">
      <x:c r="A110" s="442" t="str">
        <x:v>CST-011</x:v>
      </x:c>
      <x:c r="B110" s="442" t="str">
        <x:v>Programación concurrente</x:v>
      </x:c>
      <x:c r="C110" s="442" t="str">
        <x:v>Programación y teoría CS</x:v>
      </x:c>
      <x:c r="D110" s="442" t="str">
        <x:v>Núcleo computacional</x:v>
      </x:c>
      <x:c r="E110" s="442" t="n">
        <x:v>1</x:v>
      </x:c>
      <x:c r="F110" s="442" t="n">
        <x:v>147</x:v>
      </x:c>
      <x:c r="G110" s="442" t="n">
        <x:v>19</x:v>
      </x:c>
      <x:c r="H110" s="442" t="str">
        <x:v>Massachusetts Institute of Technology (MIT); Stanford University; Carnegie Mellon University; University of California, Berkeley; Harvard University; Princeton University</x:v>
      </x:c>
      <x:c r="I110" s="442" t="str">
        <x:v>Cobertura de la familia temática; consultar la fuente oficial antes de atribuir una asignatura literal.</x:v>
      </x:c>
    </x:row>
    <x:row r="111" ht="42" customHeight="1">
      <x:c r="A111" s="445" t="str">
        <x:v>CST-012</x:v>
      </x:c>
      <x:c r="B111" s="445" t="str">
        <x:v>Programación paralela</x:v>
      </x:c>
      <x:c r="C111" s="445" t="str">
        <x:v>Programación y teoría CS</x:v>
      </x:c>
      <x:c r="D111" s="445" t="str">
        <x:v>Núcleo computacional</x:v>
      </x:c>
      <x:c r="E111" s="445" t="n">
        <x:v>1</x:v>
      </x:c>
      <x:c r="F111" s="445" t="n">
        <x:v>147</x:v>
      </x:c>
      <x:c r="G111" s="445" t="n">
        <x:v>19</x:v>
      </x:c>
      <x:c r="H111" s="445" t="str">
        <x:v>Massachusetts Institute of Technology (MIT); Stanford University; Carnegie Mellon University; University of California, Berkeley; Harvard University; Princeton University</x:v>
      </x:c>
      <x:c r="I111" s="445" t="str">
        <x:v>Cobertura de la familia temática; consultar la fuente oficial antes de atribuir una asignatura literal.</x:v>
      </x:c>
    </x:row>
    <x:row r="112" ht="42" customHeight="1">
      <x:c r="A112" s="442" t="str">
        <x:v>CST-023</x:v>
      </x:c>
      <x:c r="B112" s="442" t="str">
        <x:v>Lenguajes formales y autómatas</x:v>
      </x:c>
      <x:c r="C112" s="442" t="str">
        <x:v>Programación y teoría CS</x:v>
      </x:c>
      <x:c r="D112" s="442" t="str">
        <x:v>Núcleo computacional</x:v>
      </x:c>
      <x:c r="E112" s="442" t="n">
        <x:v>1</x:v>
      </x:c>
      <x:c r="F112" s="442" t="n">
        <x:v>147</x:v>
      </x:c>
      <x:c r="G112" s="442" t="n">
        <x:v>19</x:v>
      </x:c>
      <x:c r="H112" s="442" t="str">
        <x:v>Massachusetts Institute of Technology (MIT); Stanford University; Carnegie Mellon University; University of California, Berkeley; Harvard University; Princeton University</x:v>
      </x:c>
      <x:c r="I112" s="442" t="str">
        <x:v>Cobertura de la familia temática; consultar la fuente oficial antes de atribuir una asignatura literal.</x:v>
      </x:c>
    </x:row>
    <x:row r="113" ht="42" customHeight="1">
      <x:c r="A113" s="445" t="str">
        <x:v>CST-024</x:v>
      </x:c>
      <x:c r="B113" s="445" t="str">
        <x:v>Computabilidad</x:v>
      </x:c>
      <x:c r="C113" s="445" t="str">
        <x:v>Programación y teoría CS</x:v>
      </x:c>
      <x:c r="D113" s="445" t="str">
        <x:v>Núcleo computacional</x:v>
      </x:c>
      <x:c r="E113" s="445" t="n">
        <x:v>1</x:v>
      </x:c>
      <x:c r="F113" s="445" t="n">
        <x:v>147</x:v>
      </x:c>
      <x:c r="G113" s="445" t="n">
        <x:v>19</x:v>
      </x:c>
      <x:c r="H113" s="445" t="str">
        <x:v>Massachusetts Institute of Technology (MIT); Stanford University; Carnegie Mellon University; University of California, Berkeley; Harvard University; Princeton University</x:v>
      </x:c>
      <x:c r="I113" s="445" t="str">
        <x:v>Cobertura de la familia temática; consultar la fuente oficial antes de atribuir una asignatura literal.</x:v>
      </x:c>
    </x:row>
    <x:row r="114" ht="42" customHeight="1">
      <x:c r="A114" s="442" t="str">
        <x:v>CST-025</x:v>
      </x:c>
      <x:c r="B114" s="442" t="str">
        <x:v>Complejidad computacional</x:v>
      </x:c>
      <x:c r="C114" s="442" t="str">
        <x:v>Programación y teoría CS</x:v>
      </x:c>
      <x:c r="D114" s="442" t="str">
        <x:v>Núcleo computacional</x:v>
      </x:c>
      <x:c r="E114" s="442" t="n">
        <x:v>1</x:v>
      </x:c>
      <x:c r="F114" s="442" t="n">
        <x:v>147</x:v>
      </x:c>
      <x:c r="G114" s="442" t="n">
        <x:v>19</x:v>
      </x:c>
      <x:c r="H114" s="442" t="str">
        <x:v>Massachusetts Institute of Technology (MIT); Stanford University; Carnegie Mellon University; University of California, Berkeley; Harvard University; Princeton University</x:v>
      </x:c>
      <x:c r="I114" s="442" t="str">
        <x:v>Cobertura de la familia temática; consultar la fuente oficial antes de atribuir una asignatura literal.</x:v>
      </x:c>
    </x:row>
    <x:row r="115" ht="42" customHeight="1">
      <x:c r="A115" s="445" t="str">
        <x:v>CST-026</x:v>
      </x:c>
      <x:c r="B115" s="445" t="str">
        <x:v>Paradigmas y semántica de lenguajes</x:v>
      </x:c>
      <x:c r="C115" s="445" t="str">
        <x:v>Programación y teoría CS</x:v>
      </x:c>
      <x:c r="D115" s="445" t="str">
        <x:v>Núcleo computacional</x:v>
      </x:c>
      <x:c r="E115" s="445" t="n">
        <x:v>1</x:v>
      </x:c>
      <x:c r="F115" s="445" t="n">
        <x:v>147</x:v>
      </x:c>
      <x:c r="G115" s="445" t="n">
        <x:v>19</x:v>
      </x:c>
      <x:c r="H115" s="445" t="str">
        <x:v>Massachusetts Institute of Technology (MIT); Stanford University; Carnegie Mellon University; University of California, Berkeley; Harvard University; Princeton University</x:v>
      </x:c>
      <x:c r="I115" s="445" t="str">
        <x:v>Cobertura de la familia temática; consultar la fuente oficial antes de atribuir una asignatura literal.</x:v>
      </x:c>
    </x:row>
    <x:row r="116" ht="42" customHeight="1">
      <x:c r="A116" s="442" t="str">
        <x:v>CST-027</x:v>
      </x:c>
      <x:c r="B116" s="442" t="str">
        <x:v>Diseño e implementación de lenguajes</x:v>
      </x:c>
      <x:c r="C116" s="442" t="str">
        <x:v>Programación y teoría CS</x:v>
      </x:c>
      <x:c r="D116" s="442" t="str">
        <x:v>Núcleo computacional</x:v>
      </x:c>
      <x:c r="E116" s="442" t="n">
        <x:v>1</x:v>
      </x:c>
      <x:c r="F116" s="442" t="n">
        <x:v>147</x:v>
      </x:c>
      <x:c r="G116" s="442" t="n">
        <x:v>19</x:v>
      </x:c>
      <x:c r="H116" s="442" t="str">
        <x:v>Massachusetts Institute of Technology (MIT); Stanford University; Carnegie Mellon University; University of California, Berkeley; Harvard University; Princeton University</x:v>
      </x:c>
      <x:c r="I116" s="442" t="str">
        <x:v>Cobertura de la familia temática; consultar la fuente oficial antes de atribuir una asignatura literal.</x:v>
      </x:c>
    </x:row>
    <x:row r="117" ht="42" customHeight="1">
      <x:c r="A117" s="445" t="str">
        <x:v>NET-001</x:v>
      </x:c>
      <x:c r="B117" s="445" t="str">
        <x:v>Fundamentos de redes</x:v>
      </x:c>
      <x:c r="C117" s="445" t="str">
        <x:v>Redes, telecom y cloud</x:v>
      </x:c>
      <x:c r="D117" s="445" t="str">
        <x:v>Núcleo computacional</x:v>
      </x:c>
      <x:c r="E117" s="445" t="n">
        <x:v>1</x:v>
      </x:c>
      <x:c r="F117" s="445" t="n">
        <x:v>140</x:v>
      </x:c>
      <x:c r="G117" s="445" t="n">
        <x:v>19</x:v>
      </x:c>
      <x:c r="H117" s="445" t="str">
        <x:v>Massachusetts Institute of Technology (MIT); Stanford University; Carnegie Mellon University; University of California, Berkeley; Princeton University; Cornell University</x:v>
      </x:c>
      <x:c r="I117" s="445" t="str">
        <x:v>Cobertura de la familia temática; consultar la fuente oficial antes de atribuir una asignatura literal.</x:v>
      </x:c>
    </x:row>
    <x:row r="118" ht="42" customHeight="1">
      <x:c r="A118" s="442" t="str">
        <x:v>NET-002</x:v>
      </x:c>
      <x:c r="B118" s="442" t="str">
        <x:v>TCP/IP y subnetting</x:v>
      </x:c>
      <x:c r="C118" s="442" t="str">
        <x:v>Redes, telecom y cloud</x:v>
      </x:c>
      <x:c r="D118" s="442" t="str">
        <x:v>Núcleo computacional</x:v>
      </x:c>
      <x:c r="E118" s="442" t="n">
        <x:v>1</x:v>
      </x:c>
      <x:c r="F118" s="442" t="n">
        <x:v>140</x:v>
      </x:c>
      <x:c r="G118" s="442" t="n">
        <x:v>19</x:v>
      </x:c>
      <x:c r="H118" s="442" t="str">
        <x:v>Massachusetts Institute of Technology (MIT); Stanford University; Carnegie Mellon University; University of California, Berkeley; Princeton University; Cornell University</x:v>
      </x:c>
      <x:c r="I118" s="442" t="str">
        <x:v>Cobertura de la familia temática; consultar la fuente oficial antes de atribuir una asignatura literal.</x:v>
      </x:c>
    </x:row>
    <x:row r="119" ht="42" customHeight="1">
      <x:c r="A119" s="445" t="str">
        <x:v>NET-003</x:v>
      </x:c>
      <x:c r="B119" s="445" t="str">
        <x:v>Conmutación LAN y VLAN</x:v>
      </x:c>
      <x:c r="C119" s="445" t="str">
        <x:v>Redes, telecom y cloud</x:v>
      </x:c>
      <x:c r="D119" s="445" t="str">
        <x:v>Núcleo computacional</x:v>
      </x:c>
      <x:c r="E119" s="445" t="n">
        <x:v>1</x:v>
      </x:c>
      <x:c r="F119" s="445" t="n">
        <x:v>140</x:v>
      </x:c>
      <x:c r="G119" s="445" t="n">
        <x:v>19</x:v>
      </x:c>
      <x:c r="H119" s="445" t="str">
        <x:v>Massachusetts Institute of Technology (MIT); Stanford University; Carnegie Mellon University; University of California, Berkeley; Princeton University; Cornell University</x:v>
      </x:c>
      <x:c r="I119" s="445" t="str">
        <x:v>Cobertura de la familia temática; consultar la fuente oficial antes de atribuir una asignatura literal.</x:v>
      </x:c>
    </x:row>
    <x:row r="120" ht="42" customHeight="1">
      <x:c r="A120" s="442" t="str">
        <x:v>NET-004</x:v>
      </x:c>
      <x:c r="B120" s="442" t="str">
        <x:v>Enrutamiento IP</x:v>
      </x:c>
      <x:c r="C120" s="442" t="str">
        <x:v>Redes, telecom y cloud</x:v>
      </x:c>
      <x:c r="D120" s="442" t="str">
        <x:v>Núcleo computacional</x:v>
      </x:c>
      <x:c r="E120" s="442" t="n">
        <x:v>1</x:v>
      </x:c>
      <x:c r="F120" s="442" t="n">
        <x:v>140</x:v>
      </x:c>
      <x:c r="G120" s="442" t="n">
        <x:v>19</x:v>
      </x:c>
      <x:c r="H120" s="442" t="str">
        <x:v>Massachusetts Institute of Technology (MIT); Stanford University; Carnegie Mellon University; University of California, Berkeley; Princeton University; Cornell University</x:v>
      </x:c>
      <x:c r="I120" s="442" t="str">
        <x:v>Cobertura de la familia temática; consultar la fuente oficial antes de atribuir una asignatura literal.</x:v>
      </x:c>
    </x:row>
    <x:row r="121" ht="42" customHeight="1">
      <x:c r="A121" s="445" t="str">
        <x:v>NET-005</x:v>
      </x:c>
      <x:c r="B121" s="445" t="str">
        <x:v>Servicios de red</x:v>
      </x:c>
      <x:c r="C121" s="445" t="str">
        <x:v>Redes, telecom y cloud</x:v>
      </x:c>
      <x:c r="D121" s="445" t="str">
        <x:v>Núcleo computacional</x:v>
      </x:c>
      <x:c r="E121" s="445" t="n">
        <x:v>1</x:v>
      </x:c>
      <x:c r="F121" s="445" t="n">
        <x:v>140</x:v>
      </x:c>
      <x:c r="G121" s="445" t="n">
        <x:v>19</x:v>
      </x:c>
      <x:c r="H121" s="445" t="str">
        <x:v>Massachusetts Institute of Technology (MIT); Stanford University; Carnegie Mellon University; University of California, Berkeley; Princeton University; Cornell University</x:v>
      </x:c>
      <x:c r="I121" s="445" t="str">
        <x:v>Cobertura de la familia temática; consultar la fuente oficial antes de atribuir una asignatura literal.</x:v>
      </x:c>
    </x:row>
    <x:row r="122" ht="42" customHeight="1">
      <x:c r="A122" s="442" t="str">
        <x:v>NET-006</x:v>
      </x:c>
      <x:c r="B122" s="442" t="str">
        <x:v>Redes inalámbricas</x:v>
      </x:c>
      <x:c r="C122" s="442" t="str">
        <x:v>Redes, telecom y cloud</x:v>
      </x:c>
      <x:c r="D122" s="442" t="str">
        <x:v>Núcleo computacional</x:v>
      </x:c>
      <x:c r="E122" s="442" t="n">
        <x:v>1</x:v>
      </x:c>
      <x:c r="F122" s="442" t="n">
        <x:v>140</x:v>
      </x:c>
      <x:c r="G122" s="442" t="n">
        <x:v>19</x:v>
      </x:c>
      <x:c r="H122" s="442" t="str">
        <x:v>Massachusetts Institute of Technology (MIT); Stanford University; Carnegie Mellon University; University of California, Berkeley; Princeton University; Cornell University</x:v>
      </x:c>
      <x:c r="I122" s="442" t="str">
        <x:v>Cobertura de la familia temática; consultar la fuente oficial antes de atribuir una asignatura literal.</x:v>
      </x:c>
    </x:row>
    <x:row r="123" ht="42" customHeight="1">
      <x:c r="A123" s="445" t="str">
        <x:v>ISM-001</x:v>
      </x:c>
      <x:c r="B123" s="445" t="str">
        <x:v>Fundamentos de sistemas de información</x:v>
      </x:c>
      <x:c r="C123" s="445" t="str">
        <x:v>Sistemas de información y gestión TI</x:v>
      </x:c>
      <x:c r="D123" s="445" t="str">
        <x:v>Núcleo computacional</x:v>
      </x:c>
      <x:c r="E123" s="445" t="n">
        <x:v>2</x:v>
      </x:c>
      <x:c r="F123" s="445" t="n">
        <x:v>54</x:v>
      </x:c>
      <x:c r="G123" s="445" t="n">
        <x:v>7</x:v>
      </x:c>
      <x:c r="H123" s="445" t="str">
        <x:v>Carnegie Mellon University; Cornell University; University of Illinois Urbana-Champaign; Georgia Institute of Technology; University of Washington; New York University</x:v>
      </x:c>
      <x:c r="I123" s="445" t="str">
        <x:v>Cobertura de la familia temática; consultar la fuente oficial antes de atribuir una asignatura literal.</x:v>
      </x:c>
    </x:row>
    <x:row r="124" ht="42" customHeight="1">
      <x:c r="A124" s="442" t="str">
        <x:v>ISM-002</x:v>
      </x:c>
      <x:c r="B124" s="442" t="str">
        <x:v>Análisis de sistemas</x:v>
      </x:c>
      <x:c r="C124" s="442" t="str">
        <x:v>Sistemas de información y gestión TI</x:v>
      </x:c>
      <x:c r="D124" s="442" t="str">
        <x:v>Núcleo computacional</x:v>
      </x:c>
      <x:c r="E124" s="442" t="n">
        <x:v>2</x:v>
      </x:c>
      <x:c r="F124" s="442" t="n">
        <x:v>54</x:v>
      </x:c>
      <x:c r="G124" s="442" t="n">
        <x:v>7</x:v>
      </x:c>
      <x:c r="H124" s="442" t="str">
        <x:v>Carnegie Mellon University; Cornell University; University of Illinois Urbana-Champaign; Georgia Institute of Technology; University of Washington; New York University</x:v>
      </x:c>
      <x:c r="I124" s="442" t="str">
        <x:v>Cobertura de la familia temática; consultar la fuente oficial antes de atribuir una asignatura literal.</x:v>
      </x:c>
    </x:row>
    <x:row r="125" ht="42" customHeight="1">
      <x:c r="A125" s="445" t="str">
        <x:v>ISM-003</x:v>
      </x:c>
      <x:c r="B125" s="445" t="str">
        <x:v>Modelado de procesos con BPMN</x:v>
      </x:c>
      <x:c r="C125" s="445" t="str">
        <x:v>Sistemas de información y gestión TI</x:v>
      </x:c>
      <x:c r="D125" s="445" t="str">
        <x:v>Núcleo computacional</x:v>
      </x:c>
      <x:c r="E125" s="445" t="n">
        <x:v>2</x:v>
      </x:c>
      <x:c r="F125" s="445" t="n">
        <x:v>54</x:v>
      </x:c>
      <x:c r="G125" s="445" t="n">
        <x:v>7</x:v>
      </x:c>
      <x:c r="H125" s="445" t="str">
        <x:v>Carnegie Mellon University; Cornell University; University of Illinois Urbana-Champaign; Georgia Institute of Technology; University of Washington; New York University</x:v>
      </x:c>
      <x:c r="I125" s="445" t="str">
        <x:v>Cobertura de la familia temática; consultar la fuente oficial antes de atribuir una asignatura literal.</x:v>
      </x:c>
    </x:row>
    <x:row r="126" ht="42" customHeight="1">
      <x:c r="A126" s="442" t="str">
        <x:v>ISM-004</x:v>
      </x:c>
      <x:c r="B126" s="442" t="str">
        <x:v>Análisis de negocio</x:v>
      </x:c>
      <x:c r="C126" s="442" t="str">
        <x:v>Sistemas de información y gestión TI</x:v>
      </x:c>
      <x:c r="D126" s="442" t="str">
        <x:v>Núcleo computacional</x:v>
      </x:c>
      <x:c r="E126" s="442" t="n">
        <x:v>2</x:v>
      </x:c>
      <x:c r="F126" s="442" t="n">
        <x:v>54</x:v>
      </x:c>
      <x:c r="G126" s="442" t="n">
        <x:v>7</x:v>
      </x:c>
      <x:c r="H126" s="442" t="str">
        <x:v>Carnegie Mellon University; Cornell University; University of Illinois Urbana-Champaign; Georgia Institute of Technology; University of Washington; New York University</x:v>
      </x:c>
      <x:c r="I126" s="442" t="str">
        <x:v>Cobertura de la familia temática; consultar la fuente oficial antes de atribuir una asignatura literal.</x:v>
      </x:c>
    </x:row>
    <x:row r="127" ht="42" customHeight="1">
      <x:c r="A127" s="445" t="str">
        <x:v>ISM-005</x:v>
      </x:c>
      <x:c r="B127" s="445" t="str">
        <x:v>Contabilidad y finanzas para TI</x:v>
      </x:c>
      <x:c r="C127" s="445" t="str">
        <x:v>Sistemas de información y gestión TI</x:v>
      </x:c>
      <x:c r="D127" s="445" t="str">
        <x:v>Núcleo computacional</x:v>
      </x:c>
      <x:c r="E127" s="445" t="n">
        <x:v>2</x:v>
      </x:c>
      <x:c r="F127" s="445" t="n">
        <x:v>54</x:v>
      </x:c>
      <x:c r="G127" s="445" t="n">
        <x:v>7</x:v>
      </x:c>
      <x:c r="H127" s="445" t="str">
        <x:v>Carnegie Mellon University; Cornell University; University of Illinois Urbana-Champaign; Georgia Institute of Technology; University of Washington; New York University</x:v>
      </x:c>
      <x:c r="I127" s="445" t="str">
        <x:v>Cobertura de la familia temática; consultar la fuente oficial antes de atribuir una asignatura literal.</x:v>
      </x:c>
    </x:row>
    <x:row r="128" ht="42" customHeight="1">
      <x:c r="A128" s="442" t="str">
        <x:v>ISM-006</x:v>
      </x:c>
      <x:c r="B128" s="442" t="str">
        <x:v>Administración y comportamiento organizacional</x:v>
      </x:c>
      <x:c r="C128" s="442" t="str">
        <x:v>Sistemas de información y gestión TI</x:v>
      </x:c>
      <x:c r="D128" s="442" t="str">
        <x:v>Núcleo computacional</x:v>
      </x:c>
      <x:c r="E128" s="442" t="n">
        <x:v>2</x:v>
      </x:c>
      <x:c r="F128" s="442" t="n">
        <x:v>54</x:v>
      </x:c>
      <x:c r="G128" s="442" t="n">
        <x:v>7</x:v>
      </x:c>
      <x:c r="H128" s="442" t="str">
        <x:v>Carnegie Mellon University; Cornell University; University of Illinois Urbana-Champaign; Georgia Institute of Technology; University of Washington; New York University</x:v>
      </x:c>
      <x:c r="I128" s="442" t="str">
        <x:v>Cobertura de la familia temática; consultar la fuente oficial antes de atribuir una asignatura literal.</x:v>
      </x:c>
    </x:row>
    <x:row r="129" ht="42" customHeight="1">
      <x:c r="A129" s="445" t="str">
        <x:v>ISM-007</x:v>
      </x:c>
      <x:c r="B129" s="445" t="str">
        <x:v>Marketing digital y analítica</x:v>
      </x:c>
      <x:c r="C129" s="445" t="str">
        <x:v>Sistemas de información y gestión TI</x:v>
      </x:c>
      <x:c r="D129" s="445" t="str">
        <x:v>Núcleo computacional</x:v>
      </x:c>
      <x:c r="E129" s="445" t="n">
        <x:v>2</x:v>
      </x:c>
      <x:c r="F129" s="445" t="n">
        <x:v>54</x:v>
      </x:c>
      <x:c r="G129" s="445" t="n">
        <x:v>7</x:v>
      </x:c>
      <x:c r="H129" s="445" t="str">
        <x:v>Carnegie Mellon University; Cornell University; University of Illinois Urbana-Champaign; Georgia Institute of Technology; University of Washington; New York University</x:v>
      </x:c>
      <x:c r="I129" s="445" t="str">
        <x:v>Cobertura de la familia temática; consultar la fuente oficial antes de atribuir una asignatura literal.</x:v>
      </x:c>
    </x:row>
    <x:row r="130" ht="42" customHeight="1">
      <x:c r="A130" s="442" t="str">
        <x:v>SYS-001</x:v>
      </x:c>
      <x:c r="B130" s="442" t="str">
        <x:v>Lógica digital para computación</x:v>
      </x:c>
      <x:c r="C130" s="442" t="str">
        <x:v>Sistemas y arquitectura</x:v>
      </x:c>
      <x:c r="D130" s="442" t="str">
        <x:v>Núcleo computacional</x:v>
      </x:c>
      <x:c r="E130" s="442" t="n">
        <x:v>1</x:v>
      </x:c>
      <x:c r="F130" s="442" t="n">
        <x:v>146</x:v>
      </x:c>
      <x:c r="G130" s="442" t="n">
        <x:v>19</x:v>
      </x:c>
      <x:c r="H130" s="442" t="str">
        <x:v>Massachusetts Institute of Technology (MIT); Stanford University; Carnegie Mellon University; University of California, Berkeley; Harvard University; Princeton University</x:v>
      </x:c>
      <x:c r="I130" s="442" t="str">
        <x:v>Cobertura de la familia temática; consultar la fuente oficial antes de atribuir una asignatura literal.</x:v>
      </x:c>
    </x:row>
    <x:row r="131" ht="42" customHeight="1">
      <x:c r="A131" s="445" t="str">
        <x:v>SYS-002</x:v>
      </x:c>
      <x:c r="B131" s="445" t="str">
        <x:v>Organización de computadores</x:v>
      </x:c>
      <x:c r="C131" s="445" t="str">
        <x:v>Sistemas y arquitectura</x:v>
      </x:c>
      <x:c r="D131" s="445" t="str">
        <x:v>Núcleo computacional</x:v>
      </x:c>
      <x:c r="E131" s="445" t="n">
        <x:v>1</x:v>
      </x:c>
      <x:c r="F131" s="445" t="n">
        <x:v>146</x:v>
      </x:c>
      <x:c r="G131" s="445" t="n">
        <x:v>19</x:v>
      </x:c>
      <x:c r="H131" s="445" t="str">
        <x:v>Massachusetts Institute of Technology (MIT); Stanford University; Carnegie Mellon University; University of California, Berkeley; Harvard University; Princeton University</x:v>
      </x:c>
      <x:c r="I131" s="445" t="str">
        <x:v>Cobertura de la familia temática; consultar la fuente oficial antes de atribuir una asignatura literal.</x:v>
      </x:c>
    </x:row>
    <x:row r="132" ht="42" customHeight="1">
      <x:c r="A132" s="442" t="str">
        <x:v>SYS-003</x:v>
      </x:c>
      <x:c r="B132" s="442" t="str">
        <x:v>Arquitectura de computadores</x:v>
      </x:c>
      <x:c r="C132" s="442" t="str">
        <x:v>Sistemas y arquitectura</x:v>
      </x:c>
      <x:c r="D132" s="442" t="str">
        <x:v>Núcleo computacional</x:v>
      </x:c>
      <x:c r="E132" s="442" t="n">
        <x:v>1</x:v>
      </x:c>
      <x:c r="F132" s="442" t="n">
        <x:v>146</x:v>
      </x:c>
      <x:c r="G132" s="442" t="n">
        <x:v>19</x:v>
      </x:c>
      <x:c r="H132" s="442" t="str">
        <x:v>Massachusetts Institute of Technology (MIT); Stanford University; Carnegie Mellon University; University of California, Berkeley; Harvard University; Princeton University</x:v>
      </x:c>
      <x:c r="I132" s="442" t="str">
        <x:v>Cobertura de la familia temática; consultar la fuente oficial antes de atribuir una asignatura literal.</x:v>
      </x:c>
    </x:row>
    <x:row r="133" ht="42" customHeight="1">
      <x:c r="A133" s="445" t="str">
        <x:v>SYS-004</x:v>
      </x:c>
      <x:c r="B133" s="445" t="str">
        <x:v>Sistemas operativos I</x:v>
      </x:c>
      <x:c r="C133" s="445" t="str">
        <x:v>Sistemas y arquitectura</x:v>
      </x:c>
      <x:c r="D133" s="445" t="str">
        <x:v>Núcleo computacional</x:v>
      </x:c>
      <x:c r="E133" s="445" t="n">
        <x:v>1</x:v>
      </x:c>
      <x:c r="F133" s="445" t="n">
        <x:v>146</x:v>
      </x:c>
      <x:c r="G133" s="445" t="n">
        <x:v>19</x:v>
      </x:c>
      <x:c r="H133" s="445" t="str">
        <x:v>Massachusetts Institute of Technology (MIT); Stanford University; Carnegie Mellon University; University of California, Berkeley; Harvard University; Princeton University</x:v>
      </x:c>
      <x:c r="I133" s="445" t="str">
        <x:v>Cobertura de la familia temática; consultar la fuente oficial antes de atribuir una asignatura literal.</x:v>
      </x:c>
    </x:row>
    <x:row r="134" ht="42" customHeight="1">
      <x:c r="A134" s="442" t="str">
        <x:v>SYS-005</x:v>
      </x:c>
      <x:c r="B134" s="442" t="str">
        <x:v>Sistemas operativos II</x:v>
      </x:c>
      <x:c r="C134" s="442" t="str">
        <x:v>Sistemas y arquitectura</x:v>
      </x:c>
      <x:c r="D134" s="442" t="str">
        <x:v>Núcleo computacional</x:v>
      </x:c>
      <x:c r="E134" s="442" t="n">
        <x:v>1</x:v>
      </x:c>
      <x:c r="F134" s="442" t="n">
        <x:v>146</x:v>
      </x:c>
      <x:c r="G134" s="442" t="n">
        <x:v>19</x:v>
      </x:c>
      <x:c r="H134" s="442" t="str">
        <x:v>Massachusetts Institute of Technology (MIT); Stanford University; Carnegie Mellon University; University of California, Berkeley; Harvard University; Princeton University</x:v>
      </x:c>
      <x:c r="I134" s="442" t="str">
        <x:v>Cobertura de la familia temática; consultar la fuente oficial antes de atribuir una asignatura literal.</x:v>
      </x:c>
    </x:row>
    <x:row r="135" ht="42" customHeight="1">
      <x:c r="A135" s="445" t="str">
        <x:v>SYS-006</x:v>
      </x:c>
      <x:c r="B135" s="445" t="str">
        <x:v>Sistemas de archivos y almacenamiento</x:v>
      </x:c>
      <x:c r="C135" s="445" t="str">
        <x:v>Sistemas y arquitectura</x:v>
      </x:c>
      <x:c r="D135" s="445" t="str">
        <x:v>Núcleo computacional</x:v>
      </x:c>
      <x:c r="E135" s="445" t="n">
        <x:v>1</x:v>
      </x:c>
      <x:c r="F135" s="445" t="n">
        <x:v>146</x:v>
      </x:c>
      <x:c r="G135" s="445" t="n">
        <x:v>19</x:v>
      </x:c>
      <x:c r="H135" s="445" t="str">
        <x:v>Massachusetts Institute of Technology (MIT); Stanford University; Carnegie Mellon University; University of California, Berkeley; Harvard University; Princeton University</x:v>
      </x:c>
      <x:c r="I135" s="445" t="str">
        <x:v>Cobertura de la familia temática; consultar la fuente oficial antes de atribuir una asignatura literal.</x:v>
      </x:c>
    </x:row>
    <x:row r="136" ht="42" customHeight="1">
      <x:c r="A136" s="442" t="str">
        <x:v>REP-008</x:v>
      </x:c>
      <x:c r="B136" s="442" t="str">
        <x:v>Reparación de laptops</x:v>
      </x:c>
      <x:c r="C136" s="442" t="str">
        <x:v>Soporte y reparación</x:v>
      </x:c>
      <x:c r="D136" s="442" t="str">
        <x:v>Núcleo computacional</x:v>
      </x:c>
      <x:c r="E136" s="442" t="n">
        <x:v>2</x:v>
      </x:c>
      <x:c r="F136" s="442" t="n">
        <x:v>10</x:v>
      </x:c>
      <x:c r="G136" s="442" t="n">
        <x:v>3</x:v>
      </x:c>
      <x:c r="H136" s="442" t="str">
        <x:v>Purdue University; Rochester Institute of Technology; Northumbria University; De Montfort University; Universidad Nacional Autónoma de México; Tecnológico de Monterrey</x:v>
      </x:c>
      <x:c r="I136" s="442" t="str">
        <x:v>Cobertura de la familia temática; consultar la fuente oficial antes de atribuir una asignatura literal.</x:v>
      </x:c>
    </x:row>
    <x:row r="137" ht="42" customHeight="1">
      <x:c r="A137" s="445" t="str">
        <x:v>REP-009</x:v>
      </x:c>
      <x:c r="B137" s="445" t="str">
        <x:v>Reparación de computadoras de escritorio</x:v>
      </x:c>
      <x:c r="C137" s="445" t="str">
        <x:v>Soporte y reparación</x:v>
      </x:c>
      <x:c r="D137" s="445" t="str">
        <x:v>Núcleo computacional</x:v>
      </x:c>
      <x:c r="E137" s="445" t="n">
        <x:v>2</x:v>
      </x:c>
      <x:c r="F137" s="445" t="n">
        <x:v>10</x:v>
      </x:c>
      <x:c r="G137" s="445" t="n">
        <x:v>3</x:v>
      </x:c>
      <x:c r="H137" s="445" t="str">
        <x:v>Purdue University; Rochester Institute of Technology; Northumbria University; De Montfort University; Universidad Nacional Autónoma de México; Tecnológico de Monterrey</x:v>
      </x:c>
      <x:c r="I137" s="445" t="str">
        <x:v>Cobertura de la familia temática; consultar la fuente oficial antes de atribuir una asignatura literal.</x:v>
      </x:c>
    </x:row>
    <x:row r="138" ht="42" customHeight="1">
      <x:c r="A138" s="442" t="str">
        <x:v>REP-010</x:v>
      </x:c>
      <x:c r="B138" s="442" t="str">
        <x:v>Reparación de smartphones</x:v>
      </x:c>
      <x:c r="C138" s="442" t="str">
        <x:v>Soporte y reparación</x:v>
      </x:c>
      <x:c r="D138" s="442" t="str">
        <x:v>Núcleo computacional</x:v>
      </x:c>
      <x:c r="E138" s="442" t="n">
        <x:v>2</x:v>
      </x:c>
      <x:c r="F138" s="442" t="n">
        <x:v>10</x:v>
      </x:c>
      <x:c r="G138" s="442" t="n">
        <x:v>3</x:v>
      </x:c>
      <x:c r="H138" s="442" t="str">
        <x:v>Purdue University; Rochester Institute of Technology; Northumbria University; De Montfort University; Universidad Nacional Autónoma de México; Tecnológico de Monterrey</x:v>
      </x:c>
      <x:c r="I138" s="442" t="str">
        <x:v>Cobertura de la familia temática; consultar la fuente oficial antes de atribuir una asignatura literal.</x:v>
      </x:c>
    </x:row>
    <x:row r="139" ht="42" customHeight="1">
      <x:c r="A139" s="445" t="str">
        <x:v>REP-011</x:v>
      </x:c>
      <x:c r="B139" s="445" t="str">
        <x:v>Reparación de tablets y wearables</x:v>
      </x:c>
      <x:c r="C139" s="445" t="str">
        <x:v>Soporte y reparación</x:v>
      </x:c>
      <x:c r="D139" s="445" t="str">
        <x:v>Núcleo computacional</x:v>
      </x:c>
      <x:c r="E139" s="445" t="n">
        <x:v>2</x:v>
      </x:c>
      <x:c r="F139" s="445" t="n">
        <x:v>10</x:v>
      </x:c>
      <x:c r="G139" s="445" t="n">
        <x:v>3</x:v>
      </x:c>
      <x:c r="H139" s="445" t="str">
        <x:v>Purdue University; Rochester Institute of Technology; Northumbria University; De Montfort University; Universidad Nacional Autónoma de México; Tecnológico de Monterrey</x:v>
      </x:c>
      <x:c r="I139" s="445" t="str">
        <x:v>Cobertura de la familia temática; consultar la fuente oficial antes de atribuir una asignatura literal.</x:v>
      </x:c>
    </x:row>
    <x:row r="140" ht="42" customHeight="1">
      <x:c r="A140" s="442" t="str">
        <x:v>REP-012</x:v>
      </x:c>
      <x:c r="B140" s="442" t="str">
        <x:v>Microsoldadura y reparación a nivel de placa</x:v>
      </x:c>
      <x:c r="C140" s="442" t="str">
        <x:v>Soporte y reparación</x:v>
      </x:c>
      <x:c r="D140" s="442" t="str">
        <x:v>Núcleo computacional</x:v>
      </x:c>
      <x:c r="E140" s="442" t="n">
        <x:v>2</x:v>
      </x:c>
      <x:c r="F140" s="442" t="n">
        <x:v>10</x:v>
      </x:c>
      <x:c r="G140" s="442" t="n">
        <x:v>3</x:v>
      </x:c>
      <x:c r="H140" s="442" t="str">
        <x:v>Purdue University; Rochester Institute of Technology; Northumbria University; De Montfort University; Universidad Nacional Autónoma de México; Tecnológico de Monterrey</x:v>
      </x:c>
      <x:c r="I140" s="442" t="str">
        <x:v>Cobertura de la familia temática; consultar la fuente oficial antes de atribuir una asignatura literal.</x:v>
      </x:c>
    </x:row>
    <x:row r="141" ht="42" customHeight="1">
      <x:c r="A141" s="445" t="str">
        <x:v>REP-013</x:v>
      </x:c>
      <x:c r="B141" s="445" t="str">
        <x:v>Diagnóstico de placas madre</x:v>
      </x:c>
      <x:c r="C141" s="445" t="str">
        <x:v>Soporte y reparación</x:v>
      </x:c>
      <x:c r="D141" s="445" t="str">
        <x:v>Núcleo computacional</x:v>
      </x:c>
      <x:c r="E141" s="445" t="n">
        <x:v>2</x:v>
      </x:c>
      <x:c r="F141" s="445" t="n">
        <x:v>10</x:v>
      </x:c>
      <x:c r="G141" s="445" t="n">
        <x:v>3</x:v>
      </x:c>
      <x:c r="H141" s="445" t="str">
        <x:v>Purdue University; Rochester Institute of Technology; Northumbria University; De Montfort University; Universidad Nacional Autónoma de México; Tecnológico de Monterrey</x:v>
      </x:c>
      <x:c r="I141" s="445" t="str">
        <x:v>Cobertura de la familia temática; consultar la fuente oficial antes de atribuir una asignatura literal.</x:v>
      </x:c>
    </x:row>
    <x:row r="142" ht="42" customHeight="1">
      <x:c r="A142" s="442" t="str">
        <x:v>REP-014</x:v>
      </x:c>
      <x:c r="B142" s="442" t="str">
        <x:v>Recuperación de datos</x:v>
      </x:c>
      <x:c r="C142" s="442" t="str">
        <x:v>Soporte y reparación</x:v>
      </x:c>
      <x:c r="D142" s="442" t="str">
        <x:v>Núcleo computacional</x:v>
      </x:c>
      <x:c r="E142" s="442" t="n">
        <x:v>2</x:v>
      </x:c>
      <x:c r="F142" s="442" t="n">
        <x:v>10</x:v>
      </x:c>
      <x:c r="G142" s="442" t="n">
        <x:v>3</x:v>
      </x:c>
      <x:c r="H142" s="442" t="str">
        <x:v>Purdue University; Rochester Institute of Technology; Northumbria University; De Montfort University; Universidad Nacional Autónoma de México; Tecnológico de Monterrey</x:v>
      </x:c>
      <x:c r="I142" s="442" t="str">
        <x:v>Cobertura de la familia temática; consultar la fuente oficial antes de atribuir una asignatura literal.</x:v>
      </x:c>
    </x:row>
    <x:row r="143" ht="42" customHeight="1">
      <x:c r="A143" s="445" t="str">
        <x:v>CYB-001</x:v>
      </x:c>
      <x:c r="B143" s="445" t="str">
        <x:v>Fundamentos de ciberseguridad</x:v>
      </x:c>
      <x:c r="C143" s="445" t="str">
        <x:v>Ciberseguridad, forense y auditoría</x:v>
      </x:c>
      <x:c r="D143" s="445" t="str">
        <x:v>Sistemas e ingeniería</x:v>
      </x:c>
      <x:c r="E143" s="445" t="n">
        <x:v>2</x:v>
      </x:c>
      <x:c r="F143" s="445" t="n">
        <x:v>145</x:v>
      </x:c>
      <x:c r="G143" s="445" t="n">
        <x:v>19</x:v>
      </x:c>
      <x:c r="H143" s="445" t="str">
        <x:v>Massachusetts Institute of Technology (MIT); Stanford University; Carnegie Mellon University; University of California, Berkeley; Harvard University; Princeton University</x:v>
      </x:c>
      <x:c r="I143" s="445" t="str">
        <x:v>Cobertura de la familia temática; consultar la fuente oficial antes de atribuir una asignatura literal.</x:v>
      </x:c>
    </x:row>
    <x:row r="144" ht="42" customHeight="1">
      <x:c r="A144" s="442" t="str">
        <x:v>CYB-002</x:v>
      </x:c>
      <x:c r="B144" s="442" t="str">
        <x:v>Criptografía aplicada I</x:v>
      </x:c>
      <x:c r="C144" s="442" t="str">
        <x:v>Ciberseguridad, forense y auditoría</x:v>
      </x:c>
      <x:c r="D144" s="442" t="str">
        <x:v>Sistemas e ingeniería</x:v>
      </x:c>
      <x:c r="E144" s="442" t="n">
        <x:v>2</x:v>
      </x:c>
      <x:c r="F144" s="442" t="n">
        <x:v>145</x:v>
      </x:c>
      <x:c r="G144" s="442" t="n">
        <x:v>19</x:v>
      </x:c>
      <x:c r="H144" s="442" t="str">
        <x:v>Massachusetts Institute of Technology (MIT); Stanford University; Carnegie Mellon University; University of California, Berkeley; Harvard University; Princeton University</x:v>
      </x:c>
      <x:c r="I144" s="442" t="str">
        <x:v>Cobertura de la familia temática; consultar la fuente oficial antes de atribuir una asignatura literal.</x:v>
      </x:c>
    </x:row>
    <x:row r="145" ht="42" customHeight="1">
      <x:c r="A145" s="445" t="str">
        <x:v>CYB-003</x:v>
      </x:c>
      <x:c r="B145" s="445" t="str">
        <x:v>Criptografía aplicada II</x:v>
      </x:c>
      <x:c r="C145" s="445" t="str">
        <x:v>Ciberseguridad, forense y auditoría</x:v>
      </x:c>
      <x:c r="D145" s="445" t="str">
        <x:v>Sistemas e ingeniería</x:v>
      </x:c>
      <x:c r="E145" s="445" t="n">
        <x:v>2</x:v>
      </x:c>
      <x:c r="F145" s="445" t="n">
        <x:v>145</x:v>
      </x:c>
      <x:c r="G145" s="445" t="n">
        <x:v>19</x:v>
      </x:c>
      <x:c r="H145" s="445" t="str">
        <x:v>Massachusetts Institute of Technology (MIT); Stanford University; Carnegie Mellon University; University of California, Berkeley; Harvard University; Princeton University</x:v>
      </x:c>
      <x:c r="I145" s="445" t="str">
        <x:v>Cobertura de la familia temática; consultar la fuente oficial antes de atribuir una asignatura literal.</x:v>
      </x:c>
    </x:row>
    <x:row r="146" ht="42" customHeight="1">
      <x:c r="A146" s="442" t="str">
        <x:v>CYB-004</x:v>
      </x:c>
      <x:c r="B146" s="442" t="str">
        <x:v>Gestión de identidades y accesos</x:v>
      </x:c>
      <x:c r="C146" s="442" t="str">
        <x:v>Ciberseguridad, forense y auditoría</x:v>
      </x:c>
      <x:c r="D146" s="442" t="str">
        <x:v>Sistemas e ingeniería</x:v>
      </x:c>
      <x:c r="E146" s="442" t="n">
        <x:v>2</x:v>
      </x:c>
      <x:c r="F146" s="442" t="n">
        <x:v>145</x:v>
      </x:c>
      <x:c r="G146" s="442" t="n">
        <x:v>19</x:v>
      </x:c>
      <x:c r="H146" s="442" t="str">
        <x:v>Massachusetts Institute of Technology (MIT); Stanford University; Carnegie Mellon University; University of California, Berkeley; Harvard University; Princeton University</x:v>
      </x:c>
      <x:c r="I146" s="442" t="str">
        <x:v>Cobertura de la familia temática; consultar la fuente oficial antes de atribuir una asignatura literal.</x:v>
      </x:c>
    </x:row>
    <x:row r="147" ht="42" customHeight="1">
      <x:c r="A147" s="445" t="str">
        <x:v>CYB-005</x:v>
      </x:c>
      <x:c r="B147" s="445" t="str">
        <x:v>Seguridad de redes</x:v>
      </x:c>
      <x:c r="C147" s="445" t="str">
        <x:v>Ciberseguridad, forense y auditoría</x:v>
      </x:c>
      <x:c r="D147" s="445" t="str">
        <x:v>Sistemas e ingeniería</x:v>
      </x:c>
      <x:c r="E147" s="445" t="n">
        <x:v>2</x:v>
      </x:c>
      <x:c r="F147" s="445" t="n">
        <x:v>145</x:v>
      </x:c>
      <x:c r="G147" s="445" t="n">
        <x:v>19</x:v>
      </x:c>
      <x:c r="H147" s="445" t="str">
        <x:v>Massachusetts Institute of Technology (MIT); Stanford University; Carnegie Mellon University; University of California, Berkeley; Harvard University; Princeton University</x:v>
      </x:c>
      <x:c r="I147" s="445" t="str">
        <x:v>Cobertura de la familia temática; consultar la fuente oficial antes de atribuir una asignatura literal.</x:v>
      </x:c>
    </x:row>
    <x:row r="148" ht="42" customHeight="1">
      <x:c r="A148" s="442" t="str">
        <x:v>CYB-006</x:v>
      </x:c>
      <x:c r="B148" s="442" t="str">
        <x:v>Seguridad de sistemas operativos</x:v>
      </x:c>
      <x:c r="C148" s="442" t="str">
        <x:v>Ciberseguridad, forense y auditoría</x:v>
      </x:c>
      <x:c r="D148" s="442" t="str">
        <x:v>Sistemas e ingeniería</x:v>
      </x:c>
      <x:c r="E148" s="442" t="n">
        <x:v>2</x:v>
      </x:c>
      <x:c r="F148" s="442" t="n">
        <x:v>145</x:v>
      </x:c>
      <x:c r="G148" s="442" t="n">
        <x:v>19</x:v>
      </x:c>
      <x:c r="H148" s="442" t="str">
        <x:v>Massachusetts Institute of Technology (MIT); Stanford University; Carnegie Mellon University; University of California, Berkeley; Harvard University; Princeton University</x:v>
      </x:c>
      <x:c r="I148" s="442" t="str">
        <x:v>Cobertura de la familia temática; consultar la fuente oficial antes de atribuir una asignatura literal.</x:v>
      </x:c>
    </x:row>
    <x:row r="149" ht="42" customHeight="1">
      <x:c r="A149" s="445" t="str">
        <x:v>CYB-007</x:v>
      </x:c>
      <x:c r="B149" s="445" t="str">
        <x:v>Seguridad de aplicaciones</x:v>
      </x:c>
      <x:c r="C149" s="445" t="str">
        <x:v>Ciberseguridad, forense y auditoría</x:v>
      </x:c>
      <x:c r="D149" s="445" t="str">
        <x:v>Sistemas e ingeniería</x:v>
      </x:c>
      <x:c r="E149" s="445" t="n">
        <x:v>2</x:v>
      </x:c>
      <x:c r="F149" s="445" t="n">
        <x:v>145</x:v>
      </x:c>
      <x:c r="G149" s="445" t="n">
        <x:v>19</x:v>
      </x:c>
      <x:c r="H149" s="445" t="str">
        <x:v>Massachusetts Institute of Technology (MIT); Stanford University; Carnegie Mellon University; University of California, Berkeley; Harvard University; Princeton University</x:v>
      </x:c>
      <x:c r="I149" s="445" t="str">
        <x:v>Cobertura de la familia temática; consultar la fuente oficial antes de atribuir una asignatura literal.</x:v>
      </x:c>
    </x:row>
    <x:row r="150" ht="42" customHeight="1">
      <x:c r="A150" s="442" t="str">
        <x:v>DAI-007</x:v>
      </x:c>
      <x:c r="B150" s="442" t="str">
        <x:v>Almacenes de datos y modelado dimensional</x:v>
      </x:c>
      <x:c r="C150" s="442" t="str">
        <x:v>Datos, BI e IA</x:v>
      </x:c>
      <x:c r="D150" s="442" t="str">
        <x:v>Sistemas e ingeniería</x:v>
      </x:c>
      <x:c r="E150" s="442" t="n">
        <x:v>1</x:v>
      </x:c>
      <x:c r="F150" s="442" t="n">
        <x:v>145</x:v>
      </x:c>
      <x:c r="G150" s="442" t="n">
        <x:v>19</x:v>
      </x:c>
      <x:c r="H150" s="442" t="str">
        <x:v>Massachusetts Institute of Technology (MIT); Stanford University; Carnegie Mellon University; University of California, Berkeley; Harvard University; Princeton University</x:v>
      </x:c>
      <x:c r="I150" s="442" t="str">
        <x:v>Cobertura de la familia temática; consultar la fuente oficial antes de atribuir una asignatura literal.</x:v>
      </x:c>
    </x:row>
    <x:row r="151" ht="42" customHeight="1">
      <x:c r="A151" s="445" t="str">
        <x:v>DAI-008</x:v>
      </x:c>
      <x:c r="B151" s="445" t="str">
        <x:v>ETL/ELT e integración de datos</x:v>
      </x:c>
      <x:c r="C151" s="445" t="str">
        <x:v>Datos, BI e IA</x:v>
      </x:c>
      <x:c r="D151" s="445" t="str">
        <x:v>Sistemas e ingeniería</x:v>
      </x:c>
      <x:c r="E151" s="445" t="n">
        <x:v>1</x:v>
      </x:c>
      <x:c r="F151" s="445" t="n">
        <x:v>145</x:v>
      </x:c>
      <x:c r="G151" s="445" t="n">
        <x:v>19</x:v>
      </x:c>
      <x:c r="H151" s="445" t="str">
        <x:v>Massachusetts Institute of Technology (MIT); Stanford University; Carnegie Mellon University; University of California, Berkeley; Harvard University; Princeton University</x:v>
      </x:c>
      <x:c r="I151" s="445" t="str">
        <x:v>Cobertura de la familia temática; consultar la fuente oficial antes de atribuir una asignatura literal.</x:v>
      </x:c>
    </x:row>
    <x:row r="152" ht="42" customHeight="1">
      <x:c r="A152" s="442" t="str">
        <x:v>DAI-009</x:v>
      </x:c>
      <x:c r="B152" s="442" t="str">
        <x:v>Calidad y observabilidad de datos</x:v>
      </x:c>
      <x:c r="C152" s="442" t="str">
        <x:v>Datos, BI e IA</x:v>
      </x:c>
      <x:c r="D152" s="442" t="str">
        <x:v>Sistemas e ingeniería</x:v>
      </x:c>
      <x:c r="E152" s="442" t="n">
        <x:v>1</x:v>
      </x:c>
      <x:c r="F152" s="442" t="n">
        <x:v>145</x:v>
      </x:c>
      <x:c r="G152" s="442" t="n">
        <x:v>19</x:v>
      </x:c>
      <x:c r="H152" s="442" t="str">
        <x:v>Massachusetts Institute of Technology (MIT); Stanford University; Carnegie Mellon University; University of California, Berkeley; Harvard University; Princeton University</x:v>
      </x:c>
      <x:c r="I152" s="442" t="str">
        <x:v>Cobertura de la familia temática; consultar la fuente oficial antes de atribuir una asignatura literal.</x:v>
      </x:c>
    </x:row>
    <x:row r="153" ht="42" customHeight="1">
      <x:c r="A153" s="445" t="str">
        <x:v>DAI-010</x:v>
      </x:c>
      <x:c r="B153" s="445" t="str">
        <x:v>Gobierno, catálogo, linaje y privacidad de datos</x:v>
      </x:c>
      <x:c r="C153" s="445" t="str">
        <x:v>Datos, BI e IA</x:v>
      </x:c>
      <x:c r="D153" s="445" t="str">
        <x:v>Sistemas e ingeniería</x:v>
      </x:c>
      <x:c r="E153" s="445" t="n">
        <x:v>1</x:v>
      </x:c>
      <x:c r="F153" s="445" t="n">
        <x:v>145</x:v>
      </x:c>
      <x:c r="G153" s="445" t="n">
        <x:v>19</x:v>
      </x:c>
      <x:c r="H153" s="445" t="str">
        <x:v>Massachusetts Institute of Technology (MIT); Stanford University; Carnegie Mellon University; University of California, Berkeley; Harvard University; Princeton University</x:v>
      </x:c>
      <x:c r="I153" s="445" t="str">
        <x:v>Cobertura de la familia temática; consultar la fuente oficial antes de atribuir una asignatura literal.</x:v>
      </x:c>
    </x:row>
    <x:row r="154" ht="42" customHeight="1">
      <x:c r="A154" s="442" t="str">
        <x:v>DAI-011</x:v>
      </x:c>
      <x:c r="B154" s="442" t="str">
        <x:v>Ingeniería de datos I</x:v>
      </x:c>
      <x:c r="C154" s="442" t="str">
        <x:v>Datos, BI e IA</x:v>
      </x:c>
      <x:c r="D154" s="442" t="str">
        <x:v>Sistemas e ingeniería</x:v>
      </x:c>
      <x:c r="E154" s="442" t="n">
        <x:v>1</x:v>
      </x:c>
      <x:c r="F154" s="442" t="n">
        <x:v>145</x:v>
      </x:c>
      <x:c r="G154" s="442" t="n">
        <x:v>19</x:v>
      </x:c>
      <x:c r="H154" s="442" t="str">
        <x:v>Massachusetts Institute of Technology (MIT); Stanford University; Carnegie Mellon University; University of California, Berkeley; Harvard University; Princeton University</x:v>
      </x:c>
      <x:c r="I154" s="442" t="str">
        <x:v>Cobertura de la familia temática; consultar la fuente oficial antes de atribuir una asignatura literal.</x:v>
      </x:c>
    </x:row>
    <x:row r="155" ht="42" customHeight="1">
      <x:c r="A155" s="445" t="str">
        <x:v>DAI-012</x:v>
      </x:c>
      <x:c r="B155" s="445" t="str">
        <x:v>Ingeniería de datos II</x:v>
      </x:c>
      <x:c r="C155" s="445" t="str">
        <x:v>Datos, BI e IA</x:v>
      </x:c>
      <x:c r="D155" s="445" t="str">
        <x:v>Sistemas e ingeniería</x:v>
      </x:c>
      <x:c r="E155" s="445" t="n">
        <x:v>1</x:v>
      </x:c>
      <x:c r="F155" s="445" t="n">
        <x:v>145</x:v>
      </x:c>
      <x:c r="G155" s="445" t="n">
        <x:v>19</x:v>
      </x:c>
      <x:c r="H155" s="445" t="str">
        <x:v>Massachusetts Institute of Technology (MIT); Stanford University; Carnegie Mellon University; University of California, Berkeley; Harvard University; Princeton University</x:v>
      </x:c>
      <x:c r="I155" s="445" t="str">
        <x:v>Cobertura de la familia temática; consultar la fuente oficial antes de atribuir una asignatura literal.</x:v>
      </x:c>
    </x:row>
    <x:row r="156" ht="42" customHeight="1">
      <x:c r="A156" s="442" t="str">
        <x:v>DAI-018</x:v>
      </x:c>
      <x:c r="B156" s="442" t="str">
        <x:v>Análisis de datos con Excel y Power Query</x:v>
      </x:c>
      <x:c r="C156" s="442" t="str">
        <x:v>Datos, BI e IA</x:v>
      </x:c>
      <x:c r="D156" s="442" t="str">
        <x:v>Sistemas e ingeniería</x:v>
      </x:c>
      <x:c r="E156" s="442" t="n">
        <x:v>2</x:v>
      </x:c>
      <x:c r="F156" s="442" t="n">
        <x:v>145</x:v>
      </x:c>
      <x:c r="G156" s="442" t="n">
        <x:v>19</x:v>
      </x:c>
      <x:c r="H156" s="442" t="str">
        <x:v>Massachusetts Institute of Technology (MIT); Stanford University; Carnegie Mellon University; University of California, Berkeley; Harvard University; Princeton University</x:v>
      </x:c>
      <x:c r="I156" s="442" t="str">
        <x:v>Cobertura de la familia temática; consultar la fuente oficial antes de atribuir una asignatura literal.</x:v>
      </x:c>
    </x:row>
    <x:row r="157" ht="42" customHeight="1">
      <x:c r="A157" s="445" t="str">
        <x:v>DAI-019</x:v>
      </x:c>
      <x:c r="B157" s="445" t="str">
        <x:v>Modelado tabular y DAX</x:v>
      </x:c>
      <x:c r="C157" s="445" t="str">
        <x:v>Datos, BI e IA</x:v>
      </x:c>
      <x:c r="D157" s="445" t="str">
        <x:v>Sistemas e ingeniería</x:v>
      </x:c>
      <x:c r="E157" s="445" t="n">
        <x:v>2</x:v>
      </x:c>
      <x:c r="F157" s="445" t="n">
        <x:v>145</x:v>
      </x:c>
      <x:c r="G157" s="445" t="n">
        <x:v>19</x:v>
      </x:c>
      <x:c r="H157" s="445" t="str">
        <x:v>Massachusetts Institute of Technology (MIT); Stanford University; Carnegie Mellon University; University of California, Berkeley; Harvard University; Princeton University</x:v>
      </x:c>
      <x:c r="I157" s="445" t="str">
        <x:v>Cobertura de la familia temática; consultar la fuente oficial antes de atribuir una asignatura literal.</x:v>
      </x:c>
    </x:row>
    <x:row r="158" ht="42" customHeight="1">
      <x:c r="A158" s="442" t="str">
        <x:v>DAI-020</x:v>
      </x:c>
      <x:c r="B158" s="442" t="str">
        <x:v>Power BI de analista a nivel profesional</x:v>
      </x:c>
      <x:c r="C158" s="442" t="str">
        <x:v>Datos, BI e IA</x:v>
      </x:c>
      <x:c r="D158" s="442" t="str">
        <x:v>Sistemas e ingeniería</x:v>
      </x:c>
      <x:c r="E158" s="442" t="n">
        <x:v>2</x:v>
      </x:c>
      <x:c r="F158" s="442" t="n">
        <x:v>145</x:v>
      </x:c>
      <x:c r="G158" s="442" t="n">
        <x:v>19</x:v>
      </x:c>
      <x:c r="H158" s="442" t="str">
        <x:v>Massachusetts Institute of Technology (MIT); Stanford University; Carnegie Mellon University; University of California, Berkeley; Harvard University; Princeton University</x:v>
      </x:c>
      <x:c r="I158" s="442" t="str">
        <x:v>Cobertura de la familia temática; consultar la fuente oficial antes de atribuir una asignatura literal.</x:v>
      </x:c>
    </x:row>
    <x:row r="159" ht="42" customHeight="1">
      <x:c r="A159" s="445" t="str">
        <x:v>DAI-021</x:v>
      </x:c>
      <x:c r="B159" s="445" t="str">
        <x:v>Tableau y visualización interactiva</x:v>
      </x:c>
      <x:c r="C159" s="445" t="str">
        <x:v>Datos, BI e IA</x:v>
      </x:c>
      <x:c r="D159" s="445" t="str">
        <x:v>Sistemas e ingeniería</x:v>
      </x:c>
      <x:c r="E159" s="445" t="n">
        <x:v>2</x:v>
      </x:c>
      <x:c r="F159" s="445" t="n">
        <x:v>145</x:v>
      </x:c>
      <x:c r="G159" s="445" t="n">
        <x:v>19</x:v>
      </x:c>
      <x:c r="H159" s="445" t="str">
        <x:v>Massachusetts Institute of Technology (MIT); Stanford University; Carnegie Mellon University; University of California, Berkeley; Harvard University; Princeton University</x:v>
      </x:c>
      <x:c r="I159" s="445" t="str">
        <x:v>Cobertura de la familia temática; consultar la fuente oficial antes de atribuir una asignatura literal.</x:v>
      </x:c>
    </x:row>
    <x:row r="160" ht="42" customHeight="1">
      <x:c r="A160" s="442" t="str">
        <x:v>DAI-022</x:v>
      </x:c>
      <x:c r="B160" s="442" t="str">
        <x:v>Visualización de datos y storytelling</x:v>
      </x:c>
      <x:c r="C160" s="442" t="str">
        <x:v>Datos, BI e IA</x:v>
      </x:c>
      <x:c r="D160" s="442" t="str">
        <x:v>Sistemas e ingeniería</x:v>
      </x:c>
      <x:c r="E160" s="442" t="n">
        <x:v>2</x:v>
      </x:c>
      <x:c r="F160" s="442" t="n">
        <x:v>145</x:v>
      </x:c>
      <x:c r="G160" s="442" t="n">
        <x:v>19</x:v>
      </x:c>
      <x:c r="H160" s="442" t="str">
        <x:v>Massachusetts Institute of Technology (MIT); Stanford University; Carnegie Mellon University; University of California, Berkeley; Harvard University; Princeton University</x:v>
      </x:c>
      <x:c r="I160" s="442" t="str">
        <x:v>Cobertura de la familia temática; consultar la fuente oficial antes de atribuir una asignatura literal.</x:v>
      </x:c>
    </x:row>
    <x:row r="161" ht="42" customHeight="1">
      <x:c r="A161" s="445" t="str">
        <x:v>MED-013</x:v>
      </x:c>
      <x:c r="B161" s="445" t="str">
        <x:v>Diseño vectorial con Illustrator/Corel</x:v>
      </x:c>
      <x:c r="C161" s="445" t="str">
        <x:v>Diseño, foto, cine y multimedia</x:v>
      </x:c>
      <x:c r="D161" s="445" t="str">
        <x:v>Sistemas e ingeniería</x:v>
      </x:c>
      <x:c r="E161" s="445" t="n">
        <x:v>3</x:v>
      </x:c>
      <x:c r="F161" s="445" t="n">
        <x:v>32</x:v>
      </x:c>
      <x:c r="G161" s="445" t="n">
        <x:v>4</x:v>
      </x:c>
      <x:c r="H161" s="445" t="str">
        <x:v>Georgia Institute of Technology; New York University; University of Southern California; University of Maryland, College Park; University of Pennsylvania; Simon Fraser University</x:v>
      </x:c>
      <x:c r="I161" s="445" t="str">
        <x:v>Cobertura de la familia temática; consultar la fuente oficial antes de atribuir una asignatura literal.</x:v>
      </x:c>
    </x:row>
    <x:row r="162" ht="42" customHeight="1">
      <x:c r="A162" s="442" t="str">
        <x:v>MED-014</x:v>
      </x:c>
      <x:c r="B162" s="442" t="str">
        <x:v>Edición raster con Photoshop/Affinity</x:v>
      </x:c>
      <x:c r="C162" s="442" t="str">
        <x:v>Diseño, foto, cine y multimedia</x:v>
      </x:c>
      <x:c r="D162" s="442" t="str">
        <x:v>Sistemas e ingeniería</x:v>
      </x:c>
      <x:c r="E162" s="442" t="n">
        <x:v>3</x:v>
      </x:c>
      <x:c r="F162" s="442" t="n">
        <x:v>32</x:v>
      </x:c>
      <x:c r="G162" s="442" t="n">
        <x:v>4</x:v>
      </x:c>
      <x:c r="H162" s="442" t="str">
        <x:v>Georgia Institute of Technology; New York University; University of Southern California; University of Maryland, College Park; University of Pennsylvania; Simon Fraser University</x:v>
      </x:c>
      <x:c r="I162" s="442" t="str">
        <x:v>Cobertura de la familia temática; consultar la fuente oficial antes de atribuir una asignatura literal.</x:v>
      </x:c>
    </x:row>
    <x:row r="163" ht="42" customHeight="1">
      <x:c r="A163" s="445" t="str">
        <x:v>MED-015</x:v>
      </x:c>
      <x:c r="B163" s="445" t="str">
        <x:v>Maquetación con InDesign/Publisher</x:v>
      </x:c>
      <x:c r="C163" s="445" t="str">
        <x:v>Diseño, foto, cine y multimedia</x:v>
      </x:c>
      <x:c r="D163" s="445" t="str">
        <x:v>Sistemas e ingeniería</x:v>
      </x:c>
      <x:c r="E163" s="445" t="n">
        <x:v>3</x:v>
      </x:c>
      <x:c r="F163" s="445" t="n">
        <x:v>32</x:v>
      </x:c>
      <x:c r="G163" s="445" t="n">
        <x:v>4</x:v>
      </x:c>
      <x:c r="H163" s="445" t="str">
        <x:v>Georgia Institute of Technology; New York University; University of Southern California; University of Maryland, College Park; University of Pennsylvania; Simon Fraser University</x:v>
      </x:c>
      <x:c r="I163" s="445" t="str">
        <x:v>Cobertura de la familia temática; consultar la fuente oficial antes de atribuir una asignatura literal.</x:v>
      </x:c>
    </x:row>
    <x:row r="164" ht="42" customHeight="1">
      <x:c r="A164" s="442" t="str">
        <x:v>MED-016</x:v>
      </x:c>
      <x:c r="B164" s="442" t="str">
        <x:v>Preprensa, color e impresión</x:v>
      </x:c>
      <x:c r="C164" s="442" t="str">
        <x:v>Diseño, foto, cine y multimedia</x:v>
      </x:c>
      <x:c r="D164" s="442" t="str">
        <x:v>Sistemas e ingeniería</x:v>
      </x:c>
      <x:c r="E164" s="442" t="n">
        <x:v>3</x:v>
      </x:c>
      <x:c r="F164" s="442" t="n">
        <x:v>32</x:v>
      </x:c>
      <x:c r="G164" s="442" t="n">
        <x:v>4</x:v>
      </x:c>
      <x:c r="H164" s="442" t="str">
        <x:v>Georgia Institute of Technology; New York University; University of Southern California; University of Maryland, College Park; University of Pennsylvania; Simon Fraser University</x:v>
      </x:c>
      <x:c r="I164" s="442" t="str">
        <x:v>Cobertura de la familia temática; consultar la fuente oficial antes de atribuir una asignatura literal.</x:v>
      </x:c>
    </x:row>
    <x:row r="165" ht="42" customHeight="1">
      <x:c r="A165" s="445" t="str">
        <x:v>MED-017</x:v>
      </x:c>
      <x:c r="B165" s="445" t="str">
        <x:v>Motion graphics</x:v>
      </x:c>
      <x:c r="C165" s="445" t="str">
        <x:v>Diseño, foto, cine y multimedia</x:v>
      </x:c>
      <x:c r="D165" s="445" t="str">
        <x:v>Sistemas e ingeniería</x:v>
      </x:c>
      <x:c r="E165" s="445" t="n">
        <x:v>3</x:v>
      </x:c>
      <x:c r="F165" s="445" t="n">
        <x:v>32</x:v>
      </x:c>
      <x:c r="G165" s="445" t="n">
        <x:v>4</x:v>
      </x:c>
      <x:c r="H165" s="445" t="str">
        <x:v>Georgia Institute of Technology; New York University; University of Southern California; University of Maryland, College Park; University of Pennsylvania; Simon Fraser University</x:v>
      </x:c>
      <x:c r="I165" s="445" t="str">
        <x:v>Cobertura de la familia temática; consultar la fuente oficial antes de atribuir una asignatura literal.</x:v>
      </x:c>
    </x:row>
    <x:row r="166" ht="42" customHeight="1">
      <x:c r="A166" s="442" t="str">
        <x:v>MED-018</x:v>
      </x:c>
      <x:c r="B166" s="442" t="str">
        <x:v>Diseño 3D y visualización</x:v>
      </x:c>
      <x:c r="C166" s="442" t="str">
        <x:v>Diseño, foto, cine y multimedia</x:v>
      </x:c>
      <x:c r="D166" s="442" t="str">
        <x:v>Sistemas e ingeniería</x:v>
      </x:c>
      <x:c r="E166" s="442" t="n">
        <x:v>3</x:v>
      </x:c>
      <x:c r="F166" s="442" t="n">
        <x:v>32</x:v>
      </x:c>
      <x:c r="G166" s="442" t="n">
        <x:v>4</x:v>
      </x:c>
      <x:c r="H166" s="442" t="str">
        <x:v>Georgia Institute of Technology; New York University; University of Southern California; University of Maryland, College Park; University of Pennsylvania; Simon Fraser University</x:v>
      </x:c>
      <x:c r="I166" s="442" t="str">
        <x:v>Cobertura de la familia temática; consultar la fuente oficial antes de atribuir una asignatura literal.</x:v>
      </x:c>
    </x:row>
    <x:row r="167" ht="42" customHeight="1">
      <x:c r="A167" s="445" t="str">
        <x:v>MED-026</x:v>
      </x:c>
      <x:c r="B167" s="445" t="str">
        <x:v>Dirección cinematográfica</x:v>
      </x:c>
      <x:c r="C167" s="445" t="str">
        <x:v>Diseño, foto, cine y multimedia</x:v>
      </x:c>
      <x:c r="D167" s="445" t="str">
        <x:v>Sistemas e ingeniería</x:v>
      </x:c>
      <x:c r="E167" s="445" t="n">
        <x:v>3</x:v>
      </x:c>
      <x:c r="F167" s="445" t="n">
        <x:v>32</x:v>
      </x:c>
      <x:c r="G167" s="445" t="n">
        <x:v>4</x:v>
      </x:c>
      <x:c r="H167" s="445" t="str">
        <x:v>Georgia Institute of Technology; New York University; University of Southern California; University of Maryland, College Park; University of Pennsylvania; Simon Fraser University</x:v>
      </x:c>
      <x:c r="I167" s="445" t="str">
        <x:v>Cobertura de la familia temática; consultar la fuente oficial antes de atribuir una asignatura literal.</x:v>
      </x:c>
    </x:row>
    <x:row r="168" ht="42" customHeight="1">
      <x:c r="A168" s="442" t="str">
        <x:v>MED-027</x:v>
      </x:c>
      <x:c r="B168" s="442" t="str">
        <x:v>Producción audiovisual</x:v>
      </x:c>
      <x:c r="C168" s="442" t="str">
        <x:v>Diseño, foto, cine y multimedia</x:v>
      </x:c>
      <x:c r="D168" s="442" t="str">
        <x:v>Sistemas e ingeniería</x:v>
      </x:c>
      <x:c r="E168" s="442" t="n">
        <x:v>3</x:v>
      </x:c>
      <x:c r="F168" s="442" t="n">
        <x:v>32</x:v>
      </x:c>
      <x:c r="G168" s="442" t="n">
        <x:v>4</x:v>
      </x:c>
      <x:c r="H168" s="442" t="str">
        <x:v>Georgia Institute of Technology; New York University; University of Southern California; University of Maryland, College Park; University of Pennsylvania; Simon Fraser University</x:v>
      </x:c>
      <x:c r="I168" s="442" t="str">
        <x:v>Cobertura de la familia temática; consultar la fuente oficial antes de atribuir una asignatura literal.</x:v>
      </x:c>
    </x:row>
    <x:row r="169" ht="42" customHeight="1">
      <x:c r="A169" s="445" t="str">
        <x:v>MED-028</x:v>
      </x:c>
      <x:c r="B169" s="445" t="str">
        <x:v>Cinematografía y cámara</x:v>
      </x:c>
      <x:c r="C169" s="445" t="str">
        <x:v>Diseño, foto, cine y multimedia</x:v>
      </x:c>
      <x:c r="D169" s="445" t="str">
        <x:v>Sistemas e ingeniería</x:v>
      </x:c>
      <x:c r="E169" s="445" t="n">
        <x:v>3</x:v>
      </x:c>
      <x:c r="F169" s="445" t="n">
        <x:v>32</x:v>
      </x:c>
      <x:c r="G169" s="445" t="n">
        <x:v>4</x:v>
      </x:c>
      <x:c r="H169" s="445" t="str">
        <x:v>Georgia Institute of Technology; New York University; University of Southern California; University of Maryland, College Park; University of Pennsylvania; Simon Fraser University</x:v>
      </x:c>
      <x:c r="I169" s="445" t="str">
        <x:v>Cobertura de la familia temática; consultar la fuente oficial antes de atribuir una asignatura literal.</x:v>
      </x:c>
    </x:row>
    <x:row r="170" ht="42" customHeight="1">
      <x:c r="A170" s="442" t="str">
        <x:v>MED-029</x:v>
      </x:c>
      <x:c r="B170" s="442" t="str">
        <x:v>Iluminación para cine y video</x:v>
      </x:c>
      <x:c r="C170" s="442" t="str">
        <x:v>Diseño, foto, cine y multimedia</x:v>
      </x:c>
      <x:c r="D170" s="442" t="str">
        <x:v>Sistemas e ingeniería</x:v>
      </x:c>
      <x:c r="E170" s="442" t="n">
        <x:v>3</x:v>
      </x:c>
      <x:c r="F170" s="442" t="n">
        <x:v>32</x:v>
      </x:c>
      <x:c r="G170" s="442" t="n">
        <x:v>4</x:v>
      </x:c>
      <x:c r="H170" s="442" t="str">
        <x:v>Georgia Institute of Technology; New York University; University of Southern California; University of Maryland, College Park; University of Pennsylvania; Simon Fraser University</x:v>
      </x:c>
      <x:c r="I170" s="442" t="str">
        <x:v>Cobertura de la familia temática; consultar la fuente oficial antes de atribuir una asignatura literal.</x:v>
      </x:c>
    </x:row>
    <x:row r="171" ht="42" customHeight="1">
      <x:c r="A171" s="445" t="str">
        <x:v>MED-030</x:v>
      </x:c>
      <x:c r="B171" s="445" t="str">
        <x:v>Sonido, grabación y mezcla</x:v>
      </x:c>
      <x:c r="C171" s="445" t="str">
        <x:v>Diseño, foto, cine y multimedia</x:v>
      </x:c>
      <x:c r="D171" s="445" t="str">
        <x:v>Sistemas e ingeniería</x:v>
      </x:c>
      <x:c r="E171" s="445" t="n">
        <x:v>3</x:v>
      </x:c>
      <x:c r="F171" s="445" t="n">
        <x:v>32</x:v>
      </x:c>
      <x:c r="G171" s="445" t="n">
        <x:v>4</x:v>
      </x:c>
      <x:c r="H171" s="445" t="str">
        <x:v>Georgia Institute of Technology; New York University; University of Southern California; University of Maryland, College Park; University of Pennsylvania; Simon Fraser University</x:v>
      </x:c>
      <x:c r="I171" s="445" t="str">
        <x:v>Cobertura de la familia temática; consultar la fuente oficial antes de atribuir una asignatura literal.</x:v>
      </x:c>
    </x:row>
    <x:row r="172" ht="42" customHeight="1">
      <x:c r="A172" s="442" t="str">
        <x:v>MED-031</x:v>
      </x:c>
      <x:c r="B172" s="442" t="str">
        <x:v>Edición de video</x:v>
      </x:c>
      <x:c r="C172" s="442" t="str">
        <x:v>Diseño, foto, cine y multimedia</x:v>
      </x:c>
      <x:c r="D172" s="442" t="str">
        <x:v>Sistemas e ingeniería</x:v>
      </x:c>
      <x:c r="E172" s="442" t="n">
        <x:v>3</x:v>
      </x:c>
      <x:c r="F172" s="442" t="n">
        <x:v>32</x:v>
      </x:c>
      <x:c r="G172" s="442" t="n">
        <x:v>4</x:v>
      </x:c>
      <x:c r="H172" s="442" t="str">
        <x:v>Georgia Institute of Technology; New York University; University of Southern California; University of Maryland, College Park; University of Pennsylvania; Simon Fraser University</x:v>
      </x:c>
      <x:c r="I172" s="442" t="str">
        <x:v>Cobertura de la familia temática; consultar la fuente oficial antes de atribuir una asignatura literal.</x:v>
      </x:c>
    </x:row>
    <x:row r="173" ht="42" customHeight="1">
      <x:c r="A173" s="445" t="str">
        <x:v>MED-032</x:v>
      </x:c>
      <x:c r="B173" s="445" t="str">
        <x:v>Corrección y gradación de color</x:v>
      </x:c>
      <x:c r="C173" s="445" t="str">
        <x:v>Diseño, foto, cine y multimedia</x:v>
      </x:c>
      <x:c r="D173" s="445" t="str">
        <x:v>Sistemas e ingeniería</x:v>
      </x:c>
      <x:c r="E173" s="445" t="n">
        <x:v>3</x:v>
      </x:c>
      <x:c r="F173" s="445" t="n">
        <x:v>32</x:v>
      </x:c>
      <x:c r="G173" s="445" t="n">
        <x:v>4</x:v>
      </x:c>
      <x:c r="H173" s="445" t="str">
        <x:v>Georgia Institute of Technology; New York University; University of Southern California; University of Maryland, College Park; University of Pennsylvania; Simon Fraser University</x:v>
      </x:c>
      <x:c r="I173" s="445" t="str">
        <x:v>Cobertura de la familia temática; consultar la fuente oficial antes de atribuir una asignatura literal.</x:v>
      </x:c>
    </x:row>
    <x:row r="174" ht="42" customHeight="1">
      <x:c r="A174" s="442" t="str">
        <x:v>EIO-007</x:v>
      </x:c>
      <x:c r="B174" s="442" t="str">
        <x:v>Dispositivos semiconductores</x:v>
      </x:c>
      <x:c r="C174" s="442" t="str">
        <x:v>Electrónica, embebidos e IoT</x:v>
      </x:c>
      <x:c r="D174" s="442" t="str">
        <x:v>Sistemas e ingeniería</x:v>
      </x:c>
      <x:c r="E174" s="442" t="n">
        <x:v>1</x:v>
      </x:c>
      <x:c r="F174" s="442" t="n">
        <x:v>128</x:v>
      </x:c>
      <x:c r="G174" s="442" t="n">
        <x:v>17</x:v>
      </x:c>
      <x:c r="H174" s="442" t="str">
        <x:v>Massachusetts Institute of Technology (MIT); Stanford University; Carnegie Mellon University; University of California, Berkeley; Harvard University; Princeton University</x:v>
      </x:c>
      <x:c r="I174" s="442" t="str">
        <x:v>Cobertura de la familia temática; consultar la fuente oficial antes de atribuir una asignatura literal.</x:v>
      </x:c>
    </x:row>
    <x:row r="175" ht="42" customHeight="1">
      <x:c r="A175" s="445" t="str">
        <x:v>EIO-008</x:v>
      </x:c>
      <x:c r="B175" s="445" t="str">
        <x:v>Electrónica de potencia</x:v>
      </x:c>
      <x:c r="C175" s="445" t="str">
        <x:v>Electrónica, embebidos e IoT</x:v>
      </x:c>
      <x:c r="D175" s="445" t="str">
        <x:v>Sistemas e ingeniería</x:v>
      </x:c>
      <x:c r="E175" s="445" t="n">
        <x:v>1</x:v>
      </x:c>
      <x:c r="F175" s="445" t="n">
        <x:v>128</x:v>
      </x:c>
      <x:c r="G175" s="445" t="n">
        <x:v>17</x:v>
      </x:c>
      <x:c r="H175" s="445" t="str">
        <x:v>Massachusetts Institute of Technology (MIT); Stanford University; Carnegie Mellon University; University of California, Berkeley; Harvard University; Princeton University</x:v>
      </x:c>
      <x:c r="I175" s="445" t="str">
        <x:v>Cobertura de la familia temática; consultar la fuente oficial antes de atribuir una asignatura literal.</x:v>
      </x:c>
    </x:row>
    <x:row r="176" ht="42" customHeight="1">
      <x:c r="A176" s="442" t="str">
        <x:v>EIO-009</x:v>
      </x:c>
      <x:c r="B176" s="442" t="str">
        <x:v>Instrumentación y metrología</x:v>
      </x:c>
      <x:c r="C176" s="442" t="str">
        <x:v>Electrónica, embebidos e IoT</x:v>
      </x:c>
      <x:c r="D176" s="442" t="str">
        <x:v>Sistemas e ingeniería</x:v>
      </x:c>
      <x:c r="E176" s="442" t="n">
        <x:v>1</x:v>
      </x:c>
      <x:c r="F176" s="442" t="n">
        <x:v>128</x:v>
      </x:c>
      <x:c r="G176" s="442" t="n">
        <x:v>17</x:v>
      </x:c>
      <x:c r="H176" s="442" t="str">
        <x:v>Massachusetts Institute of Technology (MIT); Stanford University; Carnegie Mellon University; University of California, Berkeley; Harvard University; Princeton University</x:v>
      </x:c>
      <x:c r="I176" s="442" t="str">
        <x:v>Cobertura de la familia temática; consultar la fuente oficial antes de atribuir una asignatura literal.</x:v>
      </x:c>
    </x:row>
    <x:row r="177" ht="42" customHeight="1">
      <x:c r="A177" s="445" t="str">
        <x:v>EIO-010</x:v>
      </x:c>
      <x:c r="B177" s="445" t="str">
        <x:v>Procesamiento digital de señales</x:v>
      </x:c>
      <x:c r="C177" s="445" t="str">
        <x:v>Electrónica, embebidos e IoT</x:v>
      </x:c>
      <x:c r="D177" s="445" t="str">
        <x:v>Sistemas e ingeniería</x:v>
      </x:c>
      <x:c r="E177" s="445" t="n">
        <x:v>1</x:v>
      </x:c>
      <x:c r="F177" s="445" t="n">
        <x:v>128</x:v>
      </x:c>
      <x:c r="G177" s="445" t="n">
        <x:v>17</x:v>
      </x:c>
      <x:c r="H177" s="445" t="str">
        <x:v>Massachusetts Institute of Technology (MIT); Stanford University; Carnegie Mellon University; University of California, Berkeley; Harvard University; Princeton University</x:v>
      </x:c>
      <x:c r="I177" s="445" t="str">
        <x:v>Cobertura de la familia temática; consultar la fuente oficial antes de atribuir una asignatura literal.</x:v>
      </x:c>
    </x:row>
    <x:row r="178" ht="42" customHeight="1">
      <x:c r="A178" s="442" t="str">
        <x:v>EIO-011</x:v>
      </x:c>
      <x:c r="B178" s="442" t="str">
        <x:v>Diseño de PCB</x:v>
      </x:c>
      <x:c r="C178" s="442" t="str">
        <x:v>Electrónica, embebidos e IoT</x:v>
      </x:c>
      <x:c r="D178" s="442" t="str">
        <x:v>Sistemas e ingeniería</x:v>
      </x:c>
      <x:c r="E178" s="442" t="n">
        <x:v>1</x:v>
      </x:c>
      <x:c r="F178" s="442" t="n">
        <x:v>128</x:v>
      </x:c>
      <x:c r="G178" s="442" t="n">
        <x:v>17</x:v>
      </x:c>
      <x:c r="H178" s="442" t="str">
        <x:v>Massachusetts Institute of Technology (MIT); Stanford University; Carnegie Mellon University; University of California, Berkeley; Harvard University; Princeton University</x:v>
      </x:c>
      <x:c r="I178" s="442" t="str">
        <x:v>Cobertura de la familia temática; consultar la fuente oficial antes de atribuir una asignatura literal.</x:v>
      </x:c>
    </x:row>
    <x:row r="179" ht="42" customHeight="1">
      <x:c r="A179" s="445" t="str">
        <x:v>EIO-012</x:v>
      </x:c>
      <x:c r="B179" s="445" t="str">
        <x:v>Soldadura, retrabajo y microsoldadura</x:v>
      </x:c>
      <x:c r="C179" s="445" t="str">
        <x:v>Electrónica, embebidos e IoT</x:v>
      </x:c>
      <x:c r="D179" s="445" t="str">
        <x:v>Sistemas e ingeniería</x:v>
      </x:c>
      <x:c r="E179" s="445" t="n">
        <x:v>1</x:v>
      </x:c>
      <x:c r="F179" s="445" t="n">
        <x:v>128</x:v>
      </x:c>
      <x:c r="G179" s="445" t="n">
        <x:v>17</x:v>
      </x:c>
      <x:c r="H179" s="445" t="str">
        <x:v>Massachusetts Institute of Technology (MIT); Stanford University; Carnegie Mellon University; University of California, Berkeley; Harvard University; Princeton University</x:v>
      </x:c>
      <x:c r="I179" s="445" t="str">
        <x:v>Cobertura de la familia temática; consultar la fuente oficial antes de atribuir una asignatura literal.</x:v>
      </x:c>
    </x:row>
    <x:row r="180" ht="42" customHeight="1">
      <x:c r="A180" s="442" t="str">
        <x:v>EIO-016</x:v>
      </x:c>
      <x:c r="B180" s="442" t="str">
        <x:v>Microcontroladores</x:v>
      </x:c>
      <x:c r="C180" s="442" t="str">
        <x:v>Electrónica, embebidos e IoT</x:v>
      </x:c>
      <x:c r="D180" s="442" t="str">
        <x:v>Sistemas e ingeniería</x:v>
      </x:c>
      <x:c r="E180" s="442" t="n">
        <x:v>2</x:v>
      </x:c>
      <x:c r="F180" s="442" t="n">
        <x:v>128</x:v>
      </x:c>
      <x:c r="G180" s="442" t="n">
        <x:v>17</x:v>
      </x:c>
      <x:c r="H180" s="442" t="str">
        <x:v>Massachusetts Institute of Technology (MIT); Stanford University; Carnegie Mellon University; University of California, Berkeley; Harvard University; Princeton University</x:v>
      </x:c>
      <x:c r="I180" s="442" t="str">
        <x:v>Cobertura de la familia temática; consultar la fuente oficial antes de atribuir una asignatura literal.</x:v>
      </x:c>
    </x:row>
    <x:row r="181" ht="42" customHeight="1">
      <x:c r="A181" s="445" t="str">
        <x:v>EIO-017</x:v>
      </x:c>
      <x:c r="B181" s="445" t="str">
        <x:v>Programación embebida en C/C++</x:v>
      </x:c>
      <x:c r="C181" s="445" t="str">
        <x:v>Electrónica, embebidos e IoT</x:v>
      </x:c>
      <x:c r="D181" s="445" t="str">
        <x:v>Sistemas e ingeniería</x:v>
      </x:c>
      <x:c r="E181" s="445" t="n">
        <x:v>2</x:v>
      </x:c>
      <x:c r="F181" s="445" t="n">
        <x:v>128</x:v>
      </x:c>
      <x:c r="G181" s="445" t="n">
        <x:v>17</x:v>
      </x:c>
      <x:c r="H181" s="445" t="str">
        <x:v>Massachusetts Institute of Technology (MIT); Stanford University; Carnegie Mellon University; University of California, Berkeley; Harvard University; Princeton University</x:v>
      </x:c>
      <x:c r="I181" s="445" t="str">
        <x:v>Cobertura de la familia temática; consultar la fuente oficial antes de atribuir una asignatura literal.</x:v>
      </x:c>
    </x:row>
    <x:row r="182" ht="42" customHeight="1">
      <x:c r="A182" s="442" t="str">
        <x:v>EIO-018</x:v>
      </x:c>
      <x:c r="B182" s="442" t="str">
        <x:v>FPGA y diseño digital con HDL</x:v>
      </x:c>
      <x:c r="C182" s="442" t="str">
        <x:v>Electrónica, embebidos e IoT</x:v>
      </x:c>
      <x:c r="D182" s="442" t="str">
        <x:v>Sistemas e ingeniería</x:v>
      </x:c>
      <x:c r="E182" s="442" t="n">
        <x:v>2</x:v>
      </x:c>
      <x:c r="F182" s="442" t="n">
        <x:v>128</x:v>
      </x:c>
      <x:c r="G182" s="442" t="n">
        <x:v>17</x:v>
      </x:c>
      <x:c r="H182" s="442" t="str">
        <x:v>Massachusetts Institute of Technology (MIT); Stanford University; Carnegie Mellon University; University of California, Berkeley; Harvard University; Princeton University</x:v>
      </x:c>
      <x:c r="I182" s="442" t="str">
        <x:v>Cobertura de la familia temática; consultar la fuente oficial antes de atribuir una asignatura literal.</x:v>
      </x:c>
    </x:row>
    <x:row r="183" ht="42" customHeight="1">
      <x:c r="A183" s="445" t="str">
        <x:v>EIO-019</x:v>
      </x:c>
      <x:c r="B183" s="445" t="str">
        <x:v>Sistemas embebidos avanzados</x:v>
      </x:c>
      <x:c r="C183" s="445" t="str">
        <x:v>Electrónica, embebidos e IoT</x:v>
      </x:c>
      <x:c r="D183" s="445" t="str">
        <x:v>Sistemas e ingeniería</x:v>
      </x:c>
      <x:c r="E183" s="445" t="n">
        <x:v>2</x:v>
      </x:c>
      <x:c r="F183" s="445" t="n">
        <x:v>128</x:v>
      </x:c>
      <x:c r="G183" s="445" t="n">
        <x:v>17</x:v>
      </x:c>
      <x:c r="H183" s="445" t="str">
        <x:v>Massachusetts Institute of Technology (MIT); Stanford University; Carnegie Mellon University; University of California, Berkeley; Harvard University; Princeton University</x:v>
      </x:c>
      <x:c r="I183" s="445" t="str">
        <x:v>Cobertura de la familia temática; consultar la fuente oficial antes de atribuir una asignatura literal.</x:v>
      </x:c>
    </x:row>
    <x:row r="184" ht="42" customHeight="1">
      <x:c r="A184" s="442" t="str">
        <x:v>EIO-020</x:v>
      </x:c>
      <x:c r="B184" s="442" t="str">
        <x:v>Linux embebido y Yocto</x:v>
      </x:c>
      <x:c r="C184" s="442" t="str">
        <x:v>Electrónica, embebidos e IoT</x:v>
      </x:c>
      <x:c r="D184" s="442" t="str">
        <x:v>Sistemas e ingeniería</x:v>
      </x:c>
      <x:c r="E184" s="442" t="n">
        <x:v>2</x:v>
      </x:c>
      <x:c r="F184" s="442" t="n">
        <x:v>128</x:v>
      </x:c>
      <x:c r="G184" s="442" t="n">
        <x:v>17</x:v>
      </x:c>
      <x:c r="H184" s="442" t="str">
        <x:v>Massachusetts Institute of Technology (MIT); Stanford University; Carnegie Mellon University; University of California, Berkeley; Harvard University; Princeton University</x:v>
      </x:c>
      <x:c r="I184" s="442" t="str">
        <x:v>Cobertura de la familia temática; consultar la fuente oficial antes de atribuir una asignatura literal.</x:v>
      </x:c>
    </x:row>
    <x:row r="185" ht="42" customHeight="1">
      <x:c r="A185" s="445" t="str">
        <x:v>EIO-021</x:v>
      </x:c>
      <x:c r="B185" s="445" t="str">
        <x:v>Sensores y actuadores</x:v>
      </x:c>
      <x:c r="C185" s="445" t="str">
        <x:v>Electrónica, embebidos e IoT</x:v>
      </x:c>
      <x:c r="D185" s="445" t="str">
        <x:v>Sistemas e ingeniería</x:v>
      </x:c>
      <x:c r="E185" s="445" t="n">
        <x:v>2</x:v>
      </x:c>
      <x:c r="F185" s="445" t="n">
        <x:v>128</x:v>
      </x:c>
      <x:c r="G185" s="445" t="n">
        <x:v>17</x:v>
      </x:c>
      <x:c r="H185" s="445" t="str">
        <x:v>Massachusetts Institute of Technology (MIT); Stanford University; Carnegie Mellon University; University of California, Berkeley; Harvard University; Princeton University</x:v>
      </x:c>
      <x:c r="I185" s="445" t="str">
        <x:v>Cobertura de la familia temática; consultar la fuente oficial antes de atribuir una asignatura literal.</x:v>
      </x:c>
    </x:row>
    <x:row r="186" ht="42" customHeight="1">
      <x:c r="A186" s="442" t="str">
        <x:v>SWE-008</x:v>
      </x:c>
      <x:c r="B186" s="442" t="str">
        <x:v>Pruebas de software II y automatización</x:v>
      </x:c>
      <x:c r="C186" s="442" t="str">
        <x:v>Ingeniería de software</x:v>
      </x:c>
      <x:c r="D186" s="442" t="str">
        <x:v>Sistemas e ingeniería</x:v>
      </x:c>
      <x:c r="E186" s="442" t="n">
        <x:v>1</x:v>
      </x:c>
      <x:c r="F186" s="442" t="n">
        <x:v>147</x:v>
      </x:c>
      <x:c r="G186" s="442" t="n">
        <x:v>19</x:v>
      </x:c>
      <x:c r="H186" s="442" t="str">
        <x:v>Massachusetts Institute of Technology (MIT); Stanford University; Carnegie Mellon University; University of California, Berkeley; Harvard University; Princeton University</x:v>
      </x:c>
      <x:c r="I186" s="442" t="str">
        <x:v>Cobertura de la familia temática; consultar la fuente oficial antes de atribuir una asignatura literal.</x:v>
      </x:c>
    </x:row>
    <x:row r="187" ht="42" customHeight="1">
      <x:c r="A187" s="445" t="str">
        <x:v>SWE-009</x:v>
      </x:c>
      <x:c r="B187" s="445" t="str">
        <x:v>Gestión de configuración y versiones</x:v>
      </x:c>
      <x:c r="C187" s="445" t="str">
        <x:v>Ingeniería de software</x:v>
      </x:c>
      <x:c r="D187" s="445" t="str">
        <x:v>Sistemas e ingeniería</x:v>
      </x:c>
      <x:c r="E187" s="445" t="n">
        <x:v>1</x:v>
      </x:c>
      <x:c r="F187" s="445" t="n">
        <x:v>147</x:v>
      </x:c>
      <x:c r="G187" s="445" t="n">
        <x:v>19</x:v>
      </x:c>
      <x:c r="H187" s="445" t="str">
        <x:v>Massachusetts Institute of Technology (MIT); Stanford University; Carnegie Mellon University; University of California, Berkeley; Harvard University; Princeton University</x:v>
      </x:c>
      <x:c r="I187" s="445" t="str">
        <x:v>Cobertura de la familia temática; consultar la fuente oficial antes de atribuir una asignatura literal.</x:v>
      </x:c>
    </x:row>
    <x:row r="188" ht="42" customHeight="1">
      <x:c r="A188" s="442" t="str">
        <x:v>SWE-010</x:v>
      </x:c>
      <x:c r="B188" s="442" t="str">
        <x:v>Métodos ágiles y Lean</x:v>
      </x:c>
      <x:c r="C188" s="442" t="str">
        <x:v>Ingeniería de software</x:v>
      </x:c>
      <x:c r="D188" s="442" t="str">
        <x:v>Sistemas e ingeniería</x:v>
      </x:c>
      <x:c r="E188" s="442" t="n">
        <x:v>1</x:v>
      </x:c>
      <x:c r="F188" s="442" t="n">
        <x:v>147</x:v>
      </x:c>
      <x:c r="G188" s="442" t="n">
        <x:v>19</x:v>
      </x:c>
      <x:c r="H188" s="442" t="str">
        <x:v>Massachusetts Institute of Technology (MIT); Stanford University; Carnegie Mellon University; University of California, Berkeley; Harvard University; Princeton University</x:v>
      </x:c>
      <x:c r="I188" s="442" t="str">
        <x:v>Cobertura de la familia temática; consultar la fuente oficial antes de atribuir una asignatura literal.</x:v>
      </x:c>
    </x:row>
    <x:row r="189" ht="42" customHeight="1">
      <x:c r="A189" s="445" t="str">
        <x:v>SWE-011</x:v>
      </x:c>
      <x:c r="B189" s="445" t="str">
        <x:v>Gestión de proyectos de software</x:v>
      </x:c>
      <x:c r="C189" s="445" t="str">
        <x:v>Ingeniería de software</x:v>
      </x:c>
      <x:c r="D189" s="445" t="str">
        <x:v>Sistemas e ingeniería</x:v>
      </x:c>
      <x:c r="E189" s="445" t="n">
        <x:v>1</x:v>
      </x:c>
      <x:c r="F189" s="445" t="n">
        <x:v>147</x:v>
      </x:c>
      <x:c r="G189" s="445" t="n">
        <x:v>19</x:v>
      </x:c>
      <x:c r="H189" s="445" t="str">
        <x:v>Massachusetts Institute of Technology (MIT); Stanford University; Carnegie Mellon University; University of California, Berkeley; Harvard University; Princeton University</x:v>
      </x:c>
      <x:c r="I189" s="445" t="str">
        <x:v>Cobertura de la familia temática; consultar la fuente oficial antes de atribuir una asignatura literal.</x:v>
      </x:c>
    </x:row>
    <x:row r="190" ht="42" customHeight="1">
      <x:c r="A190" s="442" t="str">
        <x:v>SWE-012</x:v>
      </x:c>
      <x:c r="B190" s="442" t="str">
        <x:v>DevOps y entrega continua</x:v>
      </x:c>
      <x:c r="C190" s="442" t="str">
        <x:v>Ingeniería de software</x:v>
      </x:c>
      <x:c r="D190" s="442" t="str">
        <x:v>Sistemas e ingeniería</x:v>
      </x:c>
      <x:c r="E190" s="442" t="n">
        <x:v>1</x:v>
      </x:c>
      <x:c r="F190" s="442" t="n">
        <x:v>147</x:v>
      </x:c>
      <x:c r="G190" s="442" t="n">
        <x:v>19</x:v>
      </x:c>
      <x:c r="H190" s="442" t="str">
        <x:v>Massachusetts Institute of Technology (MIT); Stanford University; Carnegie Mellon University; University of California, Berkeley; Harvard University; Princeton University</x:v>
      </x:c>
      <x:c r="I190" s="442" t="str">
        <x:v>Cobertura de la familia temática; consultar la fuente oficial antes de atribuir una asignatura literal.</x:v>
      </x:c>
    </x:row>
    <x:row r="191" ht="42" customHeight="1">
      <x:c r="A191" s="445" t="str">
        <x:v>SWE-013</x:v>
      </x:c>
      <x:c r="B191" s="445" t="str">
        <x:v>Ingeniería de confiabilidad de software</x:v>
      </x:c>
      <x:c r="C191" s="445" t="str">
        <x:v>Ingeniería de software</x:v>
      </x:c>
      <x:c r="D191" s="445" t="str">
        <x:v>Sistemas e ingeniería</x:v>
      </x:c>
      <x:c r="E191" s="445" t="n">
        <x:v>1</x:v>
      </x:c>
      <x:c r="F191" s="445" t="n">
        <x:v>147</x:v>
      </x:c>
      <x:c r="G191" s="445" t="n">
        <x:v>19</x:v>
      </x:c>
      <x:c r="H191" s="445" t="str">
        <x:v>Massachusetts Institute of Technology (MIT); Stanford University; Carnegie Mellon University; University of California, Berkeley; Harvard University; Princeton University</x:v>
      </x:c>
      <x:c r="I191" s="445" t="str">
        <x:v>Cobertura de la familia temática; consultar la fuente oficial antes de atribuir una asignatura literal.</x:v>
      </x:c>
    </x:row>
    <x:row r="192" ht="42" customHeight="1">
      <x:c r="A192" s="442" t="str">
        <x:v>SWE-014</x:v>
      </x:c>
      <x:c r="B192" s="442" t="str">
        <x:v>Mantenimiento y evolución de software</x:v>
      </x:c>
      <x:c r="C192" s="442" t="str">
        <x:v>Ingeniería de software</x:v>
      </x:c>
      <x:c r="D192" s="442" t="str">
        <x:v>Sistemas e ingeniería</x:v>
      </x:c>
      <x:c r="E192" s="442" t="n">
        <x:v>1</x:v>
      </x:c>
      <x:c r="F192" s="442" t="n">
        <x:v>147</x:v>
      </x:c>
      <x:c r="G192" s="442" t="n">
        <x:v>19</x:v>
      </x:c>
      <x:c r="H192" s="442" t="str">
        <x:v>Massachusetts Institute of Technology (MIT); Stanford University; Carnegie Mellon University; University of California, Berkeley; Harvard University; Princeton University</x:v>
      </x:c>
      <x:c r="I192" s="442" t="str">
        <x:v>Cobertura de la familia temática; consultar la fuente oficial antes de atribuir una asignatura literal.</x:v>
      </x:c>
    </x:row>
    <x:row r="193" ht="42" customHeight="1">
      <x:c r="A193" s="445" t="str">
        <x:v>SWE-021</x:v>
      </x:c>
      <x:c r="B193" s="445" t="str">
        <x:v>HTML, CSS y web accesible</x:v>
      </x:c>
      <x:c r="C193" s="445" t="str">
        <x:v>Ingeniería de software</x:v>
      </x:c>
      <x:c r="D193" s="445" t="str">
        <x:v>Sistemas e ingeniería</x:v>
      </x:c>
      <x:c r="E193" s="445" t="n">
        <x:v>2</x:v>
      </x:c>
      <x:c r="F193" s="445" t="n">
        <x:v>147</x:v>
      </x:c>
      <x:c r="G193" s="445" t="n">
        <x:v>19</x:v>
      </x:c>
      <x:c r="H193" s="445" t="str">
        <x:v>Massachusetts Institute of Technology (MIT); Stanford University; Carnegie Mellon University; University of California, Berkeley; Harvard University; Princeton University</x:v>
      </x:c>
      <x:c r="I193" s="445" t="str">
        <x:v>Cobertura de la familia temática; consultar la fuente oficial antes de atribuir una asignatura literal.</x:v>
      </x:c>
    </x:row>
    <x:row r="194" ht="42" customHeight="1">
      <x:c r="A194" s="442" t="str">
        <x:v>SWE-022</x:v>
      </x:c>
      <x:c r="B194" s="442" t="str">
        <x:v>JavaScript y TypeScript</x:v>
      </x:c>
      <x:c r="C194" s="442" t="str">
        <x:v>Ingeniería de software</x:v>
      </x:c>
      <x:c r="D194" s="442" t="str">
        <x:v>Sistemas e ingeniería</x:v>
      </x:c>
      <x:c r="E194" s="442" t="n">
        <x:v>2</x:v>
      </x:c>
      <x:c r="F194" s="442" t="n">
        <x:v>147</x:v>
      </x:c>
      <x:c r="G194" s="442" t="n">
        <x:v>19</x:v>
      </x:c>
      <x:c r="H194" s="442" t="str">
        <x:v>Massachusetts Institute of Technology (MIT); Stanford University; Carnegie Mellon University; University of California, Berkeley; Harvard University; Princeton University</x:v>
      </x:c>
      <x:c r="I194" s="442" t="str">
        <x:v>Cobertura de la familia temática; consultar la fuente oficial antes de atribuir una asignatura literal.</x:v>
      </x:c>
    </x:row>
    <x:row r="195" ht="42" customHeight="1">
      <x:c r="A195" s="445" t="str">
        <x:v>SWE-023</x:v>
      </x:c>
      <x:c r="B195" s="445" t="str">
        <x:v>Frontend moderno</x:v>
      </x:c>
      <x:c r="C195" s="445" t="str">
        <x:v>Ingeniería de software</x:v>
      </x:c>
      <x:c r="D195" s="445" t="str">
        <x:v>Sistemas e ingeniería</x:v>
      </x:c>
      <x:c r="E195" s="445" t="n">
        <x:v>2</x:v>
      </x:c>
      <x:c r="F195" s="445" t="n">
        <x:v>147</x:v>
      </x:c>
      <x:c r="G195" s="445" t="n">
        <x:v>19</x:v>
      </x:c>
      <x:c r="H195" s="445" t="str">
        <x:v>Massachusetts Institute of Technology (MIT); Stanford University; Carnegie Mellon University; University of California, Berkeley; Harvard University; Princeton University</x:v>
      </x:c>
      <x:c r="I195" s="445" t="str">
        <x:v>Cobertura de la familia temática; consultar la fuente oficial antes de atribuir una asignatura literal.</x:v>
      </x:c>
    </x:row>
    <x:row r="196" ht="42" customHeight="1">
      <x:c r="A196" s="442" t="str">
        <x:v>SWE-024</x:v>
      </x:c>
      <x:c r="B196" s="442" t="str">
        <x:v>Backend y APIs REST</x:v>
      </x:c>
      <x:c r="C196" s="442" t="str">
        <x:v>Ingeniería de software</x:v>
      </x:c>
      <x:c r="D196" s="442" t="str">
        <x:v>Sistemas e ingeniería</x:v>
      </x:c>
      <x:c r="E196" s="442" t="n">
        <x:v>2</x:v>
      </x:c>
      <x:c r="F196" s="442" t="n">
        <x:v>147</x:v>
      </x:c>
      <x:c r="G196" s="442" t="n">
        <x:v>19</x:v>
      </x:c>
      <x:c r="H196" s="442" t="str">
        <x:v>Massachusetts Institute of Technology (MIT); Stanford University; Carnegie Mellon University; University of California, Berkeley; Harvard University; Princeton University</x:v>
      </x:c>
      <x:c r="I196" s="442" t="str">
        <x:v>Cobertura de la familia temática; consultar la fuente oficial antes de atribuir una asignatura literal.</x:v>
      </x:c>
    </x:row>
    <x:row r="197" ht="42" customHeight="1">
      <x:c r="A197" s="445" t="str">
        <x:v>SWE-025</x:v>
      </x:c>
      <x:c r="B197" s="445" t="str">
        <x:v>GraphQL y APIs orientadas a eventos</x:v>
      </x:c>
      <x:c r="C197" s="445" t="str">
        <x:v>Ingeniería de software</x:v>
      </x:c>
      <x:c r="D197" s="445" t="str">
        <x:v>Sistemas e ingeniería</x:v>
      </x:c>
      <x:c r="E197" s="445" t="n">
        <x:v>2</x:v>
      </x:c>
      <x:c r="F197" s="445" t="n">
        <x:v>147</x:v>
      </x:c>
      <x:c r="G197" s="445" t="n">
        <x:v>19</x:v>
      </x:c>
      <x:c r="H197" s="445" t="str">
        <x:v>Massachusetts Institute of Technology (MIT); Stanford University; Carnegie Mellon University; University of California, Berkeley; Harvard University; Princeton University</x:v>
      </x:c>
      <x:c r="I197" s="445" t="str">
        <x:v>Cobertura de la familia temática; consultar la fuente oficial antes de atribuir una asignatura literal.</x:v>
      </x:c>
    </x:row>
    <x:row r="198" ht="42" customHeight="1">
      <x:c r="A198" s="442" t="str">
        <x:v>SWE-026</x:v>
      </x:c>
      <x:c r="B198" s="442" t="str">
        <x:v>Desarrollo full stack</x:v>
      </x:c>
      <x:c r="C198" s="442" t="str">
        <x:v>Ingeniería de software</x:v>
      </x:c>
      <x:c r="D198" s="442" t="str">
        <x:v>Sistemas e ingeniería</x:v>
      </x:c>
      <x:c r="E198" s="442" t="n">
        <x:v>2</x:v>
      </x:c>
      <x:c r="F198" s="442" t="n">
        <x:v>147</x:v>
      </x:c>
      <x:c r="G198" s="442" t="n">
        <x:v>19</x:v>
      </x:c>
      <x:c r="H198" s="442" t="str">
        <x:v>Massachusetts Institute of Technology (MIT); Stanford University; Carnegie Mellon University; University of California, Berkeley; Harvard University; Princeton University</x:v>
      </x:c>
      <x:c r="I198" s="442" t="str">
        <x:v>Cobertura de la familia temática; consultar la fuente oficial antes de atribuir una asignatura literal.</x:v>
      </x:c>
    </x:row>
    <x:row r="199" ht="42" customHeight="1">
      <x:c r="A199" s="445" t="str">
        <x:v>SWE-027</x:v>
      </x:c>
      <x:c r="B199" s="445" t="str">
        <x:v>Desarrollo móvil Android</x:v>
      </x:c>
      <x:c r="C199" s="445" t="str">
        <x:v>Ingeniería de software</x:v>
      </x:c>
      <x:c r="D199" s="445" t="str">
        <x:v>Sistemas e ingeniería</x:v>
      </x:c>
      <x:c r="E199" s="445" t="n">
        <x:v>2</x:v>
      </x:c>
      <x:c r="F199" s="445" t="n">
        <x:v>147</x:v>
      </x:c>
      <x:c r="G199" s="445" t="n">
        <x:v>19</x:v>
      </x:c>
      <x:c r="H199" s="445" t="str">
        <x:v>Massachusetts Institute of Technology (MIT); Stanford University; Carnegie Mellon University; University of California, Berkeley; Harvard University; Princeton University</x:v>
      </x:c>
      <x:c r="I199" s="445" t="str">
        <x:v>Cobertura de la familia temática; consultar la fuente oficial antes de atribuir una asignatura literal.</x:v>
      </x:c>
    </x:row>
    <x:row r="200" ht="42" customHeight="1">
      <x:c r="A200" s="442" t="str">
        <x:v>CAP-011</x:v>
      </x:c>
      <x:c r="B200" s="442" t="str">
        <x:v>Innovación, patentes y transferencia tecnológica</x:v>
      </x:c>
      <x:c r="C200" s="442" t="str">
        <x:v>Investigación, profesión y capstones</x:v>
      </x:c>
      <x:c r="D200" s="442" t="str">
        <x:v>Sistemas e ingeniería</x:v>
      </x:c>
      <x:c r="E200" s="442" t="n">
        <x:v>1</x:v>
      </x:c>
      <x:c r="F200" s="442" t="n">
        <x:v>150</x:v>
      </x:c>
      <x:c r="G200" s="442" t="n">
        <x:v>20</x:v>
      </x:c>
      <x:c r="H200" s="442" t="str">
        <x:v>Massachusetts Institute of Technology (MIT); Stanford University; Carnegie Mellon University; University of California, Berkeley; Harvard University; Princeton University</x:v>
      </x:c>
      <x:c r="I200" s="442" t="str">
        <x:v>Cobertura de la familia temática; consultar la fuente oficial antes de atribuir una asignatura literal.</x:v>
      </x:c>
    </x:row>
    <x:row r="201" ht="42" customHeight="1">
      <x:c r="A201" s="445" t="str">
        <x:v>CAP-012</x:v>
      </x:c>
      <x:c r="B201" s="445" t="str">
        <x:v>Seminario de tendencias tecnológicas</x:v>
      </x:c>
      <x:c r="C201" s="445" t="str">
        <x:v>Investigación, profesión y capstones</x:v>
      </x:c>
      <x:c r="D201" s="445" t="str">
        <x:v>Sistemas e ingeniería</x:v>
      </x:c>
      <x:c r="E201" s="445" t="n">
        <x:v>1</x:v>
      </x:c>
      <x:c r="F201" s="445" t="n">
        <x:v>150</x:v>
      </x:c>
      <x:c r="G201" s="445" t="n">
        <x:v>20</x:v>
      </x:c>
      <x:c r="H201" s="445" t="str">
        <x:v>Massachusetts Institute of Technology (MIT); Stanford University; Carnegie Mellon University; University of California, Berkeley; Harvard University; Princeton University</x:v>
      </x:c>
      <x:c r="I201" s="445" t="str">
        <x:v>Cobertura de la familia temática; consultar la fuente oficial antes de atribuir una asignatura literal.</x:v>
      </x:c>
    </x:row>
    <x:row r="202" ht="42" customHeight="1">
      <x:c r="A202" s="442" t="str">
        <x:v>MAT-015</x:v>
      </x:c>
      <x:c r="B202" s="442" t="str">
        <x:v>Métodos numéricos</x:v>
      </x:c>
      <x:c r="C202" s="442" t="str">
        <x:v>Matemática y ciencias</x:v>
      </x:c>
      <x:c r="D202" s="442" t="str">
        <x:v>Sistemas e ingeniería</x:v>
      </x:c>
      <x:c r="E202" s="442" t="n">
        <x:v>1</x:v>
      </x:c>
      <x:c r="F202" s="442" t="n">
        <x:v>140</x:v>
      </x:c>
      <x:c r="G202" s="442" t="n">
        <x:v>18</x:v>
      </x:c>
      <x:c r="H202" s="442" t="str">
        <x:v>Massachusetts Institute of Technology (MIT); Stanford University; Carnegie Mellon University; University of California, Berkeley; Harvard University; Princeton University</x:v>
      </x:c>
      <x:c r="I202" s="442" t="str">
        <x:v>Cobertura de la familia temática; consultar la fuente oficial antes de atribuir una asignatura literal.</x:v>
      </x:c>
    </x:row>
    <x:row r="203" ht="42" customHeight="1">
      <x:c r="A203" s="445" t="str">
        <x:v>MAT-016</x:v>
      </x:c>
      <x:c r="B203" s="445" t="str">
        <x:v>Optimización matemática</x:v>
      </x:c>
      <x:c r="C203" s="445" t="str">
        <x:v>Matemática y ciencias</x:v>
      </x:c>
      <x:c r="D203" s="445" t="str">
        <x:v>Sistemas e ingeniería</x:v>
      </x:c>
      <x:c r="E203" s="445" t="n">
        <x:v>1</x:v>
      </x:c>
      <x:c r="F203" s="445" t="n">
        <x:v>140</x:v>
      </x:c>
      <x:c r="G203" s="445" t="n">
        <x:v>18</x:v>
      </x:c>
      <x:c r="H203" s="445" t="str">
        <x:v>Massachusetts Institute of Technology (MIT); Stanford University; Carnegie Mellon University; University of California, Berkeley; Harvard University; Princeton University</x:v>
      </x:c>
      <x:c r="I203" s="445" t="str">
        <x:v>Cobertura de la familia temática; consultar la fuente oficial antes de atribuir una asignatura literal.</x:v>
      </x:c>
    </x:row>
    <x:row r="204" ht="42" customHeight="1">
      <x:c r="A204" s="442" t="str">
        <x:v>MAT-017</x:v>
      </x:c>
      <x:c r="B204" s="442" t="str">
        <x:v>Investigación de operaciones</x:v>
      </x:c>
      <x:c r="C204" s="442" t="str">
        <x:v>Matemática y ciencias</x:v>
      </x:c>
      <x:c r="D204" s="442" t="str">
        <x:v>Sistemas e ingeniería</x:v>
      </x:c>
      <x:c r="E204" s="442" t="n">
        <x:v>1</x:v>
      </x:c>
      <x:c r="F204" s="442" t="n">
        <x:v>140</x:v>
      </x:c>
      <x:c r="G204" s="442" t="n">
        <x:v>18</x:v>
      </x:c>
      <x:c r="H204" s="442" t="str">
        <x:v>Massachusetts Institute of Technology (MIT); Stanford University; Carnegie Mellon University; University of California, Berkeley; Harvard University; Princeton University</x:v>
      </x:c>
      <x:c r="I204" s="442" t="str">
        <x:v>Cobertura de la familia temática; consultar la fuente oficial antes de atribuir una asignatura literal.</x:v>
      </x:c>
    </x:row>
    <x:row r="205" ht="42" customHeight="1">
      <x:c r="A205" s="445" t="str">
        <x:v>MAT-018</x:v>
      </x:c>
      <x:c r="B205" s="445" t="str">
        <x:v>Teoría de grafos</x:v>
      </x:c>
      <x:c r="C205" s="445" t="str">
        <x:v>Matemática y ciencias</x:v>
      </x:c>
      <x:c r="D205" s="445" t="str">
        <x:v>Sistemas e ingeniería</x:v>
      </x:c>
      <x:c r="E205" s="445" t="n">
        <x:v>1</x:v>
      </x:c>
      <x:c r="F205" s="445" t="n">
        <x:v>140</x:v>
      </x:c>
      <x:c r="G205" s="445" t="n">
        <x:v>18</x:v>
      </x:c>
      <x:c r="H205" s="445" t="str">
        <x:v>Massachusetts Institute of Technology (MIT); Stanford University; Carnegie Mellon University; University of California, Berkeley; Harvard University; Princeton University</x:v>
      </x:c>
      <x:c r="I205" s="445" t="str">
        <x:v>Cobertura de la familia temática; consultar la fuente oficial antes de atribuir una asignatura literal.</x:v>
      </x:c>
    </x:row>
    <x:row r="206" ht="42" customHeight="1">
      <x:c r="A206" s="442" t="str">
        <x:v>MAT-019</x:v>
      </x:c>
      <x:c r="B206" s="442" t="str">
        <x:v>Teoría de la información</x:v>
      </x:c>
      <x:c r="C206" s="442" t="str">
        <x:v>Matemática y ciencias</x:v>
      </x:c>
      <x:c r="D206" s="442" t="str">
        <x:v>Sistemas e ingeniería</x:v>
      </x:c>
      <x:c r="E206" s="442" t="n">
        <x:v>1</x:v>
      </x:c>
      <x:c r="F206" s="442" t="n">
        <x:v>140</x:v>
      </x:c>
      <x:c r="G206" s="442" t="n">
        <x:v>18</x:v>
      </x:c>
      <x:c r="H206" s="442" t="str">
        <x:v>Massachusetts Institute of Technology (MIT); Stanford University; Carnegie Mellon University; University of California, Berkeley; Harvard University; Princeton University</x:v>
      </x:c>
      <x:c r="I206" s="442" t="str">
        <x:v>Cobertura de la familia temática; consultar la fuente oficial antes de atribuir una asignatura literal.</x:v>
      </x:c>
    </x:row>
    <x:row r="207" ht="42" customHeight="1">
      <x:c r="A207" s="445" t="str">
        <x:v>MAT-020</x:v>
      </x:c>
      <x:c r="B207" s="445" t="str">
        <x:v>Procesos estocásticos</x:v>
      </x:c>
      <x:c r="C207" s="445" t="str">
        <x:v>Matemática y ciencias</x:v>
      </x:c>
      <x:c r="D207" s="445" t="str">
        <x:v>Sistemas e ingeniería</x:v>
      </x:c>
      <x:c r="E207" s="445" t="n">
        <x:v>1</x:v>
      </x:c>
      <x:c r="F207" s="445" t="n">
        <x:v>140</x:v>
      </x:c>
      <x:c r="G207" s="445" t="n">
        <x:v>18</x:v>
      </x:c>
      <x:c r="H207" s="445" t="str">
        <x:v>Massachusetts Institute of Technology (MIT); Stanford University; Carnegie Mellon University; University of California, Berkeley; Harvard University; Princeton University</x:v>
      </x:c>
      <x:c r="I207" s="445" t="str">
        <x:v>Cobertura de la familia temática; consultar la fuente oficial antes de atribuir una asignatura literal.</x:v>
      </x:c>
    </x:row>
    <x:row r="208" ht="42" customHeight="1">
      <x:c r="A208" s="442" t="str">
        <x:v>CST-013</x:v>
      </x:c>
      <x:c r="B208" s="442" t="str">
        <x:v>Programación de GPU</x:v>
      </x:c>
      <x:c r="C208" s="442" t="str">
        <x:v>Programación y teoría CS</x:v>
      </x:c>
      <x:c r="D208" s="442" t="str">
        <x:v>Sistemas e ingeniería</x:v>
      </x:c>
      <x:c r="E208" s="442" t="n">
        <x:v>1</x:v>
      </x:c>
      <x:c r="F208" s="442" t="n">
        <x:v>147</x:v>
      </x:c>
      <x:c r="G208" s="442" t="n">
        <x:v>19</x:v>
      </x:c>
      <x:c r="H208" s="442" t="str">
        <x:v>Massachusetts Institute of Technology (MIT); Stanford University; Carnegie Mellon University; University of California, Berkeley; Harvard University; Princeton University</x:v>
      </x:c>
      <x:c r="I208" s="442" t="str">
        <x:v>Cobertura de la familia temática; consultar la fuente oficial antes de atribuir una asignatura literal.</x:v>
      </x:c>
    </x:row>
    <x:row r="209" ht="42" customHeight="1">
      <x:c r="A209" s="445" t="str">
        <x:v>CST-014</x:v>
      </x:c>
      <x:c r="B209" s="445" t="str">
        <x:v>Scripting con Bash y PowerShell</x:v>
      </x:c>
      <x:c r="C209" s="445" t="str">
        <x:v>Programación y teoría CS</x:v>
      </x:c>
      <x:c r="D209" s="445" t="str">
        <x:v>Sistemas e ingeniería</x:v>
      </x:c>
      <x:c r="E209" s="445" t="n">
        <x:v>1</x:v>
      </x:c>
      <x:c r="F209" s="445" t="n">
        <x:v>147</x:v>
      </x:c>
      <x:c r="G209" s="445" t="n">
        <x:v>19</x:v>
      </x:c>
      <x:c r="H209" s="445" t="str">
        <x:v>Massachusetts Institute of Technology (MIT); Stanford University; Carnegie Mellon University; University of California, Berkeley; Harvard University; Princeton University</x:v>
      </x:c>
      <x:c r="I209" s="445" t="str">
        <x:v>Cobertura de la familia temática; consultar la fuente oficial antes de atribuir una asignatura literal.</x:v>
      </x:c>
    </x:row>
    <x:row r="210" ht="42" customHeight="1">
      <x:c r="A210" s="442" t="str">
        <x:v>CST-015</x:v>
      </x:c>
      <x:c r="B210" s="442" t="str">
        <x:v>Programación de bajo nivel y ensamblador</x:v>
      </x:c>
      <x:c r="C210" s="442" t="str">
        <x:v>Programación y teoría CS</x:v>
      </x:c>
      <x:c r="D210" s="442" t="str">
        <x:v>Sistemas e ingeniería</x:v>
      </x:c>
      <x:c r="E210" s="442" t="n">
        <x:v>1</x:v>
      </x:c>
      <x:c r="F210" s="442" t="n">
        <x:v>147</x:v>
      </x:c>
      <x:c r="G210" s="442" t="n">
        <x:v>19</x:v>
      </x:c>
      <x:c r="H210" s="442" t="str">
        <x:v>Massachusetts Institute of Technology (MIT); Stanford University; Carnegie Mellon University; University of California, Berkeley; Harvard University; Princeton University</x:v>
      </x:c>
      <x:c r="I210" s="442" t="str">
        <x:v>Cobertura de la familia temática; consultar la fuente oficial antes de atribuir una asignatura literal.</x:v>
      </x:c>
    </x:row>
    <x:row r="211" ht="42" customHeight="1">
      <x:c r="A211" s="445" t="str">
        <x:v>CST-016</x:v>
      </x:c>
      <x:c r="B211" s="445" t="str">
        <x:v>C++ moderno</x:v>
      </x:c>
      <x:c r="C211" s="445" t="str">
        <x:v>Programación y teoría CS</x:v>
      </x:c>
      <x:c r="D211" s="445" t="str">
        <x:v>Sistemas e ingeniería</x:v>
      </x:c>
      <x:c r="E211" s="445" t="n">
        <x:v>1</x:v>
      </x:c>
      <x:c r="F211" s="445" t="n">
        <x:v>147</x:v>
      </x:c>
      <x:c r="G211" s="445" t="n">
        <x:v>19</x:v>
      </x:c>
      <x:c r="H211" s="445" t="str">
        <x:v>Massachusetts Institute of Technology (MIT); Stanford University; Carnegie Mellon University; University of California, Berkeley; Harvard University; Princeton University</x:v>
      </x:c>
      <x:c r="I211" s="445" t="str">
        <x:v>Cobertura de la familia temática; consultar la fuente oficial antes de atribuir una asignatura literal.</x:v>
      </x:c>
    </x:row>
    <x:row r="212" ht="42" customHeight="1">
      <x:c r="A212" s="442" t="str">
        <x:v>CST-017</x:v>
      </x:c>
      <x:c r="B212" s="442" t="str">
        <x:v>Java y ecosistema JVM</x:v>
      </x:c>
      <x:c r="C212" s="442" t="str">
        <x:v>Programación y teoría CS</x:v>
      </x:c>
      <x:c r="D212" s="442" t="str">
        <x:v>Sistemas e ingeniería</x:v>
      </x:c>
      <x:c r="E212" s="442" t="n">
        <x:v>1</x:v>
      </x:c>
      <x:c r="F212" s="442" t="n">
        <x:v>147</x:v>
      </x:c>
      <x:c r="G212" s="442" t="n">
        <x:v>19</x:v>
      </x:c>
      <x:c r="H212" s="442" t="str">
        <x:v>Massachusetts Institute of Technology (MIT); Stanford University; Carnegie Mellon University; University of California, Berkeley; Harvard University; Princeton University</x:v>
      </x:c>
      <x:c r="I212" s="442" t="str">
        <x:v>Cobertura de la familia temática; consultar la fuente oficial antes de atribuir una asignatura literal.</x:v>
      </x:c>
    </x:row>
    <x:row r="213" ht="42" customHeight="1">
      <x:c r="A213" s="445" t="str">
        <x:v>CST-018</x:v>
      </x:c>
      <x:c r="B213" s="445" t="str">
        <x:v>C# y plataforma .NET</x:v>
      </x:c>
      <x:c r="C213" s="445" t="str">
        <x:v>Programación y teoría CS</x:v>
      </x:c>
      <x:c r="D213" s="445" t="str">
        <x:v>Sistemas e ingeniería</x:v>
      </x:c>
      <x:c r="E213" s="445" t="n">
        <x:v>1</x:v>
      </x:c>
      <x:c r="F213" s="445" t="n">
        <x:v>147</x:v>
      </x:c>
      <x:c r="G213" s="445" t="n">
        <x:v>19</x:v>
      </x:c>
      <x:c r="H213" s="445" t="str">
        <x:v>Massachusetts Institute of Technology (MIT); Stanford University; Carnegie Mellon University; University of California, Berkeley; Harvard University; Princeton University</x:v>
      </x:c>
      <x:c r="I213" s="445" t="str">
        <x:v>Cobertura de la familia temática; consultar la fuente oficial antes de atribuir una asignatura literal.</x:v>
      </x:c>
    </x:row>
    <x:row r="214" ht="42" customHeight="1">
      <x:c r="A214" s="442" t="str">
        <x:v>CST-028</x:v>
      </x:c>
      <x:c r="B214" s="442" t="str">
        <x:v>Compiladores I</x:v>
      </x:c>
      <x:c r="C214" s="442" t="str">
        <x:v>Programación y teoría CS</x:v>
      </x:c>
      <x:c r="D214" s="442" t="str">
        <x:v>Sistemas e ingeniería</x:v>
      </x:c>
      <x:c r="E214" s="442" t="n">
        <x:v>1</x:v>
      </x:c>
      <x:c r="F214" s="442" t="n">
        <x:v>147</x:v>
      </x:c>
      <x:c r="G214" s="442" t="n">
        <x:v>19</x:v>
      </x:c>
      <x:c r="H214" s="442" t="str">
        <x:v>Massachusetts Institute of Technology (MIT); Stanford University; Carnegie Mellon University; University of California, Berkeley; Harvard University; Princeton University</x:v>
      </x:c>
      <x:c r="I214" s="442" t="str">
        <x:v>Cobertura de la familia temática; consultar la fuente oficial antes de atribuir una asignatura literal.</x:v>
      </x:c>
    </x:row>
    <x:row r="215" ht="42" customHeight="1">
      <x:c r="A215" s="445" t="str">
        <x:v>CST-029</x:v>
      </x:c>
      <x:c r="B215" s="445" t="str">
        <x:v>Compiladores II y optimización</x:v>
      </x:c>
      <x:c r="C215" s="445" t="str">
        <x:v>Programación y teoría CS</x:v>
      </x:c>
      <x:c r="D215" s="445" t="str">
        <x:v>Sistemas e ingeniería</x:v>
      </x:c>
      <x:c r="E215" s="445" t="n">
        <x:v>1</x:v>
      </x:c>
      <x:c r="F215" s="445" t="n">
        <x:v>147</x:v>
      </x:c>
      <x:c r="G215" s="445" t="n">
        <x:v>19</x:v>
      </x:c>
      <x:c r="H215" s="445" t="str">
        <x:v>Massachusetts Institute of Technology (MIT); Stanford University; Carnegie Mellon University; University of California, Berkeley; Harvard University; Princeton University</x:v>
      </x:c>
      <x:c r="I215" s="445" t="str">
        <x:v>Cobertura de la familia temática; consultar la fuente oficial antes de atribuir una asignatura literal.</x:v>
      </x:c>
    </x:row>
    <x:row r="216" ht="42" customHeight="1">
      <x:c r="A216" s="442" t="str">
        <x:v>CST-030</x:v>
      </x:c>
      <x:c r="B216" s="442" t="str">
        <x:v>Métodos formales</x:v>
      </x:c>
      <x:c r="C216" s="442" t="str">
        <x:v>Programación y teoría CS</x:v>
      </x:c>
      <x:c r="D216" s="442" t="str">
        <x:v>Sistemas e ingeniería</x:v>
      </x:c>
      <x:c r="E216" s="442" t="n">
        <x:v>1</x:v>
      </x:c>
      <x:c r="F216" s="442" t="n">
        <x:v>147</x:v>
      </x:c>
      <x:c r="G216" s="442" t="n">
        <x:v>19</x:v>
      </x:c>
      <x:c r="H216" s="442" t="str">
        <x:v>Massachusetts Institute of Technology (MIT); Stanford University; Carnegie Mellon University; University of California, Berkeley; Harvard University; Princeton University</x:v>
      </x:c>
      <x:c r="I216" s="442" t="str">
        <x:v>Cobertura de la familia temática; consultar la fuente oficial antes de atribuir una asignatura literal.</x:v>
      </x:c>
    </x:row>
    <x:row r="217" ht="42" customHeight="1">
      <x:c r="A217" s="445" t="str">
        <x:v>CST-031</x:v>
      </x:c>
      <x:c r="B217" s="445" t="str">
        <x:v>Verificación y model checking</x:v>
      </x:c>
      <x:c r="C217" s="445" t="str">
        <x:v>Programación y teoría CS</x:v>
      </x:c>
      <x:c r="D217" s="445" t="str">
        <x:v>Sistemas e ingeniería</x:v>
      </x:c>
      <x:c r="E217" s="445" t="n">
        <x:v>1</x:v>
      </x:c>
      <x:c r="F217" s="445" t="n">
        <x:v>147</x:v>
      </x:c>
      <x:c r="G217" s="445" t="n">
        <x:v>19</x:v>
      </x:c>
      <x:c r="H217" s="445" t="str">
        <x:v>Massachusetts Institute of Technology (MIT); Stanford University; Carnegie Mellon University; University of California, Berkeley; Harvard University; Princeton University</x:v>
      </x:c>
      <x:c r="I217" s="445" t="str">
        <x:v>Cobertura de la familia temática; consultar la fuente oficial antes de atribuir una asignatura literal.</x:v>
      </x:c>
    </x:row>
    <x:row r="218" ht="42" customHeight="1">
      <x:c r="A218" s="442" t="str">
        <x:v>CST-032</x:v>
      </x:c>
      <x:c r="B218" s="442" t="str">
        <x:v>Algoritmos aleatorizados y aproximación</x:v>
      </x:c>
      <x:c r="C218" s="442" t="str">
        <x:v>Programación y teoría CS</x:v>
      </x:c>
      <x:c r="D218" s="442" t="str">
        <x:v>Sistemas e ingeniería</x:v>
      </x:c>
      <x:c r="E218" s="442" t="n">
        <x:v>1</x:v>
      </x:c>
      <x:c r="F218" s="442" t="n">
        <x:v>147</x:v>
      </x:c>
      <x:c r="G218" s="442" t="n">
        <x:v>19</x:v>
      </x:c>
      <x:c r="H218" s="442" t="str">
        <x:v>Massachusetts Institute of Technology (MIT); Stanford University; Carnegie Mellon University; University of California, Berkeley; Harvard University; Princeton University</x:v>
      </x:c>
      <x:c r="I218" s="442" t="str">
        <x:v>Cobertura de la familia temática; consultar la fuente oficial antes de atribuir una asignatura literal.</x:v>
      </x:c>
    </x:row>
    <x:row r="219" ht="42" customHeight="1">
      <x:c r="A219" s="445" t="str">
        <x:v>NET-007</x:v>
      </x:c>
      <x:c r="B219" s="445" t="str">
        <x:v>Diseño de redes empresariales</x:v>
      </x:c>
      <x:c r="C219" s="445" t="str">
        <x:v>Redes, telecom y cloud</x:v>
      </x:c>
      <x:c r="D219" s="445" t="str">
        <x:v>Sistemas e ingeniería</x:v>
      </x:c>
      <x:c r="E219" s="445" t="n">
        <x:v>1</x:v>
      </x:c>
      <x:c r="F219" s="445" t="n">
        <x:v>140</x:v>
      </x:c>
      <x:c r="G219" s="445" t="n">
        <x:v>19</x:v>
      </x:c>
      <x:c r="H219" s="445" t="str">
        <x:v>Massachusetts Institute of Technology (MIT); Stanford University; Carnegie Mellon University; University of California, Berkeley; Princeton University; Cornell University</x:v>
      </x:c>
      <x:c r="I219" s="445" t="str">
        <x:v>Cobertura de la familia temática; consultar la fuente oficial antes de atribuir una asignatura literal.</x:v>
      </x:c>
    </x:row>
    <x:row r="220" ht="42" customHeight="1">
      <x:c r="A220" s="442" t="str">
        <x:v>NET-008</x:v>
      </x:c>
      <x:c r="B220" s="442" t="str">
        <x:v>WAN, SD-WAN y VPN</x:v>
      </x:c>
      <x:c r="C220" s="442" t="str">
        <x:v>Redes, telecom y cloud</x:v>
      </x:c>
      <x:c r="D220" s="442" t="str">
        <x:v>Sistemas e ingeniería</x:v>
      </x:c>
      <x:c r="E220" s="442" t="n">
        <x:v>1</x:v>
      </x:c>
      <x:c r="F220" s="442" t="n">
        <x:v>140</x:v>
      </x:c>
      <x:c r="G220" s="442" t="n">
        <x:v>19</x:v>
      </x:c>
      <x:c r="H220" s="442" t="str">
        <x:v>Massachusetts Institute of Technology (MIT); Stanford University; Carnegie Mellon University; University of California, Berkeley; Princeton University; Cornell University</x:v>
      </x:c>
      <x:c r="I220" s="442" t="str">
        <x:v>Cobertura de la familia temática; consultar la fuente oficial antes de atribuir una asignatura literal.</x:v>
      </x:c>
    </x:row>
    <x:row r="221" ht="42" customHeight="1">
      <x:c r="A221" s="445" t="str">
        <x:v>NET-009</x:v>
      </x:c>
      <x:c r="B221" s="445" t="str">
        <x:v>Monitoreo y troubleshooting de redes</x:v>
      </x:c>
      <x:c r="C221" s="445" t="str">
        <x:v>Redes, telecom y cloud</x:v>
      </x:c>
      <x:c r="D221" s="445" t="str">
        <x:v>Sistemas e ingeniería</x:v>
      </x:c>
      <x:c r="E221" s="445" t="n">
        <x:v>1</x:v>
      </x:c>
      <x:c r="F221" s="445" t="n">
        <x:v>140</x:v>
      </x:c>
      <x:c r="G221" s="445" t="n">
        <x:v>19</x:v>
      </x:c>
      <x:c r="H221" s="445" t="str">
        <x:v>Massachusetts Institute of Technology (MIT); Stanford University; Carnegie Mellon University; University of California, Berkeley; Princeton University; Cornell University</x:v>
      </x:c>
      <x:c r="I221" s="445" t="str">
        <x:v>Cobertura de la familia temática; consultar la fuente oficial antes de atribuir una asignatura literal.</x:v>
      </x:c>
    </x:row>
    <x:row r="222" ht="42" customHeight="1">
      <x:c r="A222" s="442" t="str">
        <x:v>NET-010</x:v>
      </x:c>
      <x:c r="B222" s="442" t="str">
        <x:v>Automatización y programabilidad de redes</x:v>
      </x:c>
      <x:c r="C222" s="442" t="str">
        <x:v>Redes, telecom y cloud</x:v>
      </x:c>
      <x:c r="D222" s="442" t="str">
        <x:v>Sistemas e ingeniería</x:v>
      </x:c>
      <x:c r="E222" s="442" t="n">
        <x:v>1</x:v>
      </x:c>
      <x:c r="F222" s="442" t="n">
        <x:v>140</x:v>
      </x:c>
      <x:c r="G222" s="442" t="n">
        <x:v>19</x:v>
      </x:c>
      <x:c r="H222" s="442" t="str">
        <x:v>Massachusetts Institute of Technology (MIT); Stanford University; Carnegie Mellon University; University of California, Berkeley; Princeton University; Cornell University</x:v>
      </x:c>
      <x:c r="I222" s="442" t="str">
        <x:v>Cobertura de la familia temática; consultar la fuente oficial antes de atribuir una asignatura literal.</x:v>
      </x:c>
    </x:row>
    <x:row r="223" ht="42" customHeight="1">
      <x:c r="A223" s="445" t="str">
        <x:v>NET-011</x:v>
      </x:c>
      <x:c r="B223" s="445" t="str">
        <x:v>Redes definidas por software</x:v>
      </x:c>
      <x:c r="C223" s="445" t="str">
        <x:v>Redes, telecom y cloud</x:v>
      </x:c>
      <x:c r="D223" s="445" t="str">
        <x:v>Sistemas e ingeniería</x:v>
      </x:c>
      <x:c r="E223" s="445" t="n">
        <x:v>1</x:v>
      </x:c>
      <x:c r="F223" s="445" t="n">
        <x:v>140</x:v>
      </x:c>
      <x:c r="G223" s="445" t="n">
        <x:v>19</x:v>
      </x:c>
      <x:c r="H223" s="445" t="str">
        <x:v>Massachusetts Institute of Technology (MIT); Stanford University; Carnegie Mellon University; University of California, Berkeley; Princeton University; Cornell University</x:v>
      </x:c>
      <x:c r="I223" s="445" t="str">
        <x:v>Cobertura de la familia temática; consultar la fuente oficial antes de atribuir una asignatura literal.</x:v>
      </x:c>
    </x:row>
    <x:row r="224" ht="42" customHeight="1">
      <x:c r="A224" s="442" t="str">
        <x:v>NET-012</x:v>
      </x:c>
      <x:c r="B224" s="442" t="str">
        <x:v>Teoría de comunicaciones</x:v>
      </x:c>
      <x:c r="C224" s="442" t="str">
        <x:v>Redes, telecom y cloud</x:v>
      </x:c>
      <x:c r="D224" s="442" t="str">
        <x:v>Sistemas e ingeniería</x:v>
      </x:c>
      <x:c r="E224" s="442" t="n">
        <x:v>1</x:v>
      </x:c>
      <x:c r="F224" s="442" t="n">
        <x:v>140</x:v>
      </x:c>
      <x:c r="G224" s="442" t="n">
        <x:v>19</x:v>
      </x:c>
      <x:c r="H224" s="442" t="str">
        <x:v>Massachusetts Institute of Technology (MIT); Stanford University; Carnegie Mellon University; University of California, Berkeley; Princeton University; Cornell University</x:v>
      </x:c>
      <x:c r="I224" s="442" t="str">
        <x:v>Cobertura de la familia temática; consultar la fuente oficial antes de atribuir una asignatura literal.</x:v>
      </x:c>
    </x:row>
    <x:row r="225" ht="42" customHeight="1">
      <x:c r="A225" s="445" t="str">
        <x:v>NET-020</x:v>
      </x:c>
      <x:c r="B225" s="445" t="str">
        <x:v>Administración Linux I</x:v>
      </x:c>
      <x:c r="C225" s="445" t="str">
        <x:v>Redes, telecom y cloud</x:v>
      </x:c>
      <x:c r="D225" s="445" t="str">
        <x:v>Sistemas e ingeniería</x:v>
      </x:c>
      <x:c r="E225" s="445" t="n">
        <x:v>2</x:v>
      </x:c>
      <x:c r="F225" s="445" t="n">
        <x:v>140</x:v>
      </x:c>
      <x:c r="G225" s="445" t="n">
        <x:v>19</x:v>
      </x:c>
      <x:c r="H225" s="445" t="str">
        <x:v>Massachusetts Institute of Technology (MIT); Stanford University; Carnegie Mellon University; University of California, Berkeley; Princeton University; Cornell University</x:v>
      </x:c>
      <x:c r="I225" s="445" t="str">
        <x:v>Cobertura de la familia temática; consultar la fuente oficial antes de atribuir una asignatura literal.</x:v>
      </x:c>
    </x:row>
    <x:row r="226" ht="42" customHeight="1">
      <x:c r="A226" s="442" t="str">
        <x:v>NET-021</x:v>
      </x:c>
      <x:c r="B226" s="442" t="str">
        <x:v>Administración Linux II</x:v>
      </x:c>
      <x:c r="C226" s="442" t="str">
        <x:v>Redes, telecom y cloud</x:v>
      </x:c>
      <x:c r="D226" s="442" t="str">
        <x:v>Sistemas e ingeniería</x:v>
      </x:c>
      <x:c r="E226" s="442" t="n">
        <x:v>2</x:v>
      </x:c>
      <x:c r="F226" s="442" t="n">
        <x:v>140</x:v>
      </x:c>
      <x:c r="G226" s="442" t="n">
        <x:v>19</x:v>
      </x:c>
      <x:c r="H226" s="442" t="str">
        <x:v>Massachusetts Institute of Technology (MIT); Stanford University; Carnegie Mellon University; University of California, Berkeley; Princeton University; Cornell University</x:v>
      </x:c>
      <x:c r="I226" s="442" t="str">
        <x:v>Cobertura de la familia temática; consultar la fuente oficial antes de atribuir una asignatura literal.</x:v>
      </x:c>
    </x:row>
    <x:row r="227" ht="42" customHeight="1">
      <x:c r="A227" s="445" t="str">
        <x:v>NET-022</x:v>
      </x:c>
      <x:c r="B227" s="445" t="str">
        <x:v>Administración Windows Server I</x:v>
      </x:c>
      <x:c r="C227" s="445" t="str">
        <x:v>Redes, telecom y cloud</x:v>
      </x:c>
      <x:c r="D227" s="445" t="str">
        <x:v>Sistemas e ingeniería</x:v>
      </x:c>
      <x:c r="E227" s="445" t="n">
        <x:v>2</x:v>
      </x:c>
      <x:c r="F227" s="445" t="n">
        <x:v>140</x:v>
      </x:c>
      <x:c r="G227" s="445" t="n">
        <x:v>19</x:v>
      </x:c>
      <x:c r="H227" s="445" t="str">
        <x:v>Massachusetts Institute of Technology (MIT); Stanford University; Carnegie Mellon University; University of California, Berkeley; Princeton University; Cornell University</x:v>
      </x:c>
      <x:c r="I227" s="445" t="str">
        <x:v>Cobertura de la familia temática; consultar la fuente oficial antes de atribuir una asignatura literal.</x:v>
      </x:c>
    </x:row>
    <x:row r="228" ht="42" customHeight="1">
      <x:c r="A228" s="442" t="str">
        <x:v>NET-023</x:v>
      </x:c>
      <x:c r="B228" s="442" t="str">
        <x:v>Administración Windows Server II</x:v>
      </x:c>
      <x:c r="C228" s="442" t="str">
        <x:v>Redes, telecom y cloud</x:v>
      </x:c>
      <x:c r="D228" s="442" t="str">
        <x:v>Sistemas e ingeniería</x:v>
      </x:c>
      <x:c r="E228" s="442" t="n">
        <x:v>2</x:v>
      </x:c>
      <x:c r="F228" s="442" t="n">
        <x:v>140</x:v>
      </x:c>
      <x:c r="G228" s="442" t="n">
        <x:v>19</x:v>
      </x:c>
      <x:c r="H228" s="442" t="str">
        <x:v>Massachusetts Institute of Technology (MIT); Stanford University; Carnegie Mellon University; University of California, Berkeley; Princeton University; Cornell University</x:v>
      </x:c>
      <x:c r="I228" s="442" t="str">
        <x:v>Cobertura de la familia temática; consultar la fuente oficial antes de atribuir una asignatura literal.</x:v>
      </x:c>
    </x:row>
    <x:row r="229" ht="42" customHeight="1">
      <x:c r="A229" s="445" t="str">
        <x:v>NET-024</x:v>
      </x:c>
      <x:c r="B229" s="445" t="str">
        <x:v>Active Directory, Entra ID e identidad híbrida</x:v>
      </x:c>
      <x:c r="C229" s="445" t="str">
        <x:v>Redes, telecom y cloud</x:v>
      </x:c>
      <x:c r="D229" s="445" t="str">
        <x:v>Sistemas e ingeniería</x:v>
      </x:c>
      <x:c r="E229" s="445" t="n">
        <x:v>2</x:v>
      </x:c>
      <x:c r="F229" s="445" t="n">
        <x:v>140</x:v>
      </x:c>
      <x:c r="G229" s="445" t="n">
        <x:v>19</x:v>
      </x:c>
      <x:c r="H229" s="445" t="str">
        <x:v>Massachusetts Institute of Technology (MIT); Stanford University; Carnegie Mellon University; University of California, Berkeley; Princeton University; Cornell University</x:v>
      </x:c>
      <x:c r="I229" s="445" t="str">
        <x:v>Cobertura de la familia temática; consultar la fuente oficial antes de atribuir una asignatura literal.</x:v>
      </x:c>
    </x:row>
    <x:row r="230" ht="42" customHeight="1">
      <x:c r="A230" s="442" t="str">
        <x:v>NET-025</x:v>
      </x:c>
      <x:c r="B230" s="442" t="str">
        <x:v>Automatización de sistemas con PowerShell</x:v>
      </x:c>
      <x:c r="C230" s="442" t="str">
        <x:v>Redes, telecom y cloud</x:v>
      </x:c>
      <x:c r="D230" s="442" t="str">
        <x:v>Sistemas e ingeniería</x:v>
      </x:c>
      <x:c r="E230" s="442" t="n">
        <x:v>2</x:v>
      </x:c>
      <x:c r="F230" s="442" t="n">
        <x:v>140</x:v>
      </x:c>
      <x:c r="G230" s="442" t="n">
        <x:v>19</x:v>
      </x:c>
      <x:c r="H230" s="442" t="str">
        <x:v>Massachusetts Institute of Technology (MIT); Stanford University; Carnegie Mellon University; University of California, Berkeley; Princeton University; Cornell University</x:v>
      </x:c>
      <x:c r="I230" s="442" t="str">
        <x:v>Cobertura de la familia temática; consultar la fuente oficial antes de atribuir una asignatura literal.</x:v>
      </x:c>
    </x:row>
    <x:row r="231" ht="42" customHeight="1">
      <x:c r="A231" s="445" t="str">
        <x:v>NET-026</x:v>
      </x:c>
      <x:c r="B231" s="445" t="str">
        <x:v>Automatización de sistemas con Ansible</x:v>
      </x:c>
      <x:c r="C231" s="445" t="str">
        <x:v>Redes, telecom y cloud</x:v>
      </x:c>
      <x:c r="D231" s="445" t="str">
        <x:v>Sistemas e ingeniería</x:v>
      </x:c>
      <x:c r="E231" s="445" t="n">
        <x:v>2</x:v>
      </x:c>
      <x:c r="F231" s="445" t="n">
        <x:v>140</x:v>
      </x:c>
      <x:c r="G231" s="445" t="n">
        <x:v>19</x:v>
      </x:c>
      <x:c r="H231" s="445" t="str">
        <x:v>Massachusetts Institute of Technology (MIT); Stanford University; Carnegie Mellon University; University of California, Berkeley; Princeton University; Cornell University</x:v>
      </x:c>
      <x:c r="I231" s="445" t="str">
        <x:v>Cobertura de la familia temática; consultar la fuente oficial antes de atribuir una asignatura literal.</x:v>
      </x:c>
    </x:row>
    <x:row r="232" ht="42" customHeight="1">
      <x:c r="A232" s="442" t="str">
        <x:v>ROB-001</x:v>
      </x:c>
      <x:c r="B232" s="442" t="str">
        <x:v>Estática y resistencia de materiales</x:v>
      </x:c>
      <x:c r="C232" s="442" t="str">
        <x:v>Robótica y mecatrónica</x:v>
      </x:c>
      <x:c r="D232" s="442" t="str">
        <x:v>Sistemas e ingeniería</x:v>
      </x:c>
      <x:c r="E232" s="442" t="n">
        <x:v>2</x:v>
      </x:c>
      <x:c r="F232" s="442" t="n">
        <x:v>132</x:v>
      </x:c>
      <x:c r="G232" s="442" t="n">
        <x:v>18</x:v>
      </x:c>
      <x:c r="H232" s="442" t="str">
        <x:v>Massachusetts Institute of Technology (MIT); Stanford University; Carnegie Mellon University; University of California, Berkeley; Harvard University; Princeton University</x:v>
      </x:c>
      <x:c r="I232" s="442" t="str">
        <x:v>Cobertura de la familia temática; consultar la fuente oficial antes de atribuir una asignatura literal.</x:v>
      </x:c>
    </x:row>
    <x:row r="233" ht="42" customHeight="1">
      <x:c r="A233" s="445" t="str">
        <x:v>ROB-002</x:v>
      </x:c>
      <x:c r="B233" s="445" t="str">
        <x:v>Dinámica y mecanismos</x:v>
      </x:c>
      <x:c r="C233" s="445" t="str">
        <x:v>Robótica y mecatrónica</x:v>
      </x:c>
      <x:c r="D233" s="445" t="str">
        <x:v>Sistemas e ingeniería</x:v>
      </x:c>
      <x:c r="E233" s="445" t="n">
        <x:v>2</x:v>
      </x:c>
      <x:c r="F233" s="445" t="n">
        <x:v>132</x:v>
      </x:c>
      <x:c r="G233" s="445" t="n">
        <x:v>18</x:v>
      </x:c>
      <x:c r="H233" s="445" t="str">
        <x:v>Massachusetts Institute of Technology (MIT); Stanford University; Carnegie Mellon University; University of California, Berkeley; Harvard University; Princeton University</x:v>
      </x:c>
      <x:c r="I233" s="445" t="str">
        <x:v>Cobertura de la familia temática; consultar la fuente oficial antes de atribuir una asignatura literal.</x:v>
      </x:c>
    </x:row>
    <x:row r="234" ht="42" customHeight="1">
      <x:c r="A234" s="442" t="str">
        <x:v>ROB-003</x:v>
      </x:c>
      <x:c r="B234" s="442" t="str">
        <x:v>Diseño mecánico y CAD</x:v>
      </x:c>
      <x:c r="C234" s="442" t="str">
        <x:v>Robótica y mecatrónica</x:v>
      </x:c>
      <x:c r="D234" s="442" t="str">
        <x:v>Sistemas e ingeniería</x:v>
      </x:c>
      <x:c r="E234" s="442" t="n">
        <x:v>2</x:v>
      </x:c>
      <x:c r="F234" s="442" t="n">
        <x:v>132</x:v>
      </x:c>
      <x:c r="G234" s="442" t="n">
        <x:v>18</x:v>
      </x:c>
      <x:c r="H234" s="442" t="str">
        <x:v>Massachusetts Institute of Technology (MIT); Stanford University; Carnegie Mellon University; University of California, Berkeley; Harvard University; Princeton University</x:v>
      </x:c>
      <x:c r="I234" s="442" t="str">
        <x:v>Cobertura de la familia temática; consultar la fuente oficial antes de atribuir una asignatura literal.</x:v>
      </x:c>
    </x:row>
    <x:row r="235" ht="42" customHeight="1">
      <x:c r="A235" s="445" t="str">
        <x:v>ROB-004</x:v>
      </x:c>
      <x:c r="B235" s="445" t="str">
        <x:v>Manufactura digital e impresión 3D</x:v>
      </x:c>
      <x:c r="C235" s="445" t="str">
        <x:v>Robótica y mecatrónica</x:v>
      </x:c>
      <x:c r="D235" s="445" t="str">
        <x:v>Sistemas e ingeniería</x:v>
      </x:c>
      <x:c r="E235" s="445" t="n">
        <x:v>2</x:v>
      </x:c>
      <x:c r="F235" s="445" t="n">
        <x:v>132</x:v>
      </x:c>
      <x:c r="G235" s="445" t="n">
        <x:v>18</x:v>
      </x:c>
      <x:c r="H235" s="445" t="str">
        <x:v>Massachusetts Institute of Technology (MIT); Stanford University; Carnegie Mellon University; University of California, Berkeley; Harvard University; Princeton University</x:v>
      </x:c>
      <x:c r="I235" s="445" t="str">
        <x:v>Cobertura de la familia temática; consultar la fuente oficial antes de atribuir una asignatura literal.</x:v>
      </x:c>
    </x:row>
    <x:row r="236" ht="42" customHeight="1">
      <x:c r="A236" s="442" t="str">
        <x:v>ROB-005</x:v>
      </x:c>
      <x:c r="B236" s="442" t="str">
        <x:v>Control automático I</x:v>
      </x:c>
      <x:c r="C236" s="442" t="str">
        <x:v>Robótica y mecatrónica</x:v>
      </x:c>
      <x:c r="D236" s="442" t="str">
        <x:v>Sistemas e ingeniería</x:v>
      </x:c>
      <x:c r="E236" s="442" t="n">
        <x:v>2</x:v>
      </x:c>
      <x:c r="F236" s="442" t="n">
        <x:v>132</x:v>
      </x:c>
      <x:c r="G236" s="442" t="n">
        <x:v>18</x:v>
      </x:c>
      <x:c r="H236" s="442" t="str">
        <x:v>Massachusetts Institute of Technology (MIT); Stanford University; Carnegie Mellon University; University of California, Berkeley; Harvard University; Princeton University</x:v>
      </x:c>
      <x:c r="I236" s="442" t="str">
        <x:v>Cobertura de la familia temática; consultar la fuente oficial antes de atribuir una asignatura literal.</x:v>
      </x:c>
    </x:row>
    <x:row r="237" ht="42" customHeight="1">
      <x:c r="A237" s="445" t="str">
        <x:v>ROB-006</x:v>
      </x:c>
      <x:c r="B237" s="445" t="str">
        <x:v>Control automático II</x:v>
      </x:c>
      <x:c r="C237" s="445" t="str">
        <x:v>Robótica y mecatrónica</x:v>
      </x:c>
      <x:c r="D237" s="445" t="str">
        <x:v>Sistemas e ingeniería</x:v>
      </x:c>
      <x:c r="E237" s="445" t="n">
        <x:v>2</x:v>
      </x:c>
      <x:c r="F237" s="445" t="n">
        <x:v>132</x:v>
      </x:c>
      <x:c r="G237" s="445" t="n">
        <x:v>18</x:v>
      </x:c>
      <x:c r="H237" s="445" t="str">
        <x:v>Massachusetts Institute of Technology (MIT); Stanford University; Carnegie Mellon University; University of California, Berkeley; Harvard University; Princeton University</x:v>
      </x:c>
      <x:c r="I237" s="445" t="str">
        <x:v>Cobertura de la familia temática; consultar la fuente oficial antes de atribuir una asignatura literal.</x:v>
      </x:c>
    </x:row>
    <x:row r="238" ht="42" customHeight="1">
      <x:c r="A238" s="442" t="str">
        <x:v>ISM-008</x:v>
      </x:c>
      <x:c r="B238" s="442" t="str">
        <x:v>ERP</x:v>
      </x:c>
      <x:c r="C238" s="442" t="str">
        <x:v>Sistemas de información y gestión TI</x:v>
      </x:c>
      <x:c r="D238" s="442" t="str">
        <x:v>Sistemas e ingeniería</x:v>
      </x:c>
      <x:c r="E238" s="442" t="n">
        <x:v>2</x:v>
      </x:c>
      <x:c r="F238" s="442" t="n">
        <x:v>54</x:v>
      </x:c>
      <x:c r="G238" s="442" t="n">
        <x:v>7</x:v>
      </x:c>
      <x:c r="H238" s="442" t="str">
        <x:v>Carnegie Mellon University; Cornell University; University of Illinois Urbana-Champaign; Georgia Institute of Technology; University of Washington; New York University</x:v>
      </x:c>
      <x:c r="I238" s="442" t="str">
        <x:v>Cobertura de la familia temática; consultar la fuente oficial antes de atribuir una asignatura literal.</x:v>
      </x:c>
    </x:row>
    <x:row r="239" ht="42" customHeight="1">
      <x:c r="A239" s="445" t="str">
        <x:v>ISM-009</x:v>
      </x:c>
      <x:c r="B239" s="445" t="str">
        <x:v>CRM</x:v>
      </x:c>
      <x:c r="C239" s="445" t="str">
        <x:v>Sistemas de información y gestión TI</x:v>
      </x:c>
      <x:c r="D239" s="445" t="str">
        <x:v>Sistemas e ingeniería</x:v>
      </x:c>
      <x:c r="E239" s="445" t="n">
        <x:v>2</x:v>
      </x:c>
      <x:c r="F239" s="445" t="n">
        <x:v>54</x:v>
      </x:c>
      <x:c r="G239" s="445" t="n">
        <x:v>7</x:v>
      </x:c>
      <x:c r="H239" s="445" t="str">
        <x:v>Carnegie Mellon University; Cornell University; University of Illinois Urbana-Champaign; Georgia Institute of Technology; University of Washington; New York University</x:v>
      </x:c>
      <x:c r="I239" s="445" t="str">
        <x:v>Cobertura de la familia temática; consultar la fuente oficial antes de atribuir una asignatura literal.</x:v>
      </x:c>
    </x:row>
    <x:row r="240" ht="42" customHeight="1">
      <x:c r="A240" s="442" t="str">
        <x:v>ISM-010</x:v>
      </x:c>
      <x:c r="B240" s="442" t="str">
        <x:v>SCM y logística digital</x:v>
      </x:c>
      <x:c r="C240" s="442" t="str">
        <x:v>Sistemas de información y gestión TI</x:v>
      </x:c>
      <x:c r="D240" s="442" t="str">
        <x:v>Sistemas e ingeniería</x:v>
      </x:c>
      <x:c r="E240" s="442" t="n">
        <x:v>2</x:v>
      </x:c>
      <x:c r="F240" s="442" t="n">
        <x:v>54</x:v>
      </x:c>
      <x:c r="G240" s="442" t="n">
        <x:v>7</x:v>
      </x:c>
      <x:c r="H240" s="442" t="str">
        <x:v>Carnegie Mellon University; Cornell University; University of Illinois Urbana-Champaign; Georgia Institute of Technology; University of Washington; New York University</x:v>
      </x:c>
      <x:c r="I240" s="442" t="str">
        <x:v>Cobertura de la familia temática; consultar la fuente oficial antes de atribuir una asignatura literal.</x:v>
      </x:c>
    </x:row>
    <x:row r="241" ht="42" customHeight="1">
      <x:c r="A241" s="445" t="str">
        <x:v>ISM-011</x:v>
      </x:c>
      <x:c r="B241" s="445" t="str">
        <x:v>Arquitectura empresarial</x:v>
      </x:c>
      <x:c r="C241" s="445" t="str">
        <x:v>Sistemas de información y gestión TI</x:v>
      </x:c>
      <x:c r="D241" s="445" t="str">
        <x:v>Sistemas e ingeniería</x:v>
      </x:c>
      <x:c r="E241" s="445" t="n">
        <x:v>2</x:v>
      </x:c>
      <x:c r="F241" s="445" t="n">
        <x:v>54</x:v>
      </x:c>
      <x:c r="G241" s="445" t="n">
        <x:v>7</x:v>
      </x:c>
      <x:c r="H241" s="445" t="str">
        <x:v>Carnegie Mellon University; Cornell University; University of Illinois Urbana-Champaign; Georgia Institute of Technology; University of Washington; New York University</x:v>
      </x:c>
      <x:c r="I241" s="445" t="str">
        <x:v>Cobertura de la familia temática; consultar la fuente oficial antes de atribuir una asignatura literal.</x:v>
      </x:c>
    </x:row>
    <x:row r="242" ht="42" customHeight="1">
      <x:c r="A242" s="442" t="str">
        <x:v>ISM-012</x:v>
      </x:c>
      <x:c r="B242" s="442" t="str">
        <x:v>Gobierno de TI</x:v>
      </x:c>
      <x:c r="C242" s="442" t="str">
        <x:v>Sistemas de información y gestión TI</x:v>
      </x:c>
      <x:c r="D242" s="442" t="str">
        <x:v>Sistemas e ingeniería</x:v>
      </x:c>
      <x:c r="E242" s="442" t="n">
        <x:v>2</x:v>
      </x:c>
      <x:c r="F242" s="442" t="n">
        <x:v>54</x:v>
      </x:c>
      <x:c r="G242" s="442" t="n">
        <x:v>7</x:v>
      </x:c>
      <x:c r="H242" s="442" t="str">
        <x:v>Carnegie Mellon University; Cornell University; University of Illinois Urbana-Champaign; Georgia Institute of Technology; University of Washington; New York University</x:v>
      </x:c>
      <x:c r="I242" s="442" t="str">
        <x:v>Cobertura de la familia temática; consultar la fuente oficial antes de atribuir una asignatura literal.</x:v>
      </x:c>
    </x:row>
    <x:row r="243" ht="42" customHeight="1">
      <x:c r="A243" s="445" t="str">
        <x:v>ISM-013</x:v>
      </x:c>
      <x:c r="B243" s="445" t="str">
        <x:v>ITIL y gestión de servicios</x:v>
      </x:c>
      <x:c r="C243" s="445" t="str">
        <x:v>Sistemas de información y gestión TI</x:v>
      </x:c>
      <x:c r="D243" s="445" t="str">
        <x:v>Sistemas e ingeniería</x:v>
      </x:c>
      <x:c r="E243" s="445" t="n">
        <x:v>2</x:v>
      </x:c>
      <x:c r="F243" s="445" t="n">
        <x:v>54</x:v>
      </x:c>
      <x:c r="G243" s="445" t="n">
        <x:v>7</x:v>
      </x:c>
      <x:c r="H243" s="445" t="str">
        <x:v>Carnegie Mellon University; Cornell University; University of Illinois Urbana-Champaign; Georgia Institute of Technology; University of Washington; New York University</x:v>
      </x:c>
      <x:c r="I243" s="445" t="str">
        <x:v>Cobertura de la familia temática; consultar la fuente oficial antes de atribuir una asignatura literal.</x:v>
      </x:c>
    </x:row>
    <x:row r="244" ht="42" customHeight="1">
      <x:c r="A244" s="442" t="str">
        <x:v>ISM-014</x:v>
      </x:c>
      <x:c r="B244" s="442" t="str">
        <x:v>Help Desk, incidentes y problemas</x:v>
      </x:c>
      <x:c r="C244" s="442" t="str">
        <x:v>Sistemas de información y gestión TI</x:v>
      </x:c>
      <x:c r="D244" s="442" t="str">
        <x:v>Sistemas e ingeniería</x:v>
      </x:c>
      <x:c r="E244" s="442" t="n">
        <x:v>2</x:v>
      </x:c>
      <x:c r="F244" s="442" t="n">
        <x:v>54</x:v>
      </x:c>
      <x:c r="G244" s="442" t="n">
        <x:v>7</x:v>
      </x:c>
      <x:c r="H244" s="442" t="str">
        <x:v>Carnegie Mellon University; Cornell University; University of Illinois Urbana-Champaign; Georgia Institute of Technology; University of Washington; New York University</x:v>
      </x:c>
      <x:c r="I244" s="442" t="str">
        <x:v>Cobertura de la familia temática; consultar la fuente oficial antes de atribuir una asignatura literal.</x:v>
      </x:c>
    </x:row>
    <x:row r="245" ht="42" customHeight="1">
      <x:c r="A245" s="445" t="str">
        <x:v>SYS-007</x:v>
      </x:c>
      <x:c r="B245" s="445" t="str">
        <x:v>Virtualización e hipervisores</x:v>
      </x:c>
      <x:c r="C245" s="445" t="str">
        <x:v>Sistemas y arquitectura</x:v>
      </x:c>
      <x:c r="D245" s="445" t="str">
        <x:v>Sistemas e ingeniería</x:v>
      </x:c>
      <x:c r="E245" s="445" t="n">
        <x:v>1</x:v>
      </x:c>
      <x:c r="F245" s="445" t="n">
        <x:v>146</x:v>
      </x:c>
      <x:c r="G245" s="445" t="n">
        <x:v>19</x:v>
      </x:c>
      <x:c r="H245" s="445" t="str">
        <x:v>Massachusetts Institute of Technology (MIT); Stanford University; Carnegie Mellon University; University of California, Berkeley; Harvard University; Princeton University</x:v>
      </x:c>
      <x:c r="I245" s="445" t="str">
        <x:v>Cobertura de la familia temática; consultar la fuente oficial antes de atribuir una asignatura literal.</x:v>
      </x:c>
    </x:row>
    <x:row r="246" ht="42" customHeight="1">
      <x:c r="A246" s="442" t="str">
        <x:v>SYS-008</x:v>
      </x:c>
      <x:c r="B246" s="442" t="str">
        <x:v>Contenedores desde fundamentos</x:v>
      </x:c>
      <x:c r="C246" s="442" t="str">
        <x:v>Sistemas y arquitectura</x:v>
      </x:c>
      <x:c r="D246" s="442" t="str">
        <x:v>Sistemas e ingeniería</x:v>
      </x:c>
      <x:c r="E246" s="442" t="n">
        <x:v>1</x:v>
      </x:c>
      <x:c r="F246" s="442" t="n">
        <x:v>146</x:v>
      </x:c>
      <x:c r="G246" s="442" t="n">
        <x:v>19</x:v>
      </x:c>
      <x:c r="H246" s="442" t="str">
        <x:v>Massachusetts Institute of Technology (MIT); Stanford University; Carnegie Mellon University; University of California, Berkeley; Harvard University; Princeton University</x:v>
      </x:c>
      <x:c r="I246" s="442" t="str">
        <x:v>Cobertura de la familia temática; consultar la fuente oficial antes de atribuir una asignatura literal.</x:v>
      </x:c>
    </x:row>
    <x:row r="247" ht="42" customHeight="1">
      <x:c r="A247" s="445" t="str">
        <x:v>SYS-009</x:v>
      </x:c>
      <x:c r="B247" s="445" t="str">
        <x:v>Sistemas distribuidos I</x:v>
      </x:c>
      <x:c r="C247" s="445" t="str">
        <x:v>Sistemas y arquitectura</x:v>
      </x:c>
      <x:c r="D247" s="445" t="str">
        <x:v>Sistemas e ingeniería</x:v>
      </x:c>
      <x:c r="E247" s="445" t="n">
        <x:v>1</x:v>
      </x:c>
      <x:c r="F247" s="445" t="n">
        <x:v>146</x:v>
      </x:c>
      <x:c r="G247" s="445" t="n">
        <x:v>19</x:v>
      </x:c>
      <x:c r="H247" s="445" t="str">
        <x:v>Massachusetts Institute of Technology (MIT); Stanford University; Carnegie Mellon University; University of California, Berkeley; Harvard University; Princeton University</x:v>
      </x:c>
      <x:c r="I247" s="445" t="str">
        <x:v>Cobertura de la familia temática; consultar la fuente oficial antes de atribuir una asignatura literal.</x:v>
      </x:c>
    </x:row>
    <x:row r="248" ht="42" customHeight="1">
      <x:c r="A248" s="442" t="str">
        <x:v>SYS-010</x:v>
      </x:c>
      <x:c r="B248" s="442" t="str">
        <x:v>Sistemas distribuidos II</x:v>
      </x:c>
      <x:c r="C248" s="442" t="str">
        <x:v>Sistemas y arquitectura</x:v>
      </x:c>
      <x:c r="D248" s="442" t="str">
        <x:v>Sistemas e ingeniería</x:v>
      </x:c>
      <x:c r="E248" s="442" t="n">
        <x:v>1</x:v>
      </x:c>
      <x:c r="F248" s="442" t="n">
        <x:v>146</x:v>
      </x:c>
      <x:c r="G248" s="442" t="n">
        <x:v>19</x:v>
      </x:c>
      <x:c r="H248" s="442" t="str">
        <x:v>Massachusetts Institute of Technology (MIT); Stanford University; Carnegie Mellon University; University of California, Berkeley; Harvard University; Princeton University</x:v>
      </x:c>
      <x:c r="I248" s="442" t="str">
        <x:v>Cobertura de la familia temática; consultar la fuente oficial antes de atribuir una asignatura literal.</x:v>
      </x:c>
    </x:row>
    <x:row r="249" ht="42" customHeight="1">
      <x:c r="A249" s="445" t="str">
        <x:v>SYS-011</x:v>
      </x:c>
      <x:c r="B249" s="445" t="str">
        <x:v>Sistemas en tiempo real</x:v>
      </x:c>
      <x:c r="C249" s="445" t="str">
        <x:v>Sistemas y arquitectura</x:v>
      </x:c>
      <x:c r="D249" s="445" t="str">
        <x:v>Sistemas e ingeniería</x:v>
      </x:c>
      <x:c r="E249" s="445" t="n">
        <x:v>1</x:v>
      </x:c>
      <x:c r="F249" s="445" t="n">
        <x:v>146</x:v>
      </x:c>
      <x:c r="G249" s="445" t="n">
        <x:v>19</x:v>
      </x:c>
      <x:c r="H249" s="445" t="str">
        <x:v>Massachusetts Institute of Technology (MIT); Stanford University; Carnegie Mellon University; University of California, Berkeley; Harvard University; Princeton University</x:v>
      </x:c>
      <x:c r="I249" s="445" t="str">
        <x:v>Cobertura de la familia temática; consultar la fuente oficial antes de atribuir una asignatura literal.</x:v>
      </x:c>
    </x:row>
    <x:row r="250" ht="42" customHeight="1">
      <x:c r="A250" s="442" t="str">
        <x:v>SYS-012</x:v>
      </x:c>
      <x:c r="B250" s="442" t="str">
        <x:v>Sistemas embebidos</x:v>
      </x:c>
      <x:c r="C250" s="442" t="str">
        <x:v>Sistemas y arquitectura</x:v>
      </x:c>
      <x:c r="D250" s="442" t="str">
        <x:v>Sistemas e ingeniería</x:v>
      </x:c>
      <x:c r="E250" s="442" t="n">
        <x:v>1</x:v>
      </x:c>
      <x:c r="F250" s="442" t="n">
        <x:v>146</x:v>
      </x:c>
      <x:c r="G250" s="442" t="n">
        <x:v>19</x:v>
      </x:c>
      <x:c r="H250" s="442" t="str">
        <x:v>Massachusetts Institute of Technology (MIT); Stanford University; Carnegie Mellon University; University of California, Berkeley; Harvard University; Princeton University</x:v>
      </x:c>
      <x:c r="I250" s="442" t="str">
        <x:v>Cobertura de la familia temática; consultar la fuente oficial antes de atribuir una asignatura literal.</x:v>
      </x:c>
    </x:row>
    <x:row r="251" ht="42" customHeight="1">
      <x:c r="A251" s="445" t="str">
        <x:v>REP-015</x:v>
      </x:c>
      <x:c r="B251" s="445" t="str">
        <x:v>Firmware, BIOS/UEFI y flasheo seguro</x:v>
      </x:c>
      <x:c r="C251" s="445" t="str">
        <x:v>Soporte y reparación</x:v>
      </x:c>
      <x:c r="D251" s="445" t="str">
        <x:v>Sistemas e ingeniería</x:v>
      </x:c>
      <x:c r="E251" s="445" t="n">
        <x:v>2</x:v>
      </x:c>
      <x:c r="F251" s="445" t="n">
        <x:v>10</x:v>
      </x:c>
      <x:c r="G251" s="445" t="n">
        <x:v>3</x:v>
      </x:c>
      <x:c r="H251" s="445" t="str">
        <x:v>Purdue University; Rochester Institute of Technology; Northumbria University; De Montfort University; Universidad Nacional Autónoma de México; Tecnológico de Monterrey</x:v>
      </x:c>
      <x:c r="I251" s="445" t="str">
        <x:v>Cobertura de la familia temática; consultar la fuente oficial antes de atribuir una asignatura literal.</x:v>
      </x:c>
    </x:row>
    <x:row r="252" ht="42" customHeight="1">
      <x:c r="A252" s="442" t="str">
        <x:v>REP-016</x:v>
      </x:c>
      <x:c r="B252" s="442" t="str">
        <x:v>Gestión de repuestos, garantías y calidad</x:v>
      </x:c>
      <x:c r="C252" s="442" t="str">
        <x:v>Soporte y reparación</x:v>
      </x:c>
      <x:c r="D252" s="442" t="str">
        <x:v>Sistemas e ingeniería</x:v>
      </x:c>
      <x:c r="E252" s="442" t="n">
        <x:v>2</x:v>
      </x:c>
      <x:c r="F252" s="442" t="n">
        <x:v>10</x:v>
      </x:c>
      <x:c r="G252" s="442" t="n">
        <x:v>3</x:v>
      </x:c>
      <x:c r="H252" s="442" t="str">
        <x:v>Purdue University; Rochester Institute of Technology; Northumbria University; De Montfort University; Universidad Nacional Autónoma de México; Tecnológico de Monterrey</x:v>
      </x:c>
      <x:c r="I252" s="442" t="str">
        <x:v>Cobertura de la familia temática; consultar la fuente oficial antes de atribuir una asignatura literal.</x:v>
      </x:c>
    </x:row>
    <x:row r="253" ht="42" customHeight="1">
      <x:c r="A253" s="445" t="str">
        <x:v>REP-017</x:v>
      </x:c>
      <x:c r="B253" s="445" t="str">
        <x:v>Seguridad ESD, baterías y residuos electrónicos</x:v>
      </x:c>
      <x:c r="C253" s="445" t="str">
        <x:v>Soporte y reparación</x:v>
      </x:c>
      <x:c r="D253" s="445" t="str">
        <x:v>Sistemas e ingeniería</x:v>
      </x:c>
      <x:c r="E253" s="445" t="n">
        <x:v>2</x:v>
      </x:c>
      <x:c r="F253" s="445" t="n">
        <x:v>10</x:v>
      </x:c>
      <x:c r="G253" s="445" t="n">
        <x:v>3</x:v>
      </x:c>
      <x:c r="H253" s="445" t="str">
        <x:v>Purdue University; Rochester Institute of Technology; Northumbria University; De Montfort University; Universidad Nacional Autónoma de México; Tecnológico de Monterrey</x:v>
      </x:c>
      <x:c r="I253" s="445" t="str">
        <x:v>Cobertura de la familia temática; consultar la fuente oficial antes de atribuir una asignatura literal.</x:v>
      </x:c>
    </x:row>
    <x:row r="254" ht="42" customHeight="1">
      <x:c r="A254" s="442" t="str">
        <x:v>REP-018</x:v>
      </x:c>
      <x:c r="B254" s="442" t="str">
        <x:v>Atención al cliente y documentación técnica</x:v>
      </x:c>
      <x:c r="C254" s="442" t="str">
        <x:v>Soporte y reparación</x:v>
      </x:c>
      <x:c r="D254" s="442" t="str">
        <x:v>Sistemas e ingeniería</x:v>
      </x:c>
      <x:c r="E254" s="442" t="n">
        <x:v>2</x:v>
      </x:c>
      <x:c r="F254" s="442" t="n">
        <x:v>10</x:v>
      </x:c>
      <x:c r="G254" s="442" t="n">
        <x:v>3</x:v>
      </x:c>
      <x:c r="H254" s="442" t="str">
        <x:v>Purdue University; Rochester Institute of Technology; Northumbria University; De Montfort University; Universidad Nacional Autónoma de México; Tecnológico de Monterrey</x:v>
      </x:c>
      <x:c r="I254" s="442" t="str">
        <x:v>Cobertura de la familia temática; consultar la fuente oficial antes de atribuir una asignatura literal.</x:v>
      </x:c>
    </x:row>
    <x:row r="255" ht="42" customHeight="1">
      <x:c r="A255" s="445" t="str">
        <x:v>REP-019</x:v>
      </x:c>
      <x:c r="B255" s="445" t="str">
        <x:v>Soporte remoto y administración de endpoints</x:v>
      </x:c>
      <x:c r="C255" s="445" t="str">
        <x:v>Soporte y reparación</x:v>
      </x:c>
      <x:c r="D255" s="445" t="str">
        <x:v>Sistemas e ingeniería</x:v>
      </x:c>
      <x:c r="E255" s="445" t="n">
        <x:v>2</x:v>
      </x:c>
      <x:c r="F255" s="445" t="n">
        <x:v>10</x:v>
      </x:c>
      <x:c r="G255" s="445" t="n">
        <x:v>3</x:v>
      </x:c>
      <x:c r="H255" s="445" t="str">
        <x:v>Purdue University; Rochester Institute of Technology; Northumbria University; De Montfort University; Universidad Nacional Autónoma de México; Tecnológico de Monterrey</x:v>
      </x:c>
      <x:c r="I255" s="445" t="str">
        <x:v>Cobertura de la familia temática; consultar la fuente oficial antes de atribuir una asignatura literal.</x:v>
      </x:c>
    </x:row>
    <x:row r="256" ht="42" customHeight="1">
      <x:c r="A256" s="442" t="str">
        <x:v>REP-020</x:v>
      </x:c>
      <x:c r="B256" s="442" t="str">
        <x:v>Laboratorio integral de reparación multimarca</x:v>
      </x:c>
      <x:c r="C256" s="442" t="str">
        <x:v>Soporte y reparación</x:v>
      </x:c>
      <x:c r="D256" s="442" t="str">
        <x:v>Sistemas e ingeniería</x:v>
      </x:c>
      <x:c r="E256" s="442" t="n">
        <x:v>2</x:v>
      </x:c>
      <x:c r="F256" s="442" t="n">
        <x:v>10</x:v>
      </x:c>
      <x:c r="G256" s="442" t="n">
        <x:v>3</x:v>
      </x:c>
      <x:c r="H256" s="442" t="str">
        <x:v>Purdue University; Rochester Institute of Technology; Northumbria University; De Montfort University; Universidad Nacional Autónoma de México; Tecnológico de Monterrey</x:v>
      </x:c>
      <x:c r="I256" s="442" t="str">
        <x:v>Cobertura de la familia temática; consultar la fuente oficial antes de atribuir una asignatura literal.</x:v>
      </x:c>
    </x:row>
    <x:row r="257" ht="42" customHeight="1">
      <x:c r="A257" s="445" t="str">
        <x:v>CYB-008</x:v>
      </x:c>
      <x:c r="B257" s="445" t="str">
        <x:v>Seguridad web y APIs</x:v>
      </x:c>
      <x:c r="C257" s="445" t="str">
        <x:v>Ciberseguridad, forense y auditoría</x:v>
      </x:c>
      <x:c r="D257" s="445" t="str">
        <x:v>Integración profesional</x:v>
      </x:c>
      <x:c r="E257" s="445" t="n">
        <x:v>2</x:v>
      </x:c>
      <x:c r="F257" s="445" t="n">
        <x:v>145</x:v>
      </x:c>
      <x:c r="G257" s="445" t="n">
        <x:v>19</x:v>
      </x:c>
      <x:c r="H257" s="445" t="str">
        <x:v>Massachusetts Institute of Technology (MIT); Stanford University; Carnegie Mellon University; University of California, Berkeley; Harvard University; Princeton University</x:v>
      </x:c>
      <x:c r="I257" s="445" t="str">
        <x:v>Cobertura de la familia temática; consultar la fuente oficial antes de atribuir una asignatura literal.</x:v>
      </x:c>
    </x:row>
    <x:row r="258" ht="42" customHeight="1">
      <x:c r="A258" s="442" t="str">
        <x:v>CYB-009</x:v>
      </x:c>
      <x:c r="B258" s="442" t="str">
        <x:v>Seguridad móvil</x:v>
      </x:c>
      <x:c r="C258" s="442" t="str">
        <x:v>Ciberseguridad, forense y auditoría</x:v>
      </x:c>
      <x:c r="D258" s="442" t="str">
        <x:v>Integración profesional</x:v>
      </x:c>
      <x:c r="E258" s="442" t="n">
        <x:v>2</x:v>
      </x:c>
      <x:c r="F258" s="442" t="n">
        <x:v>145</x:v>
      </x:c>
      <x:c r="G258" s="442" t="n">
        <x:v>19</x:v>
      </x:c>
      <x:c r="H258" s="442" t="str">
        <x:v>Massachusetts Institute of Technology (MIT); Stanford University; Carnegie Mellon University; University of California, Berkeley; Harvard University; Princeton University</x:v>
      </x:c>
      <x:c r="I258" s="442" t="str">
        <x:v>Cobertura de la familia temática; consultar la fuente oficial antes de atribuir una asignatura literal.</x:v>
      </x:c>
    </x:row>
    <x:row r="259" ht="42" customHeight="1">
      <x:c r="A259" s="445" t="str">
        <x:v>CYB-010</x:v>
      </x:c>
      <x:c r="B259" s="445" t="str">
        <x:v>Seguridad cloud</x:v>
      </x:c>
      <x:c r="C259" s="445" t="str">
        <x:v>Ciberseguridad, forense y auditoría</x:v>
      </x:c>
      <x:c r="D259" s="445" t="str">
        <x:v>Integración profesional</x:v>
      </x:c>
      <x:c r="E259" s="445" t="n">
        <x:v>2</x:v>
      </x:c>
      <x:c r="F259" s="445" t="n">
        <x:v>145</x:v>
      </x:c>
      <x:c r="G259" s="445" t="n">
        <x:v>19</x:v>
      </x:c>
      <x:c r="H259" s="445" t="str">
        <x:v>Massachusetts Institute of Technology (MIT); Stanford University; Carnegie Mellon University; University of California, Berkeley; Harvard University; Princeton University</x:v>
      </x:c>
      <x:c r="I259" s="445" t="str">
        <x:v>Cobertura de la familia temática; consultar la fuente oficial antes de atribuir una asignatura literal.</x:v>
      </x:c>
    </x:row>
    <x:row r="260" ht="42" customHeight="1">
      <x:c r="A260" s="442" t="str">
        <x:v>CYB-011</x:v>
      </x:c>
      <x:c r="B260" s="442" t="str">
        <x:v>Seguridad de contenedores y Kubernetes</x:v>
      </x:c>
      <x:c r="C260" s="442" t="str">
        <x:v>Ciberseguridad, forense y auditoría</x:v>
      </x:c>
      <x:c r="D260" s="442" t="str">
        <x:v>Integración profesional</x:v>
      </x:c>
      <x:c r="E260" s="442" t="n">
        <x:v>2</x:v>
      </x:c>
      <x:c r="F260" s="442" t="n">
        <x:v>145</x:v>
      </x:c>
      <x:c r="G260" s="442" t="n">
        <x:v>19</x:v>
      </x:c>
      <x:c r="H260" s="442" t="str">
        <x:v>Massachusetts Institute of Technology (MIT); Stanford University; Carnegie Mellon University; University of California, Berkeley; Harvard University; Princeton University</x:v>
      </x:c>
      <x:c r="I260" s="442" t="str">
        <x:v>Cobertura de la familia temática; consultar la fuente oficial antes de atribuir una asignatura literal.</x:v>
      </x:c>
    </x:row>
    <x:row r="261" ht="42" customHeight="1">
      <x:c r="A261" s="445" t="str">
        <x:v>CYB-012</x:v>
      </x:c>
      <x:c r="B261" s="445" t="str">
        <x:v>Seguridad de IoT y sistemas embebidos</x:v>
      </x:c>
      <x:c r="C261" s="445" t="str">
        <x:v>Ciberseguridad, forense y auditoría</x:v>
      </x:c>
      <x:c r="D261" s="445" t="str">
        <x:v>Integración profesional</x:v>
      </x:c>
      <x:c r="E261" s="445" t="n">
        <x:v>2</x:v>
      </x:c>
      <x:c r="F261" s="445" t="n">
        <x:v>145</x:v>
      </x:c>
      <x:c r="G261" s="445" t="n">
        <x:v>19</x:v>
      </x:c>
      <x:c r="H261" s="445" t="str">
        <x:v>Massachusetts Institute of Technology (MIT); Stanford University; Carnegie Mellon University; University of California, Berkeley; Harvard University; Princeton University</x:v>
      </x:c>
      <x:c r="I261" s="445" t="str">
        <x:v>Cobertura de la familia temática; consultar la fuente oficial antes de atribuir una asignatura literal.</x:v>
      </x:c>
    </x:row>
    <x:row r="262" ht="42" customHeight="1">
      <x:c r="A262" s="442" t="str">
        <x:v>CYB-013</x:v>
      </x:c>
      <x:c r="B262" s="442" t="str">
        <x:v>Seguridad OT/ICS y SCADA</x:v>
      </x:c>
      <x:c r="C262" s="442" t="str">
        <x:v>Ciberseguridad, forense y auditoría</x:v>
      </x:c>
      <x:c r="D262" s="442" t="str">
        <x:v>Integración profesional</x:v>
      </x:c>
      <x:c r="E262" s="442" t="n">
        <x:v>2</x:v>
      </x:c>
      <x:c r="F262" s="442" t="n">
        <x:v>145</x:v>
      </x:c>
      <x:c r="G262" s="442" t="n">
        <x:v>19</x:v>
      </x:c>
      <x:c r="H262" s="442" t="str">
        <x:v>Massachusetts Institute of Technology (MIT); Stanford University; Carnegie Mellon University; University of California, Berkeley; Harvard University; Princeton University</x:v>
      </x:c>
      <x:c r="I262" s="442" t="str">
        <x:v>Cobertura de la familia temática; consultar la fuente oficial antes de atribuir una asignatura literal.</x:v>
      </x:c>
    </x:row>
    <x:row r="263" ht="42" customHeight="1">
      <x:c r="A263" s="445" t="str">
        <x:v>CYB-014</x:v>
      </x:c>
      <x:c r="B263" s="445" t="str">
        <x:v>Arquitectura Zero Trust</x:v>
      </x:c>
      <x:c r="C263" s="445" t="str">
        <x:v>Ciberseguridad, forense y auditoría</x:v>
      </x:c>
      <x:c r="D263" s="445" t="str">
        <x:v>Integración profesional</x:v>
      </x:c>
      <x:c r="E263" s="445" t="n">
        <x:v>2</x:v>
      </x:c>
      <x:c r="F263" s="445" t="n">
        <x:v>145</x:v>
      </x:c>
      <x:c r="G263" s="445" t="n">
        <x:v>19</x:v>
      </x:c>
      <x:c r="H263" s="445" t="str">
        <x:v>Massachusetts Institute of Technology (MIT); Stanford University; Carnegie Mellon University; University of California, Berkeley; Harvard University; Princeton University</x:v>
      </x:c>
      <x:c r="I263" s="445" t="str">
        <x:v>Cobertura de la familia temática; consultar la fuente oficial antes de atribuir una asignatura literal.</x:v>
      </x:c>
    </x:row>
    <x:row r="264" ht="42" customHeight="1">
      <x:c r="A264" s="442" t="str">
        <x:v>DAI-013</x:v>
      </x:c>
      <x:c r="B264" s="442" t="str">
        <x:v>Big Data con Spark</x:v>
      </x:c>
      <x:c r="C264" s="442" t="str">
        <x:v>Datos, BI e IA</x:v>
      </x:c>
      <x:c r="D264" s="442" t="str">
        <x:v>Integración profesional</x:v>
      </x:c>
      <x:c r="E264" s="442" t="n">
        <x:v>1</x:v>
      </x:c>
      <x:c r="F264" s="442" t="n">
        <x:v>145</x:v>
      </x:c>
      <x:c r="G264" s="442" t="n">
        <x:v>19</x:v>
      </x:c>
      <x:c r="H264" s="442" t="str">
        <x:v>Massachusetts Institute of Technology (MIT); Stanford University; Carnegie Mellon University; University of California, Berkeley; Harvard University; Princeton University</x:v>
      </x:c>
      <x:c r="I264" s="442" t="str">
        <x:v>Cobertura de la familia temática; consultar la fuente oficial antes de atribuir una asignatura literal.</x:v>
      </x:c>
    </x:row>
    <x:row r="265" ht="42" customHeight="1">
      <x:c r="A265" s="445" t="str">
        <x:v>DAI-014</x:v>
      </x:c>
      <x:c r="B265" s="445" t="str">
        <x:v>Procesamiento de streaming</x:v>
      </x:c>
      <x:c r="C265" s="445" t="str">
        <x:v>Datos, BI e IA</x:v>
      </x:c>
      <x:c r="D265" s="445" t="str">
        <x:v>Integración profesional</x:v>
      </x:c>
      <x:c r="E265" s="445" t="n">
        <x:v>1</x:v>
      </x:c>
      <x:c r="F265" s="445" t="n">
        <x:v>145</x:v>
      </x:c>
      <x:c r="G265" s="445" t="n">
        <x:v>19</x:v>
      </x:c>
      <x:c r="H265" s="445" t="str">
        <x:v>Massachusetts Institute of Technology (MIT); Stanford University; Carnegie Mellon University; University of California, Berkeley; Harvard University; Princeton University</x:v>
      </x:c>
      <x:c r="I265" s="445" t="str">
        <x:v>Cobertura de la familia temática; consultar la fuente oficial antes de atribuir una asignatura literal.</x:v>
      </x:c>
    </x:row>
    <x:row r="266" ht="42" customHeight="1">
      <x:c r="A266" s="442" t="str">
        <x:v>DAI-015</x:v>
      </x:c>
      <x:c r="B266" s="442" t="str">
        <x:v>Lakehouse y arquitecturas modernas de datos</x:v>
      </x:c>
      <x:c r="C266" s="442" t="str">
        <x:v>Datos, BI e IA</x:v>
      </x:c>
      <x:c r="D266" s="442" t="str">
        <x:v>Integración profesional</x:v>
      </x:c>
      <x:c r="E266" s="442" t="n">
        <x:v>1</x:v>
      </x:c>
      <x:c r="F266" s="442" t="n">
        <x:v>145</x:v>
      </x:c>
      <x:c r="G266" s="442" t="n">
        <x:v>19</x:v>
      </x:c>
      <x:c r="H266" s="442" t="str">
        <x:v>Massachusetts Institute of Technology (MIT); Stanford University; Carnegie Mellon University; University of California, Berkeley; Harvard University; Princeton University</x:v>
      </x:c>
      <x:c r="I266" s="442" t="str">
        <x:v>Cobertura de la familia temática; consultar la fuente oficial antes de atribuir una asignatura literal.</x:v>
      </x:c>
    </x:row>
    <x:row r="267" ht="42" customHeight="1">
      <x:c r="A267" s="445" t="str">
        <x:v>DAI-016</x:v>
      </x:c>
      <x:c r="B267" s="445" t="str">
        <x:v>Sistemas de búsqueda y recuperación de información</x:v>
      </x:c>
      <x:c r="C267" s="445" t="str">
        <x:v>Datos, BI e IA</x:v>
      </x:c>
      <x:c r="D267" s="445" t="str">
        <x:v>Integración profesional</x:v>
      </x:c>
      <x:c r="E267" s="445" t="n">
        <x:v>1</x:v>
      </x:c>
      <x:c r="F267" s="445" t="n">
        <x:v>145</x:v>
      </x:c>
      <x:c r="G267" s="445" t="n">
        <x:v>19</x:v>
      </x:c>
      <x:c r="H267" s="445" t="str">
        <x:v>Massachusetts Institute of Technology (MIT); Stanford University; Carnegie Mellon University; University of California, Berkeley; Harvard University; Princeton University</x:v>
      </x:c>
      <x:c r="I267" s="445" t="str">
        <x:v>Cobertura de la familia temática; consultar la fuente oficial antes de atribuir una asignatura literal.</x:v>
      </x:c>
    </x:row>
    <x:row r="268" ht="42" customHeight="1">
      <x:c r="A268" s="442" t="str">
        <x:v>DAI-017</x:v>
      </x:c>
      <x:c r="B268" s="442" t="str">
        <x:v>Grafos de conocimiento y bases de grafos</x:v>
      </x:c>
      <x:c r="C268" s="442" t="str">
        <x:v>Datos, BI e IA</x:v>
      </x:c>
      <x:c r="D268" s="442" t="str">
        <x:v>Integración profesional</x:v>
      </x:c>
      <x:c r="E268" s="442" t="n">
        <x:v>1</x:v>
      </x:c>
      <x:c r="F268" s="442" t="n">
        <x:v>145</x:v>
      </x:c>
      <x:c r="G268" s="442" t="n">
        <x:v>19</x:v>
      </x:c>
      <x:c r="H268" s="442" t="str">
        <x:v>Massachusetts Institute of Technology (MIT); Stanford University; Carnegie Mellon University; University of California, Berkeley; Harvard University; Princeton University</x:v>
      </x:c>
      <x:c r="I268" s="442" t="str">
        <x:v>Cobertura de la familia temática; consultar la fuente oficial antes de atribuir una asignatura literal.</x:v>
      </x:c>
    </x:row>
    <x:row r="269" ht="42" customHeight="1">
      <x:c r="A269" s="445" t="str">
        <x:v>DAI-023</x:v>
      </x:c>
      <x:c r="B269" s="445" t="str">
        <x:v>Analítica de negocios</x:v>
      </x:c>
      <x:c r="C269" s="445" t="str">
        <x:v>Datos, BI e IA</x:v>
      </x:c>
      <x:c r="D269" s="445" t="str">
        <x:v>Integración profesional</x:v>
      </x:c>
      <x:c r="E269" s="445" t="n">
        <x:v>2</x:v>
      </x:c>
      <x:c r="F269" s="445" t="n">
        <x:v>145</x:v>
      </x:c>
      <x:c r="G269" s="445" t="n">
        <x:v>19</x:v>
      </x:c>
      <x:c r="H269" s="445" t="str">
        <x:v>Massachusetts Institute of Technology (MIT); Stanford University; Carnegie Mellon University; University of California, Berkeley; Harvard University; Princeton University</x:v>
      </x:c>
      <x:c r="I269" s="445" t="str">
        <x:v>Cobertura de la familia temática; consultar la fuente oficial antes de atribuir una asignatura literal.</x:v>
      </x:c>
    </x:row>
    <x:row r="270" ht="42" customHeight="1">
      <x:c r="A270" s="442" t="str">
        <x:v>DAI-024</x:v>
      </x:c>
      <x:c r="B270" s="442" t="str">
        <x:v>Métricas, KPIs y experimentación</x:v>
      </x:c>
      <x:c r="C270" s="442" t="str">
        <x:v>Datos, BI e IA</x:v>
      </x:c>
      <x:c r="D270" s="442" t="str">
        <x:v>Integración profesional</x:v>
      </x:c>
      <x:c r="E270" s="442" t="n">
        <x:v>2</x:v>
      </x:c>
      <x:c r="F270" s="442" t="n">
        <x:v>145</x:v>
      </x:c>
      <x:c r="G270" s="442" t="n">
        <x:v>19</x:v>
      </x:c>
      <x:c r="H270" s="442" t="str">
        <x:v>Massachusetts Institute of Technology (MIT); Stanford University; Carnegie Mellon University; University of California, Berkeley; Harvard University; Princeton University</x:v>
      </x:c>
      <x:c r="I270" s="442" t="str">
        <x:v>Cobertura de la familia temática; consultar la fuente oficial antes de atribuir una asignatura literal.</x:v>
      </x:c>
    </x:row>
    <x:row r="271" ht="42" customHeight="1">
      <x:c r="A271" s="445" t="str">
        <x:v>DAI-025</x:v>
      </x:c>
      <x:c r="B271" s="445" t="str">
        <x:v>Análisis de series temporales</x:v>
      </x:c>
      <x:c r="C271" s="445" t="str">
        <x:v>Datos, BI e IA</x:v>
      </x:c>
      <x:c r="D271" s="445" t="str">
        <x:v>Integración profesional</x:v>
      </x:c>
      <x:c r="E271" s="445" t="n">
        <x:v>2</x:v>
      </x:c>
      <x:c r="F271" s="445" t="n">
        <x:v>145</x:v>
      </x:c>
      <x:c r="G271" s="445" t="n">
        <x:v>19</x:v>
      </x:c>
      <x:c r="H271" s="445" t="str">
        <x:v>Massachusetts Institute of Technology (MIT); Stanford University; Carnegie Mellon University; University of California, Berkeley; Harvard University; Princeton University</x:v>
      </x:c>
      <x:c r="I271" s="445" t="str">
        <x:v>Cobertura de la familia temática; consultar la fuente oficial antes de atribuir una asignatura literal.</x:v>
      </x:c>
    </x:row>
    <x:row r="272" ht="42" customHeight="1">
      <x:c r="A272" s="442" t="str">
        <x:v>DAI-026</x:v>
      </x:c>
      <x:c r="B272" s="442" t="str">
        <x:v>Análisis causal y experimentos A/B</x:v>
      </x:c>
      <x:c r="C272" s="442" t="str">
        <x:v>Datos, BI e IA</x:v>
      </x:c>
      <x:c r="D272" s="442" t="str">
        <x:v>Integración profesional</x:v>
      </x:c>
      <x:c r="E272" s="442" t="n">
        <x:v>2</x:v>
      </x:c>
      <x:c r="F272" s="442" t="n">
        <x:v>145</x:v>
      </x:c>
      <x:c r="G272" s="442" t="n">
        <x:v>19</x:v>
      </x:c>
      <x:c r="H272" s="442" t="str">
        <x:v>Massachusetts Institute of Technology (MIT); Stanford University; Carnegie Mellon University; University of California, Berkeley; Harvard University; Princeton University</x:v>
      </x:c>
      <x:c r="I272" s="442" t="str">
        <x:v>Cobertura de la familia temática; consultar la fuente oficial antes de atribuir una asignatura literal.</x:v>
      </x:c>
    </x:row>
    <x:row r="273" ht="42" customHeight="1">
      <x:c r="A273" s="445" t="str">
        <x:v>DAI-027</x:v>
      </x:c>
      <x:c r="B273" s="445" t="str">
        <x:v>Analítica geoespacial</x:v>
      </x:c>
      <x:c r="C273" s="445" t="str">
        <x:v>Datos, BI e IA</x:v>
      </x:c>
      <x:c r="D273" s="445" t="str">
        <x:v>Integración profesional</x:v>
      </x:c>
      <x:c r="E273" s="445" t="n">
        <x:v>2</x:v>
      </x:c>
      <x:c r="F273" s="445" t="n">
        <x:v>145</x:v>
      </x:c>
      <x:c r="G273" s="445" t="n">
        <x:v>19</x:v>
      </x:c>
      <x:c r="H273" s="445" t="str">
        <x:v>Massachusetts Institute of Technology (MIT); Stanford University; Carnegie Mellon University; University of California, Berkeley; Harvard University; Princeton University</x:v>
      </x:c>
      <x:c r="I273" s="445" t="str">
        <x:v>Cobertura de la familia temática; consultar la fuente oficial antes de atribuir una asignatura literal.</x:v>
      </x:c>
    </x:row>
    <x:row r="274" ht="42" customHeight="1">
      <x:c r="A274" s="442" t="str">
        <x:v>DAI-028</x:v>
      </x:c>
      <x:c r="B274" s="442" t="str">
        <x:v>Fundamentos de inteligencia artificial</x:v>
      </x:c>
      <x:c r="C274" s="442" t="str">
        <x:v>Datos, BI e IA</x:v>
      </x:c>
      <x:c r="D274" s="442" t="str">
        <x:v>Integración profesional</x:v>
      </x:c>
      <x:c r="E274" s="442" t="n">
        <x:v>2</x:v>
      </x:c>
      <x:c r="F274" s="442" t="n">
        <x:v>145</x:v>
      </x:c>
      <x:c r="G274" s="442" t="n">
        <x:v>19</x:v>
      </x:c>
      <x:c r="H274" s="442" t="str">
        <x:v>Massachusetts Institute of Technology (MIT); Stanford University; Carnegie Mellon University; University of California, Berkeley; Harvard University; Princeton University</x:v>
      </x:c>
      <x:c r="I274" s="442" t="str">
        <x:v>Cobertura de la familia temática; consultar la fuente oficial antes de atribuir una asignatura literal.</x:v>
      </x:c>
    </x:row>
    <x:row r="275" ht="42" customHeight="1">
      <x:c r="A275" s="445" t="str">
        <x:v>DAI-029</x:v>
      </x:c>
      <x:c r="B275" s="445" t="str">
        <x:v>Machine Learning I</x:v>
      </x:c>
      <x:c r="C275" s="445" t="str">
        <x:v>Datos, BI e IA</x:v>
      </x:c>
      <x:c r="D275" s="445" t="str">
        <x:v>Integración profesional</x:v>
      </x:c>
      <x:c r="E275" s="445" t="n">
        <x:v>2</x:v>
      </x:c>
      <x:c r="F275" s="445" t="n">
        <x:v>145</x:v>
      </x:c>
      <x:c r="G275" s="445" t="n">
        <x:v>19</x:v>
      </x:c>
      <x:c r="H275" s="445" t="str">
        <x:v>Massachusetts Institute of Technology (MIT); Stanford University; Carnegie Mellon University; University of California, Berkeley; Harvard University; Princeton University</x:v>
      </x:c>
      <x:c r="I275" s="445" t="str">
        <x:v>Cobertura de la familia temática; consultar la fuente oficial antes de atribuir una asignatura literal.</x:v>
      </x:c>
    </x:row>
    <x:row r="276" ht="42" customHeight="1">
      <x:c r="A276" s="442" t="str">
        <x:v>DAI-030</x:v>
      </x:c>
      <x:c r="B276" s="442" t="str">
        <x:v>Machine Learning II</x:v>
      </x:c>
      <x:c r="C276" s="442" t="str">
        <x:v>Datos, BI e IA</x:v>
      </x:c>
      <x:c r="D276" s="442" t="str">
        <x:v>Integración profesional</x:v>
      </x:c>
      <x:c r="E276" s="442" t="n">
        <x:v>2</x:v>
      </x:c>
      <x:c r="F276" s="442" t="n">
        <x:v>145</x:v>
      </x:c>
      <x:c r="G276" s="442" t="n">
        <x:v>19</x:v>
      </x:c>
      <x:c r="H276" s="442" t="str">
        <x:v>Massachusetts Institute of Technology (MIT); Stanford University; Carnegie Mellon University; University of California, Berkeley; Harvard University; Princeton University</x:v>
      </x:c>
      <x:c r="I276" s="442" t="str">
        <x:v>Cobertura de la familia temática; consultar la fuente oficial antes de atribuir una asignatura literal.</x:v>
      </x:c>
    </x:row>
    <x:row r="277" ht="42" customHeight="1">
      <x:c r="A277" s="445" t="str">
        <x:v>DAI-031</x:v>
      </x:c>
      <x:c r="B277" s="445" t="str">
        <x:v>Deep Learning</x:v>
      </x:c>
      <x:c r="C277" s="445" t="str">
        <x:v>Datos, BI e IA</x:v>
      </x:c>
      <x:c r="D277" s="445" t="str">
        <x:v>Integración profesional</x:v>
      </x:c>
      <x:c r="E277" s="445" t="n">
        <x:v>2</x:v>
      </x:c>
      <x:c r="F277" s="445" t="n">
        <x:v>145</x:v>
      </x:c>
      <x:c r="G277" s="445" t="n">
        <x:v>19</x:v>
      </x:c>
      <x:c r="H277" s="445" t="str">
        <x:v>Massachusetts Institute of Technology (MIT); Stanford University; Carnegie Mellon University; University of California, Berkeley; Harvard University; Princeton University</x:v>
      </x:c>
      <x:c r="I277" s="445" t="str">
        <x:v>Cobertura de la familia temática; consultar la fuente oficial antes de atribuir una asignatura literal.</x:v>
      </x:c>
    </x:row>
    <x:row r="278" ht="42" customHeight="1">
      <x:c r="A278" s="442" t="str">
        <x:v>DAI-032</x:v>
      </x:c>
      <x:c r="B278" s="442" t="str">
        <x:v>Visión por computador</x:v>
      </x:c>
      <x:c r="C278" s="442" t="str">
        <x:v>Datos, BI e IA</x:v>
      </x:c>
      <x:c r="D278" s="442" t="str">
        <x:v>Integración profesional</x:v>
      </x:c>
      <x:c r="E278" s="442" t="n">
        <x:v>2</x:v>
      </x:c>
      <x:c r="F278" s="442" t="n">
        <x:v>145</x:v>
      </x:c>
      <x:c r="G278" s="442" t="n">
        <x:v>19</x:v>
      </x:c>
      <x:c r="H278" s="442" t="str">
        <x:v>Massachusetts Institute of Technology (MIT); Stanford University; Carnegie Mellon University; University of California, Berkeley; Harvard University; Princeton University</x:v>
      </x:c>
      <x:c r="I278" s="442" t="str">
        <x:v>Cobertura de la familia temática; consultar la fuente oficial antes de atribuir una asignatura literal.</x:v>
      </x:c>
    </x:row>
    <x:row r="279" ht="42" customHeight="1">
      <x:c r="A279" s="445" t="str">
        <x:v>DAI-033</x:v>
      </x:c>
      <x:c r="B279" s="445" t="str">
        <x:v>Procesamiento de lenguaje natural</x:v>
      </x:c>
      <x:c r="C279" s="445" t="str">
        <x:v>Datos, BI e IA</x:v>
      </x:c>
      <x:c r="D279" s="445" t="str">
        <x:v>Integración profesional</x:v>
      </x:c>
      <x:c r="E279" s="445" t="n">
        <x:v>2</x:v>
      </x:c>
      <x:c r="F279" s="445" t="n">
        <x:v>145</x:v>
      </x:c>
      <x:c r="G279" s="445" t="n">
        <x:v>19</x:v>
      </x:c>
      <x:c r="H279" s="445" t="str">
        <x:v>Massachusetts Institute of Technology (MIT); Stanford University; Carnegie Mellon University; University of California, Berkeley; Harvard University; Princeton University</x:v>
      </x:c>
      <x:c r="I279" s="445" t="str">
        <x:v>Cobertura de la familia temática; consultar la fuente oficial antes de atribuir una asignatura literal.</x:v>
      </x:c>
    </x:row>
    <x:row r="280" ht="42" customHeight="1">
      <x:c r="A280" s="442" t="str">
        <x:v>MED-033</x:v>
      </x:c>
      <x:c r="B280" s="442" t="str">
        <x:v>Efectos visuales y composición</x:v>
      </x:c>
      <x:c r="C280" s="442" t="str">
        <x:v>Diseño, foto, cine y multimedia</x:v>
      </x:c>
      <x:c r="D280" s="442" t="str">
        <x:v>Integración profesional</x:v>
      </x:c>
      <x:c r="E280" s="442" t="n">
        <x:v>3</x:v>
      </x:c>
      <x:c r="F280" s="442" t="n">
        <x:v>32</x:v>
      </x:c>
      <x:c r="G280" s="442" t="n">
        <x:v>4</x:v>
      </x:c>
      <x:c r="H280" s="442" t="str">
        <x:v>Georgia Institute of Technology; New York University; University of Southern California; University of Maryland, College Park; University of Pennsylvania; Simon Fraser University</x:v>
      </x:c>
      <x:c r="I280" s="442" t="str">
        <x:v>Cobertura de la familia temática; consultar la fuente oficial antes de atribuir una asignatura literal.</x:v>
      </x:c>
    </x:row>
    <x:row r="281" ht="42" customHeight="1">
      <x:c r="A281" s="445" t="str">
        <x:v>MED-034</x:v>
      </x:c>
      <x:c r="B281" s="445" t="str">
        <x:v>Animación 2D</x:v>
      </x:c>
      <x:c r="C281" s="445" t="str">
        <x:v>Diseño, foto, cine y multimedia</x:v>
      </x:c>
      <x:c r="D281" s="445" t="str">
        <x:v>Integración profesional</x:v>
      </x:c>
      <x:c r="E281" s="445" t="n">
        <x:v>3</x:v>
      </x:c>
      <x:c r="F281" s="445" t="n">
        <x:v>32</x:v>
      </x:c>
      <x:c r="G281" s="445" t="n">
        <x:v>4</x:v>
      </x:c>
      <x:c r="H281" s="445" t="str">
        <x:v>Georgia Institute of Technology; New York University; University of Southern California; University of Maryland, College Park; University of Pennsylvania; Simon Fraser University</x:v>
      </x:c>
      <x:c r="I281" s="445" t="str">
        <x:v>Cobertura de la familia temática; consultar la fuente oficial antes de atribuir una asignatura literal.</x:v>
      </x:c>
    </x:row>
    <x:row r="282" ht="42" customHeight="1">
      <x:c r="A282" s="442" t="str">
        <x:v>MED-035</x:v>
      </x:c>
      <x:c r="B282" s="442" t="str">
        <x:v>Modelado y animación 3D con Blender</x:v>
      </x:c>
      <x:c r="C282" s="442" t="str">
        <x:v>Diseño, foto, cine y multimedia</x:v>
      </x:c>
      <x:c r="D282" s="442" t="str">
        <x:v>Integración profesional</x:v>
      </x:c>
      <x:c r="E282" s="442" t="n">
        <x:v>3</x:v>
      </x:c>
      <x:c r="F282" s="442" t="n">
        <x:v>32</x:v>
      </x:c>
      <x:c r="G282" s="442" t="n">
        <x:v>4</x:v>
      </x:c>
      <x:c r="H282" s="442" t="str">
        <x:v>Georgia Institute of Technology; New York University; University of Southern California; University of Maryland, College Park; University of Pennsylvania; Simon Fraser University</x:v>
      </x:c>
      <x:c r="I282" s="442" t="str">
        <x:v>Cobertura de la familia temática; consultar la fuente oficial antes de atribuir una asignatura literal.</x:v>
      </x:c>
    </x:row>
    <x:row r="283" ht="42" customHeight="1">
      <x:c r="A283" s="445" t="str">
        <x:v>MED-036</x:v>
      </x:c>
      <x:c r="B283" s="445" t="str">
        <x:v>Documental</x:v>
      </x:c>
      <x:c r="C283" s="445" t="str">
        <x:v>Diseño, foto, cine y multimedia</x:v>
      </x:c>
      <x:c r="D283" s="445" t="str">
        <x:v>Integración profesional</x:v>
      </x:c>
      <x:c r="E283" s="445" t="n">
        <x:v>3</x:v>
      </x:c>
      <x:c r="F283" s="445" t="n">
        <x:v>32</x:v>
      </x:c>
      <x:c r="G283" s="445" t="n">
        <x:v>4</x:v>
      </x:c>
      <x:c r="H283" s="445" t="str">
        <x:v>Georgia Institute of Technology; New York University; University of Southern California; University of Maryland, College Park; University of Pennsylvania; Simon Fraser University</x:v>
      </x:c>
      <x:c r="I283" s="445" t="str">
        <x:v>Cobertura de la familia temática; consultar la fuente oficial antes de atribuir una asignatura literal.</x:v>
      </x:c>
    </x:row>
    <x:row r="284" ht="42" customHeight="1">
      <x:c r="A284" s="442" t="str">
        <x:v>MED-037</x:v>
      </x:c>
      <x:c r="B284" s="442" t="str">
        <x:v>Streaming y producción multicámara</x:v>
      </x:c>
      <x:c r="C284" s="442" t="str">
        <x:v>Diseño, foto, cine y multimedia</x:v>
      </x:c>
      <x:c r="D284" s="442" t="str">
        <x:v>Integración profesional</x:v>
      </x:c>
      <x:c r="E284" s="442" t="n">
        <x:v>3</x:v>
      </x:c>
      <x:c r="F284" s="442" t="n">
        <x:v>32</x:v>
      </x:c>
      <x:c r="G284" s="442" t="n">
        <x:v>4</x:v>
      </x:c>
      <x:c r="H284" s="442" t="str">
        <x:v>Georgia Institute of Technology; New York University; University of Southern California; University of Maryland, College Park; University of Pennsylvania; Simon Fraser University</x:v>
      </x:c>
      <x:c r="I284" s="442" t="str">
        <x:v>Cobertura de la familia temática; consultar la fuente oficial antes de atribuir una asignatura literal.</x:v>
      </x:c>
    </x:row>
    <x:row r="285" ht="42" customHeight="1">
      <x:c r="A285" s="445" t="str">
        <x:v>MED-038</x:v>
      </x:c>
      <x:c r="B285" s="445" t="str">
        <x:v>Gestión de medios y preservación digital</x:v>
      </x:c>
      <x:c r="C285" s="445" t="str">
        <x:v>Diseño, foto, cine y multimedia</x:v>
      </x:c>
      <x:c r="D285" s="445" t="str">
        <x:v>Integración profesional</x:v>
      </x:c>
      <x:c r="E285" s="445" t="n">
        <x:v>3</x:v>
      </x:c>
      <x:c r="F285" s="445" t="n">
        <x:v>32</x:v>
      </x:c>
      <x:c r="G285" s="445" t="n">
        <x:v>4</x:v>
      </x:c>
      <x:c r="H285" s="445" t="str">
        <x:v>Georgia Institute of Technology; New York University; University of Southern California; University of Maryland, College Park; University of Pennsylvania; Simon Fraser University</x:v>
      </x:c>
      <x:c r="I285" s="445" t="str">
        <x:v>Cobertura de la familia temática; consultar la fuente oficial antes de atribuir una asignatura literal.</x:v>
      </x:c>
    </x:row>
    <x:row r="286" ht="42" customHeight="1">
      <x:c r="A286" s="442" t="str">
        <x:v>MED-039</x:v>
      </x:c>
      <x:c r="B286" s="442" t="str">
        <x:v>Ética, derechos de autor y licencias creativas</x:v>
      </x:c>
      <x:c r="C286" s="442" t="str">
        <x:v>Diseño, foto, cine y multimedia</x:v>
      </x:c>
      <x:c r="D286" s="442" t="str">
        <x:v>Integración profesional</x:v>
      </x:c>
      <x:c r="E286" s="442" t="n">
        <x:v>3</x:v>
      </x:c>
      <x:c r="F286" s="442" t="n">
        <x:v>32</x:v>
      </x:c>
      <x:c r="G286" s="442" t="n">
        <x:v>4</x:v>
      </x:c>
      <x:c r="H286" s="442" t="str">
        <x:v>Georgia Institute of Technology; New York University; University of Southern California; University of Maryland, College Park; University of Pennsylvania; Simon Fraser University</x:v>
      </x:c>
      <x:c r="I286" s="442" t="str">
        <x:v>Cobertura de la familia temática; consultar la fuente oficial antes de atribuir una asignatura literal.</x:v>
      </x:c>
    </x:row>
    <x:row r="287" ht="42" customHeight="1">
      <x:c r="A287" s="445" t="str">
        <x:v>EIO-013</x:v>
      </x:c>
      <x:c r="B287" s="445" t="str">
        <x:v>Microelectrónica y fabricación de chips</x:v>
      </x:c>
      <x:c r="C287" s="445" t="str">
        <x:v>Electrónica, embebidos e IoT</x:v>
      </x:c>
      <x:c r="D287" s="445" t="str">
        <x:v>Integración profesional</x:v>
      </x:c>
      <x:c r="E287" s="445" t="n">
        <x:v>1</x:v>
      </x:c>
      <x:c r="F287" s="445" t="n">
        <x:v>128</x:v>
      </x:c>
      <x:c r="G287" s="445" t="n">
        <x:v>17</x:v>
      </x:c>
      <x:c r="H287" s="445" t="str">
        <x:v>Massachusetts Institute of Technology (MIT); Stanford University; Carnegie Mellon University; University of California, Berkeley; Harvard University; Princeton University</x:v>
      </x:c>
      <x:c r="I287" s="445" t="str">
        <x:v>Cobertura de la familia temática; consultar la fuente oficial antes de atribuir una asignatura literal.</x:v>
      </x:c>
    </x:row>
    <x:row r="288" ht="42" customHeight="1">
      <x:c r="A288" s="442" t="str">
        <x:v>EIO-014</x:v>
      </x:c>
      <x:c r="B288" s="442" t="str">
        <x:v>Compatibilidad electromagnética</x:v>
      </x:c>
      <x:c r="C288" s="442" t="str">
        <x:v>Electrónica, embebidos e IoT</x:v>
      </x:c>
      <x:c r="D288" s="442" t="str">
        <x:v>Integración profesional</x:v>
      </x:c>
      <x:c r="E288" s="442" t="n">
        <x:v>1</x:v>
      </x:c>
      <x:c r="F288" s="442" t="n">
        <x:v>128</x:v>
      </x:c>
      <x:c r="G288" s="442" t="n">
        <x:v>17</x:v>
      </x:c>
      <x:c r="H288" s="442" t="str">
        <x:v>Massachusetts Institute of Technology (MIT); Stanford University; Carnegie Mellon University; University of California, Berkeley; Harvard University; Princeton University</x:v>
      </x:c>
      <x:c r="I288" s="442" t="str">
        <x:v>Cobertura de la familia temática; consultar la fuente oficial antes de atribuir una asignatura literal.</x:v>
      </x:c>
    </x:row>
    <x:row r="289" ht="42" customHeight="1">
      <x:c r="A289" s="445" t="str">
        <x:v>EIO-015</x:v>
      </x:c>
      <x:c r="B289" s="445" t="str">
        <x:v>Fuentes de alimentación y baterías</x:v>
      </x:c>
      <x:c r="C289" s="445" t="str">
        <x:v>Electrónica, embebidos e IoT</x:v>
      </x:c>
      <x:c r="D289" s="445" t="str">
        <x:v>Integración profesional</x:v>
      </x:c>
      <x:c r="E289" s="445" t="n">
        <x:v>1</x:v>
      </x:c>
      <x:c r="F289" s="445" t="n">
        <x:v>128</x:v>
      </x:c>
      <x:c r="G289" s="445" t="n">
        <x:v>17</x:v>
      </x:c>
      <x:c r="H289" s="445" t="str">
        <x:v>Massachusetts Institute of Technology (MIT); Stanford University; Carnegie Mellon University; University of California, Berkeley; Harvard University; Princeton University</x:v>
      </x:c>
      <x:c r="I289" s="445" t="str">
        <x:v>Cobertura de la familia temática; consultar la fuente oficial antes de atribuir una asignatura literal.</x:v>
      </x:c>
    </x:row>
    <x:row r="290" ht="42" customHeight="1">
      <x:c r="A290" s="442" t="str">
        <x:v>EIO-022</x:v>
      </x:c>
      <x:c r="B290" s="442" t="str">
        <x:v>Protocolos de buses y periféricos</x:v>
      </x:c>
      <x:c r="C290" s="442" t="str">
        <x:v>Electrónica, embebidos e IoT</x:v>
      </x:c>
      <x:c r="D290" s="442" t="str">
        <x:v>Integración profesional</x:v>
      </x:c>
      <x:c r="E290" s="442" t="n">
        <x:v>2</x:v>
      </x:c>
      <x:c r="F290" s="442" t="n">
        <x:v>128</x:v>
      </x:c>
      <x:c r="G290" s="442" t="n">
        <x:v>17</x:v>
      </x:c>
      <x:c r="H290" s="442" t="str">
        <x:v>Massachusetts Institute of Technology (MIT); Stanford University; Carnegie Mellon University; University of California, Berkeley; Harvard University; Princeton University</x:v>
      </x:c>
      <x:c r="I290" s="442" t="str">
        <x:v>Cobertura de la familia temática; consultar la fuente oficial antes de atribuir una asignatura literal.</x:v>
      </x:c>
    </x:row>
    <x:row r="291" ht="42" customHeight="1">
      <x:c r="A291" s="445" t="str">
        <x:v>EIO-023</x:v>
      </x:c>
      <x:c r="B291" s="445" t="str">
        <x:v>Arquitectura IoT</x:v>
      </x:c>
      <x:c r="C291" s="445" t="str">
        <x:v>Electrónica, embebidos e IoT</x:v>
      </x:c>
      <x:c r="D291" s="445" t="str">
        <x:v>Integración profesional</x:v>
      </x:c>
      <x:c r="E291" s="445" t="n">
        <x:v>2</x:v>
      </x:c>
      <x:c r="F291" s="445" t="n">
        <x:v>128</x:v>
      </x:c>
      <x:c r="G291" s="445" t="n">
        <x:v>17</x:v>
      </x:c>
      <x:c r="H291" s="445" t="str">
        <x:v>Massachusetts Institute of Technology (MIT); Stanford University; Carnegie Mellon University; University of California, Berkeley; Harvard University; Princeton University</x:v>
      </x:c>
      <x:c r="I291" s="445" t="str">
        <x:v>Cobertura de la familia temática; consultar la fuente oficial antes de atribuir una asignatura literal.</x:v>
      </x:c>
    </x:row>
    <x:row r="292" ht="42" customHeight="1">
      <x:c r="A292" s="442" t="str">
        <x:v>EIO-024</x:v>
      </x:c>
      <x:c r="B292" s="442" t="str">
        <x:v>Redes IoT y LPWAN</x:v>
      </x:c>
      <x:c r="C292" s="442" t="str">
        <x:v>Electrónica, embebidos e IoT</x:v>
      </x:c>
      <x:c r="D292" s="442" t="str">
        <x:v>Integración profesional</x:v>
      </x:c>
      <x:c r="E292" s="442" t="n">
        <x:v>2</x:v>
      </x:c>
      <x:c r="F292" s="442" t="n">
        <x:v>128</x:v>
      </x:c>
      <x:c r="G292" s="442" t="n">
        <x:v>17</x:v>
      </x:c>
      <x:c r="H292" s="442" t="str">
        <x:v>Massachusetts Institute of Technology (MIT); Stanford University; Carnegie Mellon University; University of California, Berkeley; Harvard University; Princeton University</x:v>
      </x:c>
      <x:c r="I292" s="442" t="str">
        <x:v>Cobertura de la familia temática; consultar la fuente oficial antes de atribuir una asignatura literal.</x:v>
      </x:c>
    </x:row>
    <x:row r="293" ht="42" customHeight="1">
      <x:c r="A293" s="445" t="str">
        <x:v>EIO-025</x:v>
      </x:c>
      <x:c r="B293" s="445" t="str">
        <x:v>Plataformas cloud para IoT</x:v>
      </x:c>
      <x:c r="C293" s="445" t="str">
        <x:v>Electrónica, embebidos e IoT</x:v>
      </x:c>
      <x:c r="D293" s="445" t="str">
        <x:v>Integración profesional</x:v>
      </x:c>
      <x:c r="E293" s="445" t="n">
        <x:v>2</x:v>
      </x:c>
      <x:c r="F293" s="445" t="n">
        <x:v>128</x:v>
      </x:c>
      <x:c r="G293" s="445" t="n">
        <x:v>17</x:v>
      </x:c>
      <x:c r="H293" s="445" t="str">
        <x:v>Massachusetts Institute of Technology (MIT); Stanford University; Carnegie Mellon University; University of California, Berkeley; Harvard University; Princeton University</x:v>
      </x:c>
      <x:c r="I293" s="445" t="str">
        <x:v>Cobertura de la familia temática; consultar la fuente oficial antes de atribuir una asignatura literal.</x:v>
      </x:c>
    </x:row>
    <x:row r="294" ht="42" customHeight="1">
      <x:c r="A294" s="442" t="str">
        <x:v>EIO-026</x:v>
      </x:c>
      <x:c r="B294" s="442" t="str">
        <x:v>Edge AI y TinyML</x:v>
      </x:c>
      <x:c r="C294" s="442" t="str">
        <x:v>Electrónica, embebidos e IoT</x:v>
      </x:c>
      <x:c r="D294" s="442" t="str">
        <x:v>Integración profesional</x:v>
      </x:c>
      <x:c r="E294" s="442" t="n">
        <x:v>2</x:v>
      </x:c>
      <x:c r="F294" s="442" t="n">
        <x:v>128</x:v>
      </x:c>
      <x:c r="G294" s="442" t="n">
        <x:v>17</x:v>
      </x:c>
      <x:c r="H294" s="442" t="str">
        <x:v>Massachusetts Institute of Technology (MIT); Stanford University; Carnegie Mellon University; University of California, Berkeley; Harvard University; Princeton University</x:v>
      </x:c>
      <x:c r="I294" s="442" t="str">
        <x:v>Cobertura de la familia temática; consultar la fuente oficial antes de atribuir una asignatura literal.</x:v>
      </x:c>
    </x:row>
    <x:row r="295" ht="42" customHeight="1">
      <x:c r="A295" s="445" t="str">
        <x:v>EIO-027</x:v>
      </x:c>
      <x:c r="B295" s="445" t="str">
        <x:v>Seguridad y privacidad IoT</x:v>
      </x:c>
      <x:c r="C295" s="445" t="str">
        <x:v>Electrónica, embebidos e IoT</x:v>
      </x:c>
      <x:c r="D295" s="445" t="str">
        <x:v>Integración profesional</x:v>
      </x:c>
      <x:c r="E295" s="445" t="n">
        <x:v>2</x:v>
      </x:c>
      <x:c r="F295" s="445" t="n">
        <x:v>128</x:v>
      </x:c>
      <x:c r="G295" s="445" t="n">
        <x:v>17</x:v>
      </x:c>
      <x:c r="H295" s="445" t="str">
        <x:v>Massachusetts Institute of Technology (MIT); Stanford University; Carnegie Mellon University; University of California, Berkeley; Harvard University; Princeton University</x:v>
      </x:c>
      <x:c r="I295" s="445" t="str">
        <x:v>Cobertura de la familia temática; consultar la fuente oficial antes de atribuir una asignatura literal.</x:v>
      </x:c>
    </x:row>
    <x:row r="296" ht="42" customHeight="1">
      <x:c r="A296" s="442" t="str">
        <x:v>GXR-001</x:v>
      </x:c>
      <x:c r="B296" s="442" t="str">
        <x:v>Computación gráfica I</x:v>
      </x:c>
      <x:c r="C296" s="442" t="str">
        <x:v>Gráficos, juegos y XR</x:v>
      </x:c>
      <x:c r="D296" s="442" t="str">
        <x:v>Integración profesional</x:v>
      </x:c>
      <x:c r="E296" s="442" t="n">
        <x:v>2</x:v>
      </x:c>
      <x:c r="F296" s="442" t="n">
        <x:v>67</x:v>
      </x:c>
      <x:c r="G296" s="442" t="n">
        <x:v>14</x:v>
      </x:c>
      <x:c r="H296" s="442" t="str">
        <x:v>Stanford University; Carnegie Mellon University; University of California, Berkeley; Cornell University; University of Illinois Urbana-Champaign; Georgia Institute of Technology</x:v>
      </x:c>
      <x:c r="I296" s="442" t="str">
        <x:v>Cobertura de la familia temática; consultar la fuente oficial antes de atribuir una asignatura literal.</x:v>
      </x:c>
    </x:row>
    <x:row r="297" ht="42" customHeight="1">
      <x:c r="A297" s="445" t="str">
        <x:v>GXR-002</x:v>
      </x:c>
      <x:c r="B297" s="445" t="str">
        <x:v>Computación gráfica II</x:v>
      </x:c>
      <x:c r="C297" s="445" t="str">
        <x:v>Gráficos, juegos y XR</x:v>
      </x:c>
      <x:c r="D297" s="445" t="str">
        <x:v>Integración profesional</x:v>
      </x:c>
      <x:c r="E297" s="445" t="n">
        <x:v>2</x:v>
      </x:c>
      <x:c r="F297" s="445" t="n">
        <x:v>67</x:v>
      </x:c>
      <x:c r="G297" s="445" t="n">
        <x:v>14</x:v>
      </x:c>
      <x:c r="H297" s="445" t="str">
        <x:v>Stanford University; Carnegie Mellon University; University of California, Berkeley; Cornell University; University of Illinois Urbana-Champaign; Georgia Institute of Technology</x:v>
      </x:c>
      <x:c r="I297" s="445" t="str">
        <x:v>Cobertura de la familia temática; consultar la fuente oficial antes de atribuir una asignatura literal.</x:v>
      </x:c>
    </x:row>
    <x:row r="298" ht="42" customHeight="1">
      <x:c r="A298" s="442" t="str">
        <x:v>GXR-003</x:v>
      </x:c>
      <x:c r="B298" s="442" t="str">
        <x:v>Geometría computacional</x:v>
      </x:c>
      <x:c r="C298" s="442" t="str">
        <x:v>Gráficos, juegos y XR</x:v>
      </x:c>
      <x:c r="D298" s="442" t="str">
        <x:v>Integración profesional</x:v>
      </x:c>
      <x:c r="E298" s="442" t="n">
        <x:v>2</x:v>
      </x:c>
      <x:c r="F298" s="442" t="n">
        <x:v>67</x:v>
      </x:c>
      <x:c r="G298" s="442" t="n">
        <x:v>14</x:v>
      </x:c>
      <x:c r="H298" s="442" t="str">
        <x:v>Stanford University; Carnegie Mellon University; University of California, Berkeley; Cornell University; University of Illinois Urbana-Champaign; Georgia Institute of Technology</x:v>
      </x:c>
      <x:c r="I298" s="442" t="str">
        <x:v>Cobertura de la familia temática; consultar la fuente oficial antes de atribuir una asignatura literal.</x:v>
      </x:c>
    </x:row>
    <x:row r="299" ht="42" customHeight="1">
      <x:c r="A299" s="445" t="str">
        <x:v>GXR-004</x:v>
      </x:c>
      <x:c r="B299" s="445" t="str">
        <x:v>Renderizado en tiempo real</x:v>
      </x:c>
      <x:c r="C299" s="445" t="str">
        <x:v>Gráficos, juegos y XR</x:v>
      </x:c>
      <x:c r="D299" s="445" t="str">
        <x:v>Integración profesional</x:v>
      </x:c>
      <x:c r="E299" s="445" t="n">
        <x:v>2</x:v>
      </x:c>
      <x:c r="F299" s="445" t="n">
        <x:v>67</x:v>
      </x:c>
      <x:c r="G299" s="445" t="n">
        <x:v>14</x:v>
      </x:c>
      <x:c r="H299" s="445" t="str">
        <x:v>Stanford University; Carnegie Mellon University; University of California, Berkeley; Cornell University; University of Illinois Urbana-Champaign; Georgia Institute of Technology</x:v>
      </x:c>
      <x:c r="I299" s="445" t="str">
        <x:v>Cobertura de la familia temática; consultar la fuente oficial antes de atribuir una asignatura literal.</x:v>
      </x:c>
    </x:row>
    <x:row r="300" ht="42" customHeight="1">
      <x:c r="A300" s="442" t="str">
        <x:v>GXR-005</x:v>
      </x:c>
      <x:c r="B300" s="442" t="str">
        <x:v>Shaders y programación de GPU gráfica</x:v>
      </x:c>
      <x:c r="C300" s="442" t="str">
        <x:v>Gráficos, juegos y XR</x:v>
      </x:c>
      <x:c r="D300" s="442" t="str">
        <x:v>Integración profesional</x:v>
      </x:c>
      <x:c r="E300" s="442" t="n">
        <x:v>2</x:v>
      </x:c>
      <x:c r="F300" s="442" t="n">
        <x:v>67</x:v>
      </x:c>
      <x:c r="G300" s="442" t="n">
        <x:v>14</x:v>
      </x:c>
      <x:c r="H300" s="442" t="str">
        <x:v>Stanford University; Carnegie Mellon University; University of California, Berkeley; Cornell University; University of Illinois Urbana-Champaign; Georgia Institute of Technology</x:v>
      </x:c>
      <x:c r="I300" s="442" t="str">
        <x:v>Cobertura de la familia temática; consultar la fuente oficial antes de atribuir una asignatura literal.</x:v>
      </x:c>
    </x:row>
    <x:row r="301" ht="42" customHeight="1">
      <x:c r="A301" s="445" t="str">
        <x:v>GXR-006</x:v>
      </x:c>
      <x:c r="B301" s="445" t="str">
        <x:v>Animación por computador</x:v>
      </x:c>
      <x:c r="C301" s="445" t="str">
        <x:v>Gráficos, juegos y XR</x:v>
      </x:c>
      <x:c r="D301" s="445" t="str">
        <x:v>Integración profesional</x:v>
      </x:c>
      <x:c r="E301" s="445" t="n">
        <x:v>2</x:v>
      </x:c>
      <x:c r="F301" s="445" t="n">
        <x:v>67</x:v>
      </x:c>
      <x:c r="G301" s="445" t="n">
        <x:v>14</x:v>
      </x:c>
      <x:c r="H301" s="445" t="str">
        <x:v>Stanford University; Carnegie Mellon University; University of California, Berkeley; Cornell University; University of Illinois Urbana-Champaign; Georgia Institute of Technology</x:v>
      </x:c>
      <x:c r="I301" s="445" t="str">
        <x:v>Cobertura de la familia temática; consultar la fuente oficial antes de atribuir una asignatura literal.</x:v>
      </x:c>
    </x:row>
    <x:row r="302" ht="42" customHeight="1">
      <x:c r="A302" s="442" t="str">
        <x:v>SWE-015</x:v>
      </x:c>
      <x:c r="B302" s="442" t="str">
        <x:v>Ingeniería de requisitos de sistemas críticos</x:v>
      </x:c>
      <x:c r="C302" s="442" t="str">
        <x:v>Ingeniería de software</x:v>
      </x:c>
      <x:c r="D302" s="442" t="str">
        <x:v>Integración profesional</x:v>
      </x:c>
      <x:c r="E302" s="442" t="n">
        <x:v>1</x:v>
      </x:c>
      <x:c r="F302" s="442" t="n">
        <x:v>147</x:v>
      </x:c>
      <x:c r="G302" s="442" t="n">
        <x:v>19</x:v>
      </x:c>
      <x:c r="H302" s="442" t="str">
        <x:v>Massachusetts Institute of Technology (MIT); Stanford University; Carnegie Mellon University; University of California, Berkeley; Harvard University; Princeton University</x:v>
      </x:c>
      <x:c r="I302" s="442" t="str">
        <x:v>Cobertura de la familia temática; consultar la fuente oficial antes de atribuir una asignatura literal.</x:v>
      </x:c>
    </x:row>
    <x:row r="303" ht="42" customHeight="1">
      <x:c r="A303" s="445" t="str">
        <x:v>SWE-016</x:v>
      </x:c>
      <x:c r="B303" s="445" t="str">
        <x:v>Software seguro por diseño</x:v>
      </x:c>
      <x:c r="C303" s="445" t="str">
        <x:v>Ingeniería de software</x:v>
      </x:c>
      <x:c r="D303" s="445" t="str">
        <x:v>Integración profesional</x:v>
      </x:c>
      <x:c r="E303" s="445" t="n">
        <x:v>1</x:v>
      </x:c>
      <x:c r="F303" s="445" t="n">
        <x:v>147</x:v>
      </x:c>
      <x:c r="G303" s="445" t="n">
        <x:v>19</x:v>
      </x:c>
      <x:c r="H303" s="445" t="str">
        <x:v>Massachusetts Institute of Technology (MIT); Stanford University; Carnegie Mellon University; University of California, Berkeley; Harvard University; Princeton University</x:v>
      </x:c>
      <x:c r="I303" s="445" t="str">
        <x:v>Cobertura de la familia temática; consultar la fuente oficial antes de atribuir una asignatura literal.</x:v>
      </x:c>
    </x:row>
    <x:row r="304" ht="42" customHeight="1">
      <x:c r="A304" s="442" t="str">
        <x:v>SWE-017</x:v>
      </x:c>
      <x:c r="B304" s="442" t="str">
        <x:v>Accesibilidad digital</x:v>
      </x:c>
      <x:c r="C304" s="442" t="str">
        <x:v>Ingeniería de software</x:v>
      </x:c>
      <x:c r="D304" s="442" t="str">
        <x:v>Integración profesional</x:v>
      </x:c>
      <x:c r="E304" s="442" t="n">
        <x:v>1</x:v>
      </x:c>
      <x:c r="F304" s="442" t="n">
        <x:v>147</x:v>
      </x:c>
      <x:c r="G304" s="442" t="n">
        <x:v>19</x:v>
      </x:c>
      <x:c r="H304" s="442" t="str">
        <x:v>Massachusetts Institute of Technology (MIT); Stanford University; Carnegie Mellon University; University of California, Berkeley; Harvard University; Princeton University</x:v>
      </x:c>
      <x:c r="I304" s="442" t="str">
        <x:v>Cobertura de la familia temática; consultar la fuente oficial antes de atribuir una asignatura literal.</x:v>
      </x:c>
    </x:row>
    <x:row r="305" ht="42" customHeight="1">
      <x:c r="A305" s="445" t="str">
        <x:v>SWE-018</x:v>
      </x:c>
      <x:c r="B305" s="445" t="str">
        <x:v>Investigación de usuarios y UX</x:v>
      </x:c>
      <x:c r="C305" s="445" t="str">
        <x:v>Ingeniería de software</x:v>
      </x:c>
      <x:c r="D305" s="445" t="str">
        <x:v>Integración profesional</x:v>
      </x:c>
      <x:c r="E305" s="445" t="n">
        <x:v>1</x:v>
      </x:c>
      <x:c r="F305" s="445" t="n">
        <x:v>147</x:v>
      </x:c>
      <x:c r="G305" s="445" t="n">
        <x:v>19</x:v>
      </x:c>
      <x:c r="H305" s="445" t="str">
        <x:v>Massachusetts Institute of Technology (MIT); Stanford University; Carnegie Mellon University; University of California, Berkeley; Harvard University; Princeton University</x:v>
      </x:c>
      <x:c r="I305" s="445" t="str">
        <x:v>Cobertura de la familia temática; consultar la fuente oficial antes de atribuir una asignatura literal.</x:v>
      </x:c>
    </x:row>
    <x:row r="306" ht="42" customHeight="1">
      <x:c r="A306" s="442" t="str">
        <x:v>SWE-019</x:v>
      </x:c>
      <x:c r="B306" s="442" t="str">
        <x:v>Diseño de producto digital</x:v>
      </x:c>
      <x:c r="C306" s="442" t="str">
        <x:v>Ingeniería de software</x:v>
      </x:c>
      <x:c r="D306" s="442" t="str">
        <x:v>Integración profesional</x:v>
      </x:c>
      <x:c r="E306" s="442" t="n">
        <x:v>1</x:v>
      </x:c>
      <x:c r="F306" s="442" t="n">
        <x:v>147</x:v>
      </x:c>
      <x:c r="G306" s="442" t="n">
        <x:v>19</x:v>
      </x:c>
      <x:c r="H306" s="442" t="str">
        <x:v>Massachusetts Institute of Technology (MIT); Stanford University; Carnegie Mellon University; University of California, Berkeley; Harvard University; Princeton University</x:v>
      </x:c>
      <x:c r="I306" s="442" t="str">
        <x:v>Cobertura de la familia temática; consultar la fuente oficial antes de atribuir una asignatura literal.</x:v>
      </x:c>
    </x:row>
    <x:row r="307" ht="42" customHeight="1">
      <x:c r="A307" s="445" t="str">
        <x:v>SWE-020</x:v>
      </x:c>
      <x:c r="B307" s="445" t="str">
        <x:v>Ética y responsabilidad en software</x:v>
      </x:c>
      <x:c r="C307" s="445" t="str">
        <x:v>Ingeniería de software</x:v>
      </x:c>
      <x:c r="D307" s="445" t="str">
        <x:v>Integración profesional</x:v>
      </x:c>
      <x:c r="E307" s="445" t="n">
        <x:v>1</x:v>
      </x:c>
      <x:c r="F307" s="445" t="n">
        <x:v>147</x:v>
      </x:c>
      <x:c r="G307" s="445" t="n">
        <x:v>19</x:v>
      </x:c>
      <x:c r="H307" s="445" t="str">
        <x:v>Massachusetts Institute of Technology (MIT); Stanford University; Carnegie Mellon University; University of California, Berkeley; Harvard University; Princeton University</x:v>
      </x:c>
      <x:c r="I307" s="445" t="str">
        <x:v>Cobertura de la familia temática; consultar la fuente oficial antes de atribuir una asignatura literal.</x:v>
      </x:c>
    </x:row>
    <x:row r="308" ht="42" customHeight="1">
      <x:c r="A308" s="442" t="str">
        <x:v>SWE-028</x:v>
      </x:c>
      <x:c r="B308" s="442" t="str">
        <x:v>Desarrollo móvil iOS</x:v>
      </x:c>
      <x:c r="C308" s="442" t="str">
        <x:v>Ingeniería de software</x:v>
      </x:c>
      <x:c r="D308" s="442" t="str">
        <x:v>Integración profesional</x:v>
      </x:c>
      <x:c r="E308" s="442" t="n">
        <x:v>2</x:v>
      </x:c>
      <x:c r="F308" s="442" t="n">
        <x:v>147</x:v>
      </x:c>
      <x:c r="G308" s="442" t="n">
        <x:v>19</x:v>
      </x:c>
      <x:c r="H308" s="442" t="str">
        <x:v>Massachusetts Institute of Technology (MIT); Stanford University; Carnegie Mellon University; University of California, Berkeley; Harvard University; Princeton University</x:v>
      </x:c>
      <x:c r="I308" s="442" t="str">
        <x:v>Cobertura de la familia temática; consultar la fuente oficial antes de atribuir una asignatura literal.</x:v>
      </x:c>
    </x:row>
    <x:row r="309" ht="42" customHeight="1">
      <x:c r="A309" s="445" t="str">
        <x:v>SWE-029</x:v>
      </x:c>
      <x:c r="B309" s="445" t="str">
        <x:v>Desarrollo móvil multiplataforma</x:v>
      </x:c>
      <x:c r="C309" s="445" t="str">
        <x:v>Ingeniería de software</x:v>
      </x:c>
      <x:c r="D309" s="445" t="str">
        <x:v>Integración profesional</x:v>
      </x:c>
      <x:c r="E309" s="445" t="n">
        <x:v>2</x:v>
      </x:c>
      <x:c r="F309" s="445" t="n">
        <x:v>147</x:v>
      </x:c>
      <x:c r="G309" s="445" t="n">
        <x:v>19</x:v>
      </x:c>
      <x:c r="H309" s="445" t="str">
        <x:v>Massachusetts Institute of Technology (MIT); Stanford University; Carnegie Mellon University; University of California, Berkeley; Harvard University; Princeton University</x:v>
      </x:c>
      <x:c r="I309" s="445" t="str">
        <x:v>Cobertura de la familia temática; consultar la fuente oficial antes de atribuir una asignatura literal.</x:v>
      </x:c>
    </x:row>
    <x:row r="310" ht="42" customHeight="1">
      <x:c r="A310" s="442" t="str">
        <x:v>SWE-030</x:v>
      </x:c>
      <x:c r="B310" s="442" t="str">
        <x:v>Aplicaciones de escritorio</x:v>
      </x:c>
      <x:c r="C310" s="442" t="str">
        <x:v>Ingeniería de software</x:v>
      </x:c>
      <x:c r="D310" s="442" t="str">
        <x:v>Integración profesional</x:v>
      </x:c>
      <x:c r="E310" s="442" t="n">
        <x:v>2</x:v>
      </x:c>
      <x:c r="F310" s="442" t="n">
        <x:v>147</x:v>
      </x:c>
      <x:c r="G310" s="442" t="n">
        <x:v>19</x:v>
      </x:c>
      <x:c r="H310" s="442" t="str">
        <x:v>Massachusetts Institute of Technology (MIT); Stanford University; Carnegie Mellon University; University of California, Berkeley; Harvard University; Princeton University</x:v>
      </x:c>
      <x:c r="I310" s="442" t="str">
        <x:v>Cobertura de la familia temática; consultar la fuente oficial antes de atribuir una asignatura literal.</x:v>
      </x:c>
    </x:row>
    <x:row r="311" ht="42" customHeight="1">
      <x:c r="A311" s="445" t="str">
        <x:v>SWE-031</x:v>
      </x:c>
      <x:c r="B311" s="445" t="str">
        <x:v>Microservicios</x:v>
      </x:c>
      <x:c r="C311" s="445" t="str">
        <x:v>Ingeniería de software</x:v>
      </x:c>
      <x:c r="D311" s="445" t="str">
        <x:v>Integración profesional</x:v>
      </x:c>
      <x:c r="E311" s="445" t="n">
        <x:v>2</x:v>
      </x:c>
      <x:c r="F311" s="445" t="n">
        <x:v>147</x:v>
      </x:c>
      <x:c r="G311" s="445" t="n">
        <x:v>19</x:v>
      </x:c>
      <x:c r="H311" s="445" t="str">
        <x:v>Massachusetts Institute of Technology (MIT); Stanford University; Carnegie Mellon University; University of California, Berkeley; Harvard University; Princeton University</x:v>
      </x:c>
      <x:c r="I311" s="445" t="str">
        <x:v>Cobertura de la familia temática; consultar la fuente oficial antes de atribuir una asignatura literal.</x:v>
      </x:c>
    </x:row>
    <x:row r="312" ht="42" customHeight="1">
      <x:c r="A312" s="442" t="str">
        <x:v>SWE-032</x:v>
      </x:c>
      <x:c r="B312" s="442" t="str">
        <x:v>Integración empresarial y mensajería</x:v>
      </x:c>
      <x:c r="C312" s="442" t="str">
        <x:v>Ingeniería de software</x:v>
      </x:c>
      <x:c r="D312" s="442" t="str">
        <x:v>Integración profesional</x:v>
      </x:c>
      <x:c r="E312" s="442" t="n">
        <x:v>2</x:v>
      </x:c>
      <x:c r="F312" s="442" t="n">
        <x:v>147</x:v>
      </x:c>
      <x:c r="G312" s="442" t="n">
        <x:v>19</x:v>
      </x:c>
      <x:c r="H312" s="442" t="str">
        <x:v>Massachusetts Institute of Technology (MIT); Stanford University; Carnegie Mellon University; University of California, Berkeley; Harvard University; Princeton University</x:v>
      </x:c>
      <x:c r="I312" s="442" t="str">
        <x:v>Cobertura de la familia temática; consultar la fuente oficial antes de atribuir una asignatura literal.</x:v>
      </x:c>
    </x:row>
    <x:row r="313" ht="42" customHeight="1">
      <x:c r="A313" s="445" t="str">
        <x:v>SWE-033</x:v>
      </x:c>
      <x:c r="B313" s="445" t="str">
        <x:v>Desarrollo empresarial con Java</x:v>
      </x:c>
      <x:c r="C313" s="445" t="str">
        <x:v>Ingeniería de software</x:v>
      </x:c>
      <x:c r="D313" s="445" t="str">
        <x:v>Integración profesional</x:v>
      </x:c>
      <x:c r="E313" s="445" t="n">
        <x:v>2</x:v>
      </x:c>
      <x:c r="F313" s="445" t="n">
        <x:v>147</x:v>
      </x:c>
      <x:c r="G313" s="445" t="n">
        <x:v>19</x:v>
      </x:c>
      <x:c r="H313" s="445" t="str">
        <x:v>Massachusetts Institute of Technology (MIT); Stanford University; Carnegie Mellon University; University of California, Berkeley; Harvard University; Princeton University</x:v>
      </x:c>
      <x:c r="I313" s="445" t="str">
        <x:v>Cobertura de la familia temática; consultar la fuente oficial antes de atribuir una asignatura literal.</x:v>
      </x:c>
    </x:row>
    <x:row r="314" ht="42" customHeight="1">
      <x:c r="A314" s="442" t="str">
        <x:v>SWE-034</x:v>
      </x:c>
      <x:c r="B314" s="442" t="str">
        <x:v>Desarrollo empresarial con .NET</x:v>
      </x:c>
      <x:c r="C314" s="442" t="str">
        <x:v>Ingeniería de software</x:v>
      </x:c>
      <x:c r="D314" s="442" t="str">
        <x:v>Integración profesional</x:v>
      </x:c>
      <x:c r="E314" s="442" t="n">
        <x:v>2</x:v>
      </x:c>
      <x:c r="F314" s="442" t="n">
        <x:v>147</x:v>
      </x:c>
      <x:c r="G314" s="442" t="n">
        <x:v>19</x:v>
      </x:c>
      <x:c r="H314" s="442" t="str">
        <x:v>Massachusetts Institute of Technology (MIT); Stanford University; Carnegie Mellon University; University of California, Berkeley; Harvard University; Princeton University</x:v>
      </x:c>
      <x:c r="I314" s="442" t="str">
        <x:v>Cobertura de la familia temática; consultar la fuente oficial antes de atribuir una asignatura literal.</x:v>
      </x:c>
    </x:row>
    <x:row r="315" ht="42" customHeight="1">
      <x:c r="A315" s="445" t="str">
        <x:v>CAP-013</x:v>
      </x:c>
      <x:c r="B315" s="445" t="str">
        <x:v>Capstone I: aplicación full stack</x:v>
      </x:c>
      <x:c r="C315" s="445" t="str">
        <x:v>Investigación, profesión y capstones</x:v>
      </x:c>
      <x:c r="D315" s="445" t="str">
        <x:v>Integración profesional</x:v>
      </x:c>
      <x:c r="E315" s="445" t="n">
        <x:v>1</x:v>
      </x:c>
      <x:c r="F315" s="445" t="n">
        <x:v>150</x:v>
      </x:c>
      <x:c r="G315" s="445" t="n">
        <x:v>20</x:v>
      </x:c>
      <x:c r="H315" s="445" t="str">
        <x:v>Massachusetts Institute of Technology (MIT); Stanford University; Carnegie Mellon University; University of California, Berkeley; Harvard University; Princeton University</x:v>
      </x:c>
      <x:c r="I315" s="445" t="str">
        <x:v>Cobertura de la familia temática; consultar la fuente oficial antes de atribuir una asignatura literal.</x:v>
      </x:c>
    </x:row>
    <x:row r="316" ht="42" customHeight="1">
      <x:c r="A316" s="442" t="str">
        <x:v>CAP-014</x:v>
      </x:c>
      <x:c r="B316" s="442" t="str">
        <x:v>Capstone II: datos y Business Intelligence</x:v>
      </x:c>
      <x:c r="C316" s="442" t="str">
        <x:v>Investigación, profesión y capstones</x:v>
      </x:c>
      <x:c r="D316" s="442" t="str">
        <x:v>Integración profesional</x:v>
      </x:c>
      <x:c r="E316" s="442" t="n">
        <x:v>1</x:v>
      </x:c>
      <x:c r="F316" s="442" t="n">
        <x:v>150</x:v>
      </x:c>
      <x:c r="G316" s="442" t="n">
        <x:v>20</x:v>
      </x:c>
      <x:c r="H316" s="442" t="str">
        <x:v>Massachusetts Institute of Technology (MIT); Stanford University; Carnegie Mellon University; University of California, Berkeley; Harvard University; Princeton University</x:v>
      </x:c>
      <x:c r="I316" s="442" t="str">
        <x:v>Cobertura de la familia temática; consultar la fuente oficial antes de atribuir una asignatura literal.</x:v>
      </x:c>
    </x:row>
    <x:row r="317" ht="42" customHeight="1">
      <x:c r="A317" s="445" t="str">
        <x:v>CST-019</x:v>
      </x:c>
      <x:c r="B317" s="445" t="str">
        <x:v>Go para sistemas y servicios</x:v>
      </x:c>
      <x:c r="C317" s="445" t="str">
        <x:v>Programación y teoría CS</x:v>
      </x:c>
      <x:c r="D317" s="445" t="str">
        <x:v>Integración profesional</x:v>
      </x:c>
      <x:c r="E317" s="445" t="n">
        <x:v>1</x:v>
      </x:c>
      <x:c r="F317" s="445" t="n">
        <x:v>147</x:v>
      </x:c>
      <x:c r="G317" s="445" t="n">
        <x:v>19</x:v>
      </x:c>
      <x:c r="H317" s="445" t="str">
        <x:v>Massachusetts Institute of Technology (MIT); Stanford University; Carnegie Mellon University; University of California, Berkeley; Harvard University; Princeton University</x:v>
      </x:c>
      <x:c r="I317" s="445" t="str">
        <x:v>Cobertura de la familia temática; consultar la fuente oficial antes de atribuir una asignatura literal.</x:v>
      </x:c>
    </x:row>
    <x:row r="318" ht="42" customHeight="1">
      <x:c r="A318" s="442" t="str">
        <x:v>CST-020</x:v>
      </x:c>
      <x:c r="B318" s="442" t="str">
        <x:v>Rust para software seguro</x:v>
      </x:c>
      <x:c r="C318" s="442" t="str">
        <x:v>Programación y teoría CS</x:v>
      </x:c>
      <x:c r="D318" s="442" t="str">
        <x:v>Integración profesional</x:v>
      </x:c>
      <x:c r="E318" s="442" t="n">
        <x:v>1</x:v>
      </x:c>
      <x:c r="F318" s="442" t="n">
        <x:v>147</x:v>
      </x:c>
      <x:c r="G318" s="442" t="n">
        <x:v>19</x:v>
      </x:c>
      <x:c r="H318" s="442" t="str">
        <x:v>Massachusetts Institute of Technology (MIT); Stanford University; Carnegie Mellon University; University of California, Berkeley; Harvard University; Princeton University</x:v>
      </x:c>
      <x:c r="I318" s="442" t="str">
        <x:v>Cobertura de la familia temática; consultar la fuente oficial antes de atribuir una asignatura literal.</x:v>
      </x:c>
    </x:row>
    <x:row r="319" ht="42" customHeight="1">
      <x:c r="A319" s="445" t="str">
        <x:v>CST-021</x:v>
      </x:c>
      <x:c r="B319" s="445" t="str">
        <x:v>Programación científica con Python</x:v>
      </x:c>
      <x:c r="C319" s="445" t="str">
        <x:v>Programación y teoría CS</x:v>
      </x:c>
      <x:c r="D319" s="445" t="str">
        <x:v>Integración profesional</x:v>
      </x:c>
      <x:c r="E319" s="445" t="n">
        <x:v>1</x:v>
      </x:c>
      <x:c r="F319" s="445" t="n">
        <x:v>147</x:v>
      </x:c>
      <x:c r="G319" s="445" t="n">
        <x:v>19</x:v>
      </x:c>
      <x:c r="H319" s="445" t="str">
        <x:v>Massachusetts Institute of Technology (MIT); Stanford University; Carnegie Mellon University; University of California, Berkeley; Harvard University; Princeton University</x:v>
      </x:c>
      <x:c r="I319" s="445" t="str">
        <x:v>Cobertura de la familia temática; consultar la fuente oficial antes de atribuir una asignatura literal.</x:v>
      </x:c>
    </x:row>
    <x:row r="320" ht="42" customHeight="1">
      <x:c r="A320" s="442" t="str">
        <x:v>CST-022</x:v>
      </x:c>
      <x:c r="B320" s="442" t="str">
        <x:v>Programación numérica con MATLAB/Octave</x:v>
      </x:c>
      <x:c r="C320" s="442" t="str">
        <x:v>Programación y teoría CS</x:v>
      </x:c>
      <x:c r="D320" s="442" t="str">
        <x:v>Integración profesional</x:v>
      </x:c>
      <x:c r="E320" s="442" t="n">
        <x:v>1</x:v>
      </x:c>
      <x:c r="F320" s="442" t="n">
        <x:v>147</x:v>
      </x:c>
      <x:c r="G320" s="442" t="n">
        <x:v>19</x:v>
      </x:c>
      <x:c r="H320" s="442" t="str">
        <x:v>Massachusetts Institute of Technology (MIT); Stanford University; Carnegie Mellon University; University of California, Berkeley; Harvard University; Princeton University</x:v>
      </x:c>
      <x:c r="I320" s="442" t="str">
        <x:v>Cobertura de la familia temática; consultar la fuente oficial antes de atribuir una asignatura literal.</x:v>
      </x:c>
    </x:row>
    <x:row r="321" ht="42" customHeight="1">
      <x:c r="A321" s="445" t="str">
        <x:v>CST-033</x:v>
      </x:c>
      <x:c r="B321" s="445" t="str">
        <x:v>Criptografía matemática introductoria</x:v>
      </x:c>
      <x:c r="C321" s="445" t="str">
        <x:v>Programación y teoría CS</x:v>
      </x:c>
      <x:c r="D321" s="445" t="str">
        <x:v>Integración profesional</x:v>
      </x:c>
      <x:c r="E321" s="445" t="n">
        <x:v>1</x:v>
      </x:c>
      <x:c r="F321" s="445" t="n">
        <x:v>147</x:v>
      </x:c>
      <x:c r="G321" s="445" t="n">
        <x:v>19</x:v>
      </x:c>
      <x:c r="H321" s="445" t="str">
        <x:v>Massachusetts Institute of Technology (MIT); Stanford University; Carnegie Mellon University; University of California, Berkeley; Harvard University; Princeton University</x:v>
      </x:c>
      <x:c r="I321" s="445" t="str">
        <x:v>Cobertura de la familia temática; consultar la fuente oficial antes de atribuir una asignatura literal.</x:v>
      </x:c>
    </x:row>
    <x:row r="322" ht="42" customHeight="1">
      <x:c r="A322" s="442" t="str">
        <x:v>NET-013</x:v>
      </x:c>
      <x:c r="B322" s="442" t="str">
        <x:v>Comunicaciones digitales</x:v>
      </x:c>
      <x:c r="C322" s="442" t="str">
        <x:v>Redes, telecom y cloud</x:v>
      </x:c>
      <x:c r="D322" s="442" t="str">
        <x:v>Integración profesional</x:v>
      </x:c>
      <x:c r="E322" s="442" t="n">
        <x:v>1</x:v>
      </x:c>
      <x:c r="F322" s="442" t="n">
        <x:v>140</x:v>
      </x:c>
      <x:c r="G322" s="442" t="n">
        <x:v>19</x:v>
      </x:c>
      <x:c r="H322" s="442" t="str">
        <x:v>Massachusetts Institute of Technology (MIT); Stanford University; Carnegie Mellon University; University of California, Berkeley; Princeton University; Cornell University</x:v>
      </x:c>
      <x:c r="I322" s="442" t="str">
        <x:v>Cobertura de la familia temática; consultar la fuente oficial antes de atribuir una asignatura literal.</x:v>
      </x:c>
    </x:row>
    <x:row r="323" ht="42" customHeight="1">
      <x:c r="A323" s="445" t="str">
        <x:v>NET-014</x:v>
      </x:c>
      <x:c r="B323" s="445" t="str">
        <x:v>Radiofrecuencia y antenas</x:v>
      </x:c>
      <x:c r="C323" s="445" t="str">
        <x:v>Redes, telecom y cloud</x:v>
      </x:c>
      <x:c r="D323" s="445" t="str">
        <x:v>Integración profesional</x:v>
      </x:c>
      <x:c r="E323" s="445" t="n">
        <x:v>1</x:v>
      </x:c>
      <x:c r="F323" s="445" t="n">
        <x:v>140</x:v>
      </x:c>
      <x:c r="G323" s="445" t="n">
        <x:v>19</x:v>
      </x:c>
      <x:c r="H323" s="445" t="str">
        <x:v>Massachusetts Institute of Technology (MIT); Stanford University; Carnegie Mellon University; University of California, Berkeley; Princeton University; Cornell University</x:v>
      </x:c>
      <x:c r="I323" s="445" t="str">
        <x:v>Cobertura de la familia temática; consultar la fuente oficial antes de atribuir una asignatura literal.</x:v>
      </x:c>
    </x:row>
    <x:row r="324" ht="42" customHeight="1">
      <x:c r="A324" s="442" t="str">
        <x:v>NET-015</x:v>
      </x:c>
      <x:c r="B324" s="442" t="str">
        <x:v>Fibra óptica</x:v>
      </x:c>
      <x:c r="C324" s="442" t="str">
        <x:v>Redes, telecom y cloud</x:v>
      </x:c>
      <x:c r="D324" s="442" t="str">
        <x:v>Integración profesional</x:v>
      </x:c>
      <x:c r="E324" s="442" t="n">
        <x:v>1</x:v>
      </x:c>
      <x:c r="F324" s="442" t="n">
        <x:v>140</x:v>
      </x:c>
      <x:c r="G324" s="442" t="n">
        <x:v>19</x:v>
      </x:c>
      <x:c r="H324" s="442" t="str">
        <x:v>Massachusetts Institute of Technology (MIT); Stanford University; Carnegie Mellon University; University of California, Berkeley; Princeton University; Cornell University</x:v>
      </x:c>
      <x:c r="I324" s="442" t="str">
        <x:v>Cobertura de la familia temática; consultar la fuente oficial antes de atribuir una asignatura literal.</x:v>
      </x:c>
    </x:row>
    <x:row r="325" ht="42" customHeight="1">
      <x:c r="A325" s="445" t="str">
        <x:v>NET-016</x:v>
      </x:c>
      <x:c r="B325" s="445" t="str">
        <x:v>Redes móviles 4G/5G y evolución</x:v>
      </x:c>
      <x:c r="C325" s="445" t="str">
        <x:v>Redes, telecom y cloud</x:v>
      </x:c>
      <x:c r="D325" s="445" t="str">
        <x:v>Integración profesional</x:v>
      </x:c>
      <x:c r="E325" s="445" t="n">
        <x:v>1</x:v>
      </x:c>
      <x:c r="F325" s="445" t="n">
        <x:v>140</x:v>
      </x:c>
      <x:c r="G325" s="445" t="n">
        <x:v>19</x:v>
      </x:c>
      <x:c r="H325" s="445" t="str">
        <x:v>Massachusetts Institute of Technology (MIT); Stanford University; Carnegie Mellon University; University of California, Berkeley; Princeton University; Cornell University</x:v>
      </x:c>
      <x:c r="I325" s="445" t="str">
        <x:v>Cobertura de la familia temática; consultar la fuente oficial antes de atribuir una asignatura literal.</x:v>
      </x:c>
    </x:row>
    <x:row r="326" ht="42" customHeight="1">
      <x:c r="A326" s="442" t="str">
        <x:v>NET-017</x:v>
      </x:c>
      <x:c r="B326" s="442" t="str">
        <x:v>VoIP y comunicaciones unificadas</x:v>
      </x:c>
      <x:c r="C326" s="442" t="str">
        <x:v>Redes, telecom y cloud</x:v>
      </x:c>
      <x:c r="D326" s="442" t="str">
        <x:v>Integración profesional</x:v>
      </x:c>
      <x:c r="E326" s="442" t="n">
        <x:v>1</x:v>
      </x:c>
      <x:c r="F326" s="442" t="n">
        <x:v>140</x:v>
      </x:c>
      <x:c r="G326" s="442" t="n">
        <x:v>19</x:v>
      </x:c>
      <x:c r="H326" s="442" t="str">
        <x:v>Massachusetts Institute of Technology (MIT); Stanford University; Carnegie Mellon University; University of California, Berkeley; Princeton University; Cornell University</x:v>
      </x:c>
      <x:c r="I326" s="442" t="str">
        <x:v>Cobertura de la familia temática; consultar la fuente oficial antes de atribuir una asignatura literal.</x:v>
      </x:c>
    </x:row>
    <x:row r="327" ht="42" customHeight="1">
      <x:c r="A327" s="445" t="str">
        <x:v>NET-018</x:v>
      </x:c>
      <x:c r="B327" s="445" t="str">
        <x:v>Redes satelitales</x:v>
      </x:c>
      <x:c r="C327" s="445" t="str">
        <x:v>Redes, telecom y cloud</x:v>
      </x:c>
      <x:c r="D327" s="445" t="str">
        <x:v>Integración profesional</x:v>
      </x:c>
      <x:c r="E327" s="445" t="n">
        <x:v>1</x:v>
      </x:c>
      <x:c r="F327" s="445" t="n">
        <x:v>140</x:v>
      </x:c>
      <x:c r="G327" s="445" t="n">
        <x:v>19</x:v>
      </x:c>
      <x:c r="H327" s="445" t="str">
        <x:v>Massachusetts Institute of Technology (MIT); Stanford University; Carnegie Mellon University; University of California, Berkeley; Princeton University; Cornell University</x:v>
      </x:c>
      <x:c r="I327" s="445" t="str">
        <x:v>Cobertura de la familia temática; consultar la fuente oficial antes de atribuir una asignatura literal.</x:v>
      </x:c>
    </x:row>
    <x:row r="328" ht="42" customHeight="1">
      <x:c r="A328" s="442" t="str">
        <x:v>NET-027</x:v>
      </x:c>
      <x:c r="B328" s="442" t="str">
        <x:v>Fundamentos de cloud computing</x:v>
      </x:c>
      <x:c r="C328" s="442" t="str">
        <x:v>Redes, telecom y cloud</x:v>
      </x:c>
      <x:c r="D328" s="442" t="str">
        <x:v>Integración profesional</x:v>
      </x:c>
      <x:c r="E328" s="442" t="n">
        <x:v>2</x:v>
      </x:c>
      <x:c r="F328" s="442" t="n">
        <x:v>140</x:v>
      </x:c>
      <x:c r="G328" s="442" t="n">
        <x:v>19</x:v>
      </x:c>
      <x:c r="H328" s="442" t="str">
        <x:v>Massachusetts Institute of Technology (MIT); Stanford University; Carnegie Mellon University; University of California, Berkeley; Princeton University; Cornell University</x:v>
      </x:c>
      <x:c r="I328" s="442" t="str">
        <x:v>Cobertura de la familia temática; consultar la fuente oficial antes de atribuir una asignatura literal.</x:v>
      </x:c>
    </x:row>
    <x:row r="329" ht="42" customHeight="1">
      <x:c r="A329" s="445" t="str">
        <x:v>NET-028</x:v>
      </x:c>
      <x:c r="B329" s="445" t="str">
        <x:v>Arquitectura en AWS</x:v>
      </x:c>
      <x:c r="C329" s="445" t="str">
        <x:v>Redes, telecom y cloud</x:v>
      </x:c>
      <x:c r="D329" s="445" t="str">
        <x:v>Integración profesional</x:v>
      </x:c>
      <x:c r="E329" s="445" t="n">
        <x:v>2</x:v>
      </x:c>
      <x:c r="F329" s="445" t="n">
        <x:v>140</x:v>
      </x:c>
      <x:c r="G329" s="445" t="n">
        <x:v>19</x:v>
      </x:c>
      <x:c r="H329" s="445" t="str">
        <x:v>Massachusetts Institute of Technology (MIT); Stanford University; Carnegie Mellon University; University of California, Berkeley; Princeton University; Cornell University</x:v>
      </x:c>
      <x:c r="I329" s="445" t="str">
        <x:v>Cobertura de la familia temática; consultar la fuente oficial antes de atribuir una asignatura literal.</x:v>
      </x:c>
    </x:row>
    <x:row r="330" ht="42" customHeight="1">
      <x:c r="A330" s="442" t="str">
        <x:v>NET-029</x:v>
      </x:c>
      <x:c r="B330" s="442" t="str">
        <x:v>Administración de Microsoft Azure</x:v>
      </x:c>
      <x:c r="C330" s="442" t="str">
        <x:v>Redes, telecom y cloud</x:v>
      </x:c>
      <x:c r="D330" s="442" t="str">
        <x:v>Integración profesional</x:v>
      </x:c>
      <x:c r="E330" s="442" t="n">
        <x:v>2</x:v>
      </x:c>
      <x:c r="F330" s="442" t="n">
        <x:v>140</x:v>
      </x:c>
      <x:c r="G330" s="442" t="n">
        <x:v>19</x:v>
      </x:c>
      <x:c r="H330" s="442" t="str">
        <x:v>Massachusetts Institute of Technology (MIT); Stanford University; Carnegie Mellon University; University of California, Berkeley; Princeton University; Cornell University</x:v>
      </x:c>
      <x:c r="I330" s="442" t="str">
        <x:v>Cobertura de la familia temática; consultar la fuente oficial antes de atribuir una asignatura literal.</x:v>
      </x:c>
    </x:row>
    <x:row r="331" ht="42" customHeight="1">
      <x:c r="A331" s="445" t="str">
        <x:v>NET-030</x:v>
      </x:c>
      <x:c r="B331" s="445" t="str">
        <x:v>Arquitectura en Google Cloud</x:v>
      </x:c>
      <x:c r="C331" s="445" t="str">
        <x:v>Redes, telecom y cloud</x:v>
      </x:c>
      <x:c r="D331" s="445" t="str">
        <x:v>Integración profesional</x:v>
      </x:c>
      <x:c r="E331" s="445" t="n">
        <x:v>2</x:v>
      </x:c>
      <x:c r="F331" s="445" t="n">
        <x:v>140</x:v>
      </x:c>
      <x:c r="G331" s="445" t="n">
        <x:v>19</x:v>
      </x:c>
      <x:c r="H331" s="445" t="str">
        <x:v>Massachusetts Institute of Technology (MIT); Stanford University; Carnegie Mellon University; University of California, Berkeley; Princeton University; Cornell University</x:v>
      </x:c>
      <x:c r="I331" s="445" t="str">
        <x:v>Cobertura de la familia temática; consultar la fuente oficial antes de atribuir una asignatura literal.</x:v>
      </x:c>
    </x:row>
    <x:row r="332" ht="42" customHeight="1">
      <x:c r="A332" s="442" t="str">
        <x:v>NET-031</x:v>
      </x:c>
      <x:c r="B332" s="442" t="str">
        <x:v>Infraestructura como código con Terraform</x:v>
      </x:c>
      <x:c r="C332" s="442" t="str">
        <x:v>Redes, telecom y cloud</x:v>
      </x:c>
      <x:c r="D332" s="442" t="str">
        <x:v>Integración profesional</x:v>
      </x:c>
      <x:c r="E332" s="442" t="n">
        <x:v>2</x:v>
      </x:c>
      <x:c r="F332" s="442" t="n">
        <x:v>140</x:v>
      </x:c>
      <x:c r="G332" s="442" t="n">
        <x:v>19</x:v>
      </x:c>
      <x:c r="H332" s="442" t="str">
        <x:v>Massachusetts Institute of Technology (MIT); Stanford University; Carnegie Mellon University; University of California, Berkeley; Princeton University; Cornell University</x:v>
      </x:c>
      <x:c r="I332" s="442" t="str">
        <x:v>Cobertura de la familia temática; consultar la fuente oficial antes de atribuir una asignatura literal.</x:v>
      </x:c>
    </x:row>
    <x:row r="333" ht="42" customHeight="1">
      <x:c r="A333" s="445" t="str">
        <x:v>NET-032</x:v>
      </x:c>
      <x:c r="B333" s="445" t="str">
        <x:v>Docker y construcción de contenedores</x:v>
      </x:c>
      <x:c r="C333" s="445" t="str">
        <x:v>Redes, telecom y cloud</x:v>
      </x:c>
      <x:c r="D333" s="445" t="str">
        <x:v>Integración profesional</x:v>
      </x:c>
      <x:c r="E333" s="445" t="n">
        <x:v>2</x:v>
      </x:c>
      <x:c r="F333" s="445" t="n">
        <x:v>140</x:v>
      </x:c>
      <x:c r="G333" s="445" t="n">
        <x:v>19</x:v>
      </x:c>
      <x:c r="H333" s="445" t="str">
        <x:v>Massachusetts Institute of Technology (MIT); Stanford University; Carnegie Mellon University; University of California, Berkeley; Princeton University; Cornell University</x:v>
      </x:c>
      <x:c r="I333" s="445" t="str">
        <x:v>Cobertura de la familia temática; consultar la fuente oficial antes de atribuir una asignatura literal.</x:v>
      </x:c>
    </x:row>
    <x:row r="334" ht="42" customHeight="1">
      <x:c r="A334" s="442" t="str">
        <x:v>NET-033</x:v>
      </x:c>
      <x:c r="B334" s="442" t="str">
        <x:v>Administración de Kubernetes</x:v>
      </x:c>
      <x:c r="C334" s="442" t="str">
        <x:v>Redes, telecom y cloud</x:v>
      </x:c>
      <x:c r="D334" s="442" t="str">
        <x:v>Integración profesional</x:v>
      </x:c>
      <x:c r="E334" s="442" t="n">
        <x:v>2</x:v>
      </x:c>
      <x:c r="F334" s="442" t="n">
        <x:v>140</x:v>
      </x:c>
      <x:c r="G334" s="442" t="n">
        <x:v>19</x:v>
      </x:c>
      <x:c r="H334" s="442" t="str">
        <x:v>Massachusetts Institute of Technology (MIT); Stanford University; Carnegie Mellon University; University of California, Berkeley; Princeton University; Cornell University</x:v>
      </x:c>
      <x:c r="I334" s="442" t="str">
        <x:v>Cobertura de la familia temática; consultar la fuente oficial antes de atribuir una asignatura literal.</x:v>
      </x:c>
    </x:row>
    <x:row r="335" ht="42" customHeight="1">
      <x:c r="A335" s="445" t="str">
        <x:v>ROB-007</x:v>
      </x:c>
      <x:c r="B335" s="445" t="str">
        <x:v>Modelado y simulación mecatrónica</x:v>
      </x:c>
      <x:c r="C335" s="445" t="str">
        <x:v>Robótica y mecatrónica</x:v>
      </x:c>
      <x:c r="D335" s="445" t="str">
        <x:v>Integración profesional</x:v>
      </x:c>
      <x:c r="E335" s="445" t="n">
        <x:v>2</x:v>
      </x:c>
      <x:c r="F335" s="445" t="n">
        <x:v>132</x:v>
      </x:c>
      <x:c r="G335" s="445" t="n">
        <x:v>18</x:v>
      </x:c>
      <x:c r="H335" s="445" t="str">
        <x:v>Massachusetts Institute of Technology (MIT); Stanford University; Carnegie Mellon University; University of California, Berkeley; Harvard University; Princeton University</x:v>
      </x:c>
      <x:c r="I335" s="445" t="str">
        <x:v>Cobertura de la familia temática; consultar la fuente oficial antes de atribuir una asignatura literal.</x:v>
      </x:c>
    </x:row>
    <x:row r="336" ht="42" customHeight="1">
      <x:c r="A336" s="442" t="str">
        <x:v>ROB-008</x:v>
      </x:c>
      <x:c r="B336" s="442" t="str">
        <x:v>Neumática e hidráulica</x:v>
      </x:c>
      <x:c r="C336" s="442" t="str">
        <x:v>Robótica y mecatrónica</x:v>
      </x:c>
      <x:c r="D336" s="442" t="str">
        <x:v>Integración profesional</x:v>
      </x:c>
      <x:c r="E336" s="442" t="n">
        <x:v>2</x:v>
      </x:c>
      <x:c r="F336" s="442" t="n">
        <x:v>132</x:v>
      </x:c>
      <x:c r="G336" s="442" t="n">
        <x:v>18</x:v>
      </x:c>
      <x:c r="H336" s="442" t="str">
        <x:v>Massachusetts Institute of Technology (MIT); Stanford University; Carnegie Mellon University; University of California, Berkeley; Harvard University; Princeton University</x:v>
      </x:c>
      <x:c r="I336" s="442" t="str">
        <x:v>Cobertura de la familia temática; consultar la fuente oficial antes de atribuir una asignatura literal.</x:v>
      </x:c>
    </x:row>
    <x:row r="337" ht="42" customHeight="1">
      <x:c r="A337" s="445" t="str">
        <x:v>ROB-009</x:v>
      </x:c>
      <x:c r="B337" s="445" t="str">
        <x:v>PLC y automatización industrial</x:v>
      </x:c>
      <x:c r="C337" s="445" t="str">
        <x:v>Robótica y mecatrónica</x:v>
      </x:c>
      <x:c r="D337" s="445" t="str">
        <x:v>Integración profesional</x:v>
      </x:c>
      <x:c r="E337" s="445" t="n">
        <x:v>2</x:v>
      </x:c>
      <x:c r="F337" s="445" t="n">
        <x:v>132</x:v>
      </x:c>
      <x:c r="G337" s="445" t="n">
        <x:v>18</x:v>
      </x:c>
      <x:c r="H337" s="445" t="str">
        <x:v>Massachusetts Institute of Technology (MIT); Stanford University; Carnegie Mellon University; University of California, Berkeley; Harvard University; Princeton University</x:v>
      </x:c>
      <x:c r="I337" s="445" t="str">
        <x:v>Cobertura de la familia temática; consultar la fuente oficial antes de atribuir una asignatura literal.</x:v>
      </x:c>
    </x:row>
    <x:row r="338" ht="42" customHeight="1">
      <x:c r="A338" s="442" t="str">
        <x:v>ROB-010</x:v>
      </x:c>
      <x:c r="B338" s="442" t="str">
        <x:v>SCADA y sistemas de supervisión</x:v>
      </x:c>
      <x:c r="C338" s="442" t="str">
        <x:v>Robótica y mecatrónica</x:v>
      </x:c>
      <x:c r="D338" s="442" t="str">
        <x:v>Integración profesional</x:v>
      </x:c>
      <x:c r="E338" s="442" t="n">
        <x:v>2</x:v>
      </x:c>
      <x:c r="F338" s="442" t="n">
        <x:v>132</x:v>
      </x:c>
      <x:c r="G338" s="442" t="n">
        <x:v>18</x:v>
      </x:c>
      <x:c r="H338" s="442" t="str">
        <x:v>Massachusetts Institute of Technology (MIT); Stanford University; Carnegie Mellon University; University of California, Berkeley; Harvard University; Princeton University</x:v>
      </x:c>
      <x:c r="I338" s="442" t="str">
        <x:v>Cobertura de la familia temática; consultar la fuente oficial antes de atribuir una asignatura literal.</x:v>
      </x:c>
    </x:row>
    <x:row r="339" ht="42" customHeight="1">
      <x:c r="A339" s="445" t="str">
        <x:v>ROB-011</x:v>
      </x:c>
      <x:c r="B339" s="445" t="str">
        <x:v>Integración de sistemas mecatrónicos</x:v>
      </x:c>
      <x:c r="C339" s="445" t="str">
        <x:v>Robótica y mecatrónica</x:v>
      </x:c>
      <x:c r="D339" s="445" t="str">
        <x:v>Integración profesional</x:v>
      </x:c>
      <x:c r="E339" s="445" t="n">
        <x:v>2</x:v>
      </x:c>
      <x:c r="F339" s="445" t="n">
        <x:v>132</x:v>
      </x:c>
      <x:c r="G339" s="445" t="n">
        <x:v>18</x:v>
      </x:c>
      <x:c r="H339" s="445" t="str">
        <x:v>Massachusetts Institute of Technology (MIT); Stanford University; Carnegie Mellon University; University of California, Berkeley; Harvard University; Princeton University</x:v>
      </x:c>
      <x:c r="I339" s="445" t="str">
        <x:v>Cobertura de la familia temática; consultar la fuente oficial antes de atribuir una asignatura literal.</x:v>
      </x:c>
    </x:row>
    <x:row r="340" ht="42" customHeight="1">
      <x:c r="A340" s="442" t="str">
        <x:v>ROB-012</x:v>
      </x:c>
      <x:c r="B340" s="442" t="str">
        <x:v>Mantenimiento industrial y predictivo</x:v>
      </x:c>
      <x:c r="C340" s="442" t="str">
        <x:v>Robótica y mecatrónica</x:v>
      </x:c>
      <x:c r="D340" s="442" t="str">
        <x:v>Integración profesional</x:v>
      </x:c>
      <x:c r="E340" s="442" t="n">
        <x:v>2</x:v>
      </x:c>
      <x:c r="F340" s="442" t="n">
        <x:v>132</x:v>
      </x:c>
      <x:c r="G340" s="442" t="n">
        <x:v>18</x:v>
      </x:c>
      <x:c r="H340" s="442" t="str">
        <x:v>Massachusetts Institute of Technology (MIT); Stanford University; Carnegie Mellon University; University of California, Berkeley; Harvard University; Princeton University</x:v>
      </x:c>
      <x:c r="I340" s="442" t="str">
        <x:v>Cobertura de la familia temática; consultar la fuente oficial antes de atribuir una asignatura literal.</x:v>
      </x:c>
    </x:row>
    <x:row r="341" ht="42" customHeight="1">
      <x:c r="A341" s="445" t="str">
        <x:v>ROB-013</x:v>
      </x:c>
      <x:c r="B341" s="445" t="str">
        <x:v>Fundamentos de robótica</x:v>
      </x:c>
      <x:c r="C341" s="445" t="str">
        <x:v>Robótica y mecatrónica</x:v>
      </x:c>
      <x:c r="D341" s="445" t="str">
        <x:v>Integración profesional</x:v>
      </x:c>
      <x:c r="E341" s="445" t="n">
        <x:v>2</x:v>
      </x:c>
      <x:c r="F341" s="445" t="n">
        <x:v>132</x:v>
      </x:c>
      <x:c r="G341" s="445" t="n">
        <x:v>18</x:v>
      </x:c>
      <x:c r="H341" s="445" t="str">
        <x:v>Massachusetts Institute of Technology (MIT); Stanford University; Carnegie Mellon University; University of California, Berkeley; Harvard University; Princeton University</x:v>
      </x:c>
      <x:c r="I341" s="445" t="str">
        <x:v>Cobertura de la familia temática; consultar la fuente oficial antes de atribuir una asignatura literal.</x:v>
      </x:c>
    </x:row>
    <x:row r="342" ht="42" customHeight="1">
      <x:c r="A342" s="442" t="str">
        <x:v>ROB-014</x:v>
      </x:c>
      <x:c r="B342" s="442" t="str">
        <x:v>Cinemática de robots</x:v>
      </x:c>
      <x:c r="C342" s="442" t="str">
        <x:v>Robótica y mecatrónica</x:v>
      </x:c>
      <x:c r="D342" s="442" t="str">
        <x:v>Integración profesional</x:v>
      </x:c>
      <x:c r="E342" s="442" t="n">
        <x:v>2</x:v>
      </x:c>
      <x:c r="F342" s="442" t="n">
        <x:v>132</x:v>
      </x:c>
      <x:c r="G342" s="442" t="n">
        <x:v>18</x:v>
      </x:c>
      <x:c r="H342" s="442" t="str">
        <x:v>Massachusetts Institute of Technology (MIT); Stanford University; Carnegie Mellon University; University of California, Berkeley; Harvard University; Princeton University</x:v>
      </x:c>
      <x:c r="I342" s="442" t="str">
        <x:v>Cobertura de la familia temática; consultar la fuente oficial antes de atribuir una asignatura literal.</x:v>
      </x:c>
    </x:row>
    <x:row r="343" ht="42" customHeight="1">
      <x:c r="A343" s="445" t="str">
        <x:v>ROB-015</x:v>
      </x:c>
      <x:c r="B343" s="445" t="str">
        <x:v>Dinámica de robots</x:v>
      </x:c>
      <x:c r="C343" s="445" t="str">
        <x:v>Robótica y mecatrónica</x:v>
      </x:c>
      <x:c r="D343" s="445" t="str">
        <x:v>Integración profesional</x:v>
      </x:c>
      <x:c r="E343" s="445" t="n">
        <x:v>2</x:v>
      </x:c>
      <x:c r="F343" s="445" t="n">
        <x:v>132</x:v>
      </x:c>
      <x:c r="G343" s="445" t="n">
        <x:v>18</x:v>
      </x:c>
      <x:c r="H343" s="445" t="str">
        <x:v>Massachusetts Institute of Technology (MIT); Stanford University; Carnegie Mellon University; University of California, Berkeley; Harvard University; Princeton University</x:v>
      </x:c>
      <x:c r="I343" s="445" t="str">
        <x:v>Cobertura de la familia temática; consultar la fuente oficial antes de atribuir una asignatura literal.</x:v>
      </x:c>
    </x:row>
    <x:row r="344" ht="42" customHeight="1">
      <x:c r="A344" s="442" t="str">
        <x:v>ROB-016</x:v>
      </x:c>
      <x:c r="B344" s="442" t="str">
        <x:v>Percepción robótica y fusión de sensores</x:v>
      </x:c>
      <x:c r="C344" s="442" t="str">
        <x:v>Robótica y mecatrónica</x:v>
      </x:c>
      <x:c r="D344" s="442" t="str">
        <x:v>Integración profesional</x:v>
      </x:c>
      <x:c r="E344" s="442" t="n">
        <x:v>2</x:v>
      </x:c>
      <x:c r="F344" s="442" t="n">
        <x:v>132</x:v>
      </x:c>
      <x:c r="G344" s="442" t="n">
        <x:v>18</x:v>
      </x:c>
      <x:c r="H344" s="442" t="str">
        <x:v>Massachusetts Institute of Technology (MIT); Stanford University; Carnegie Mellon University; University of California, Berkeley; Harvard University; Princeton University</x:v>
      </x:c>
      <x:c r="I344" s="442" t="str">
        <x:v>Cobertura de la familia temática; consultar la fuente oficial antes de atribuir una asignatura literal.</x:v>
      </x:c>
    </x:row>
    <x:row r="345" ht="42" customHeight="1">
      <x:c r="A345" s="445" t="str">
        <x:v>ROB-017</x:v>
      </x:c>
      <x:c r="B345" s="445" t="str">
        <x:v>Visión para robótica</x:v>
      </x:c>
      <x:c r="C345" s="445" t="str">
        <x:v>Robótica y mecatrónica</x:v>
      </x:c>
      <x:c r="D345" s="445" t="str">
        <x:v>Integración profesional</x:v>
      </x:c>
      <x:c r="E345" s="445" t="n">
        <x:v>2</x:v>
      </x:c>
      <x:c r="F345" s="445" t="n">
        <x:v>132</x:v>
      </x:c>
      <x:c r="G345" s="445" t="n">
        <x:v>18</x:v>
      </x:c>
      <x:c r="H345" s="445" t="str">
        <x:v>Massachusetts Institute of Technology (MIT); Stanford University; Carnegie Mellon University; University of California, Berkeley; Harvard University; Princeton University</x:v>
      </x:c>
      <x:c r="I345" s="445" t="str">
        <x:v>Cobertura de la familia temática; consultar la fuente oficial antes de atribuir una asignatura literal.</x:v>
      </x:c>
    </x:row>
    <x:row r="346" ht="42" customHeight="1">
      <x:c r="A346" s="442" t="str">
        <x:v>ROB-018</x:v>
      </x:c>
      <x:c r="B346" s="442" t="str">
        <x:v>Planificación de movimiento</x:v>
      </x:c>
      <x:c r="C346" s="442" t="str">
        <x:v>Robótica y mecatrónica</x:v>
      </x:c>
      <x:c r="D346" s="442" t="str">
        <x:v>Integración profesional</x:v>
      </x:c>
      <x:c r="E346" s="442" t="n">
        <x:v>2</x:v>
      </x:c>
      <x:c r="F346" s="442" t="n">
        <x:v>132</x:v>
      </x:c>
      <x:c r="G346" s="442" t="n">
        <x:v>18</x:v>
      </x:c>
      <x:c r="H346" s="442" t="str">
        <x:v>Massachusetts Institute of Technology (MIT); Stanford University; Carnegie Mellon University; University of California, Berkeley; Harvard University; Princeton University</x:v>
      </x:c>
      <x:c r="I346" s="442" t="str">
        <x:v>Cobertura de la familia temática; consultar la fuente oficial antes de atribuir una asignatura literal.</x:v>
      </x:c>
    </x:row>
    <x:row r="347" ht="42" customHeight="1">
      <x:c r="A347" s="445" t="str">
        <x:v>ISM-015</x:v>
      </x:c>
      <x:c r="B347" s="445" t="str">
        <x:v>CMDB y gestión de activos TI</x:v>
      </x:c>
      <x:c r="C347" s="445" t="str">
        <x:v>Sistemas de información y gestión TI</x:v>
      </x:c>
      <x:c r="D347" s="445" t="str">
        <x:v>Integración profesional</x:v>
      </x:c>
      <x:c r="E347" s="445" t="n">
        <x:v>2</x:v>
      </x:c>
      <x:c r="F347" s="445" t="n">
        <x:v>54</x:v>
      </x:c>
      <x:c r="G347" s="445" t="n">
        <x:v>7</x:v>
      </x:c>
      <x:c r="H347" s="445" t="str">
        <x:v>Carnegie Mellon University; Cornell University; University of Illinois Urbana-Champaign; Georgia Institute of Technology; University of Washington; New York University</x:v>
      </x:c>
      <x:c r="I347" s="445" t="str">
        <x:v>Cobertura de la familia temática; consultar la fuente oficial antes de atribuir una asignatura literal.</x:v>
      </x:c>
    </x:row>
    <x:row r="348" ht="42" customHeight="1">
      <x:c r="A348" s="442" t="str">
        <x:v>ISM-016</x:v>
      </x:c>
      <x:c r="B348" s="442" t="str">
        <x:v>Gestión de cambios y configuración</x:v>
      </x:c>
      <x:c r="C348" s="442" t="str">
        <x:v>Sistemas de información y gestión TI</x:v>
      </x:c>
      <x:c r="D348" s="442" t="str">
        <x:v>Integración profesional</x:v>
      </x:c>
      <x:c r="E348" s="442" t="n">
        <x:v>2</x:v>
      </x:c>
      <x:c r="F348" s="442" t="n">
        <x:v>54</x:v>
      </x:c>
      <x:c r="G348" s="442" t="n">
        <x:v>7</x:v>
      </x:c>
      <x:c r="H348" s="442" t="str">
        <x:v>Carnegie Mellon University; Cornell University; University of Illinois Urbana-Champaign; Georgia Institute of Technology; University of Washington; New York University</x:v>
      </x:c>
      <x:c r="I348" s="442" t="str">
        <x:v>Cobertura de la familia temática; consultar la fuente oficial antes de atribuir una asignatura literal.</x:v>
      </x:c>
    </x:row>
    <x:row r="349" ht="42" customHeight="1">
      <x:c r="A349" s="445" t="str">
        <x:v>ISM-017</x:v>
      </x:c>
      <x:c r="B349" s="445" t="str">
        <x:v>Estrategia de sistemas de información</x:v>
      </x:c>
      <x:c r="C349" s="445" t="str">
        <x:v>Sistemas de información y gestión TI</x:v>
      </x:c>
      <x:c r="D349" s="445" t="str">
        <x:v>Integración profesional</x:v>
      </x:c>
      <x:c r="E349" s="445" t="n">
        <x:v>2</x:v>
      </x:c>
      <x:c r="F349" s="445" t="n">
        <x:v>54</x:v>
      </x:c>
      <x:c r="G349" s="445" t="n">
        <x:v>7</x:v>
      </x:c>
      <x:c r="H349" s="445" t="str">
        <x:v>Carnegie Mellon University; Cornell University; University of Illinois Urbana-Champaign; Georgia Institute of Technology; University of Washington; New York University</x:v>
      </x:c>
      <x:c r="I349" s="445" t="str">
        <x:v>Cobertura de la familia temática; consultar la fuente oficial antes de atribuir una asignatura literal.</x:v>
      </x:c>
    </x:row>
    <x:row r="350" ht="42" customHeight="1">
      <x:c r="A350" s="442" t="str">
        <x:v>ISM-018</x:v>
      </x:c>
      <x:c r="B350" s="442" t="str">
        <x:v>Transformación digital</x:v>
      </x:c>
      <x:c r="C350" s="442" t="str">
        <x:v>Sistemas de información y gestión TI</x:v>
      </x:c>
      <x:c r="D350" s="442" t="str">
        <x:v>Integración profesional</x:v>
      </x:c>
      <x:c r="E350" s="442" t="n">
        <x:v>2</x:v>
      </x:c>
      <x:c r="F350" s="442" t="n">
        <x:v>54</x:v>
      </x:c>
      <x:c r="G350" s="442" t="n">
        <x:v>7</x:v>
      </x:c>
      <x:c r="H350" s="442" t="str">
        <x:v>Carnegie Mellon University; Cornell University; University of Illinois Urbana-Champaign; Georgia Institute of Technology; University of Washington; New York University</x:v>
      </x:c>
      <x:c r="I350" s="442" t="str">
        <x:v>Cobertura de la familia temática; consultar la fuente oficial antes de atribuir una asignatura literal.</x:v>
      </x:c>
    </x:row>
    <x:row r="351" ht="42" customHeight="1">
      <x:c r="A351" s="445" t="str">
        <x:v>ISM-019</x:v>
      </x:c>
      <x:c r="B351" s="445" t="str">
        <x:v>Gestión de proveedores y adquisiciones TI</x:v>
      </x:c>
      <x:c r="C351" s="445" t="str">
        <x:v>Sistemas de información y gestión TI</x:v>
      </x:c>
      <x:c r="D351" s="445" t="str">
        <x:v>Integración profesional</x:v>
      </x:c>
      <x:c r="E351" s="445" t="n">
        <x:v>2</x:v>
      </x:c>
      <x:c r="F351" s="445" t="n">
        <x:v>54</x:v>
      </x:c>
      <x:c r="G351" s="445" t="n">
        <x:v>7</x:v>
      </x:c>
      <x:c r="H351" s="445" t="str">
        <x:v>Carnegie Mellon University; Cornell University; University of Illinois Urbana-Champaign; Georgia Institute of Technology; University of Washington; New York University</x:v>
      </x:c>
      <x:c r="I351" s="445" t="str">
        <x:v>Cobertura de la familia temática; consultar la fuente oficial antes de atribuir una asignatura literal.</x:v>
      </x:c>
    </x:row>
    <x:row r="352" ht="42" customHeight="1">
      <x:c r="A352" s="442" t="str">
        <x:v>ISM-020</x:v>
      </x:c>
      <x:c r="B352" s="442" t="str">
        <x:v>Gestión del conocimiento empresarial</x:v>
      </x:c>
      <x:c r="C352" s="442" t="str">
        <x:v>Sistemas de información y gestión TI</x:v>
      </x:c>
      <x:c r="D352" s="442" t="str">
        <x:v>Integración profesional</x:v>
      </x:c>
      <x:c r="E352" s="442" t="n">
        <x:v>2</x:v>
      </x:c>
      <x:c r="F352" s="442" t="n">
        <x:v>54</x:v>
      </x:c>
      <x:c r="G352" s="442" t="n">
        <x:v>7</x:v>
      </x:c>
      <x:c r="H352" s="442" t="str">
        <x:v>Carnegie Mellon University; Cornell University; University of Illinois Urbana-Champaign; Georgia Institute of Technology; University of Washington; New York University</x:v>
      </x:c>
      <x:c r="I352" s="442" t="str">
        <x:v>Cobertura de la familia temática; consultar la fuente oficial antes de atribuir una asignatura literal.</x:v>
      </x:c>
    </x:row>
    <x:row r="353" ht="42" customHeight="1">
      <x:c r="A353" s="445" t="str">
        <x:v>ISM-021</x:v>
      </x:c>
      <x:c r="B353" s="445" t="str">
        <x:v>Riesgo, cumplimiento y controles internos</x:v>
      </x:c>
      <x:c r="C353" s="445" t="str">
        <x:v>Sistemas de información y gestión TI</x:v>
      </x:c>
      <x:c r="D353" s="445" t="str">
        <x:v>Integración profesional</x:v>
      </x:c>
      <x:c r="E353" s="445" t="n">
        <x:v>2</x:v>
      </x:c>
      <x:c r="F353" s="445" t="n">
        <x:v>54</x:v>
      </x:c>
      <x:c r="G353" s="445" t="n">
        <x:v>7</x:v>
      </x:c>
      <x:c r="H353" s="445" t="str">
        <x:v>Carnegie Mellon University; Cornell University; University of Illinois Urbana-Champaign; Georgia Institute of Technology; University of Washington; New York University</x:v>
      </x:c>
      <x:c r="I353" s="445" t="str">
        <x:v>Cobertura de la familia temática; consultar la fuente oficial antes de atribuir una asignatura literal.</x:v>
      </x:c>
    </x:row>
    <x:row r="354" ht="42" customHeight="1">
      <x:c r="A354" s="442" t="str">
        <x:v>SYS-013</x:v>
      </x:c>
      <x:c r="B354" s="442" t="str">
        <x:v>Computación de alto rendimiento</x:v>
      </x:c>
      <x:c r="C354" s="442" t="str">
        <x:v>Sistemas y arquitectura</x:v>
      </x:c>
      <x:c r="D354" s="442" t="str">
        <x:v>Integración profesional</x:v>
      </x:c>
      <x:c r="E354" s="442" t="n">
        <x:v>1</x:v>
      </x:c>
      <x:c r="F354" s="442" t="n">
        <x:v>146</x:v>
      </x:c>
      <x:c r="G354" s="442" t="n">
        <x:v>19</x:v>
      </x:c>
      <x:c r="H354" s="442" t="str">
        <x:v>Massachusetts Institute of Technology (MIT); Stanford University; Carnegie Mellon University; University of California, Berkeley; Harvard University; Princeton University</x:v>
      </x:c>
      <x:c r="I354" s="442" t="str">
        <x:v>Cobertura de la familia temática; consultar la fuente oficial antes de atribuir una asignatura literal.</x:v>
      </x:c>
    </x:row>
    <x:row r="355" ht="42" customHeight="1">
      <x:c r="A355" s="445" t="str">
        <x:v>SYS-014</x:v>
      </x:c>
      <x:c r="B355" s="445" t="str">
        <x:v>Evaluación y optimización de rendimiento</x:v>
      </x:c>
      <x:c r="C355" s="445" t="str">
        <x:v>Sistemas y arquitectura</x:v>
      </x:c>
      <x:c r="D355" s="445" t="str">
        <x:v>Integración profesional</x:v>
      </x:c>
      <x:c r="E355" s="445" t="n">
        <x:v>1</x:v>
      </x:c>
      <x:c r="F355" s="445" t="n">
        <x:v>146</x:v>
      </x:c>
      <x:c r="G355" s="445" t="n">
        <x:v>19</x:v>
      </x:c>
      <x:c r="H355" s="445" t="str">
        <x:v>Massachusetts Institute of Technology (MIT); Stanford University; Carnegie Mellon University; University of California, Berkeley; Harvard University; Princeton University</x:v>
      </x:c>
      <x:c r="I355" s="445" t="str">
        <x:v>Cobertura de la familia temática; consultar la fuente oficial antes de atribuir una asignatura literal.</x:v>
      </x:c>
    </x:row>
    <x:row r="356" ht="42" customHeight="1">
      <x:c r="A356" s="442" t="str">
        <x:v>SYS-015</x:v>
      </x:c>
      <x:c r="B356" s="442" t="str">
        <x:v>Confiabilidad y tolerancia a fallos</x:v>
      </x:c>
      <x:c r="C356" s="442" t="str">
        <x:v>Sistemas y arquitectura</x:v>
      </x:c>
      <x:c r="D356" s="442" t="str">
        <x:v>Integración profesional</x:v>
      </x:c>
      <x:c r="E356" s="442" t="n">
        <x:v>1</x:v>
      </x:c>
      <x:c r="F356" s="442" t="n">
        <x:v>146</x:v>
      </x:c>
      <x:c r="G356" s="442" t="n">
        <x:v>19</x:v>
      </x:c>
      <x:c r="H356" s="442" t="str">
        <x:v>Massachusetts Institute of Technology (MIT); Stanford University; Carnegie Mellon University; University of California, Berkeley; Harvard University; Princeton University</x:v>
      </x:c>
      <x:c r="I356" s="442" t="str">
        <x:v>Cobertura de la familia temática; consultar la fuente oficial antes de atribuir una asignatura literal.</x:v>
      </x:c>
    </x:row>
    <x:row r="357" ht="42" customHeight="1">
      <x:c r="A357" s="445" t="str">
        <x:v>SYS-016</x:v>
      </x:c>
      <x:c r="B357" s="445" t="str">
        <x:v>Arquitectura de centros de datos</x:v>
      </x:c>
      <x:c r="C357" s="445" t="str">
        <x:v>Sistemas y arquitectura</x:v>
      </x:c>
      <x:c r="D357" s="445" t="str">
        <x:v>Integración profesional</x:v>
      </x:c>
      <x:c r="E357" s="445" t="n">
        <x:v>1</x:v>
      </x:c>
      <x:c r="F357" s="445" t="n">
        <x:v>146</x:v>
      </x:c>
      <x:c r="G357" s="445" t="n">
        <x:v>19</x:v>
      </x:c>
      <x:c r="H357" s="445" t="str">
        <x:v>Massachusetts Institute of Technology (MIT); Stanford University; Carnegie Mellon University; University of California, Berkeley; Harvard University; Princeton University</x:v>
      </x:c>
      <x:c r="I357" s="445" t="str">
        <x:v>Cobertura de la familia temática; consultar la fuente oficial antes de atribuir una asignatura literal.</x:v>
      </x:c>
    </x:row>
    <x:row r="358" ht="42" customHeight="1">
      <x:c r="A358" s="442" t="str">
        <x:v>SYS-017</x:v>
      </x:c>
      <x:c r="B358" s="442" t="str">
        <x:v>Computación edge y fog</x:v>
      </x:c>
      <x:c r="C358" s="442" t="str">
        <x:v>Sistemas y arquitectura</x:v>
      </x:c>
      <x:c r="D358" s="442" t="str">
        <x:v>Integración profesional</x:v>
      </x:c>
      <x:c r="E358" s="442" t="n">
        <x:v>1</x:v>
      </x:c>
      <x:c r="F358" s="442" t="n">
        <x:v>146</x:v>
      </x:c>
      <x:c r="G358" s="442" t="n">
        <x:v>19</x:v>
      </x:c>
      <x:c r="H358" s="442" t="str">
        <x:v>Massachusetts Institute of Technology (MIT); Stanford University; Carnegie Mellon University; University of California, Berkeley; Harvard University; Princeton University</x:v>
      </x:c>
      <x:c r="I358" s="442" t="str">
        <x:v>Cobertura de la familia temática; consultar la fuente oficial antes de atribuir una asignatura literal.</x:v>
      </x:c>
    </x:row>
    <x:row r="359" ht="42" customHeight="1">
      <x:c r="A359" s="445" t="str">
        <x:v>SYS-018</x:v>
      </x:c>
      <x:c r="B359" s="445" t="str">
        <x:v>Sistemas móviles</x:v>
      </x:c>
      <x:c r="C359" s="445" t="str">
        <x:v>Sistemas y arquitectura</x:v>
      </x:c>
      <x:c r="D359" s="445" t="str">
        <x:v>Integración profesional</x:v>
      </x:c>
      <x:c r="E359" s="445" t="n">
        <x:v>1</x:v>
      </x:c>
      <x:c r="F359" s="445" t="n">
        <x:v>146</x:v>
      </x:c>
      <x:c r="G359" s="445" t="n">
        <x:v>19</x:v>
      </x:c>
      <x:c r="H359" s="445" t="str">
        <x:v>Massachusetts Institute of Technology (MIT); Stanford University; Carnegie Mellon University; University of California, Berkeley; Harvard University; Princeton University</x:v>
      </x:c>
      <x:c r="I359" s="445" t="str">
        <x:v>Cobertura de la familia temática; consultar la fuente oficial antes de atribuir una asignatura literal.</x:v>
      </x:c>
    </x:row>
    <x:row r="360" ht="42" customHeight="1">
      <x:c r="A360" s="442" t="str">
        <x:v>CYB-015</x:v>
      </x:c>
      <x:c r="B360" s="442" t="str">
        <x:v>Gestión de vulnerabilidades</x:v>
      </x:c>
      <x:c r="C360" s="442" t="str">
        <x:v>Ciberseguridad, forense y auditoría</x:v>
      </x:c>
      <x:c r="D360" s="442" t="str">
        <x:v>Especialización I</x:v>
      </x:c>
      <x:c r="E360" s="442" t="n">
        <x:v>2</x:v>
      </x:c>
      <x:c r="F360" s="442" t="n">
        <x:v>145</x:v>
      </x:c>
      <x:c r="G360" s="442" t="n">
        <x:v>19</x:v>
      </x:c>
      <x:c r="H360" s="442" t="str">
        <x:v>Massachusetts Institute of Technology (MIT); Stanford University; Carnegie Mellon University; University of California, Berkeley; Harvard University; Princeton University</x:v>
      </x:c>
      <x:c r="I360" s="442" t="str">
        <x:v>Cobertura de la familia temática; consultar la fuente oficial antes de atribuir una asignatura literal.</x:v>
      </x:c>
    </x:row>
    <x:row r="361" ht="42" customHeight="1">
      <x:c r="A361" s="445" t="str">
        <x:v>CYB-016</x:v>
      </x:c>
      <x:c r="B361" s="445" t="str">
        <x:v>SOC y operaciones de seguridad</x:v>
      </x:c>
      <x:c r="C361" s="445" t="str">
        <x:v>Ciberseguridad, forense y auditoría</x:v>
      </x:c>
      <x:c r="D361" s="445" t="str">
        <x:v>Especialización I</x:v>
      </x:c>
      <x:c r="E361" s="445" t="n">
        <x:v>2</x:v>
      </x:c>
      <x:c r="F361" s="445" t="n">
        <x:v>145</x:v>
      </x:c>
      <x:c r="G361" s="445" t="n">
        <x:v>19</x:v>
      </x:c>
      <x:c r="H361" s="445" t="str">
        <x:v>Massachusetts Institute of Technology (MIT); Stanford University; Carnegie Mellon University; University of California, Berkeley; Harvard University; Princeton University</x:v>
      </x:c>
      <x:c r="I361" s="445" t="str">
        <x:v>Cobertura de la familia temática; consultar la fuente oficial antes de atribuir una asignatura literal.</x:v>
      </x:c>
    </x:row>
    <x:row r="362" ht="42" customHeight="1">
      <x:c r="A362" s="442" t="str">
        <x:v>CYB-017</x:v>
      </x:c>
      <x:c r="B362" s="442" t="str">
        <x:v>SIEM y analítica de seguridad</x:v>
      </x:c>
      <x:c r="C362" s="442" t="str">
        <x:v>Ciberseguridad, forense y auditoría</x:v>
      </x:c>
      <x:c r="D362" s="442" t="str">
        <x:v>Especialización I</x:v>
      </x:c>
      <x:c r="E362" s="442" t="n">
        <x:v>2</x:v>
      </x:c>
      <x:c r="F362" s="442" t="n">
        <x:v>145</x:v>
      </x:c>
      <x:c r="G362" s="442" t="n">
        <x:v>19</x:v>
      </x:c>
      <x:c r="H362" s="442" t="str">
        <x:v>Massachusetts Institute of Technology (MIT); Stanford University; Carnegie Mellon University; University of California, Berkeley; Harvard University; Princeton University</x:v>
      </x:c>
      <x:c r="I362" s="442" t="str">
        <x:v>Cobertura de la familia temática; consultar la fuente oficial antes de atribuir una asignatura literal.</x:v>
      </x:c>
    </x:row>
    <x:row r="363" ht="42" customHeight="1">
      <x:c r="A363" s="445" t="str">
        <x:v>CYB-018</x:v>
      </x:c>
      <x:c r="B363" s="445" t="str">
        <x:v>Inteligencia de amenazas</x:v>
      </x:c>
      <x:c r="C363" s="445" t="str">
        <x:v>Ciberseguridad, forense y auditoría</x:v>
      </x:c>
      <x:c r="D363" s="445" t="str">
        <x:v>Especialización I</x:v>
      </x:c>
      <x:c r="E363" s="445" t="n">
        <x:v>2</x:v>
      </x:c>
      <x:c r="F363" s="445" t="n">
        <x:v>145</x:v>
      </x:c>
      <x:c r="G363" s="445" t="n">
        <x:v>19</x:v>
      </x:c>
      <x:c r="H363" s="445" t="str">
        <x:v>Massachusetts Institute of Technology (MIT); Stanford University; Carnegie Mellon University; University of California, Berkeley; Harvard University; Princeton University</x:v>
      </x:c>
      <x:c r="I363" s="445" t="str">
        <x:v>Cobertura de la familia temática; consultar la fuente oficial antes de atribuir una asignatura literal.</x:v>
      </x:c>
    </x:row>
    <x:row r="364" ht="42" customHeight="1">
      <x:c r="A364" s="442" t="str">
        <x:v>CYB-019</x:v>
      </x:c>
      <x:c r="B364" s="442" t="str">
        <x:v>Threat hunting</x:v>
      </x:c>
      <x:c r="C364" s="442" t="str">
        <x:v>Ciberseguridad, forense y auditoría</x:v>
      </x:c>
      <x:c r="D364" s="442" t="str">
        <x:v>Especialización I</x:v>
      </x:c>
      <x:c r="E364" s="442" t="n">
        <x:v>2</x:v>
      </x:c>
      <x:c r="F364" s="442" t="n">
        <x:v>145</x:v>
      </x:c>
      <x:c r="G364" s="442" t="n">
        <x:v>19</x:v>
      </x:c>
      <x:c r="H364" s="442" t="str">
        <x:v>Massachusetts Institute of Technology (MIT); Stanford University; Carnegie Mellon University; University of California, Berkeley; Harvard University; Princeton University</x:v>
      </x:c>
      <x:c r="I364" s="442" t="str">
        <x:v>Cobertura de la familia temática; consultar la fuente oficial antes de atribuir una asignatura literal.</x:v>
      </x:c>
    </x:row>
    <x:row r="365" ht="42" customHeight="1">
      <x:c r="A365" s="445" t="str">
        <x:v>CYB-020</x:v>
      </x:c>
      <x:c r="B365" s="445" t="str">
        <x:v>Respuesta a incidentes</x:v>
      </x:c>
      <x:c r="C365" s="445" t="str">
        <x:v>Ciberseguridad, forense y auditoría</x:v>
      </x:c>
      <x:c r="D365" s="445" t="str">
        <x:v>Especialización I</x:v>
      </x:c>
      <x:c r="E365" s="445" t="n">
        <x:v>2</x:v>
      </x:c>
      <x:c r="F365" s="445" t="n">
        <x:v>145</x:v>
      </x:c>
      <x:c r="G365" s="445" t="n">
        <x:v>19</x:v>
      </x:c>
      <x:c r="H365" s="445" t="str">
        <x:v>Massachusetts Institute of Technology (MIT); Stanford University; Carnegie Mellon University; University of California, Berkeley; Harvard University; Princeton University</x:v>
      </x:c>
      <x:c r="I365" s="445" t="str">
        <x:v>Cobertura de la familia temática; consultar la fuente oficial antes de atribuir una asignatura literal.</x:v>
      </x:c>
    </x:row>
    <x:row r="366" ht="42" customHeight="1">
      <x:c r="A366" s="442" t="str">
        <x:v>CYB-021</x:v>
      </x:c>
      <x:c r="B366" s="442" t="str">
        <x:v>Análisis de malware</x:v>
      </x:c>
      <x:c r="C366" s="442" t="str">
        <x:v>Ciberseguridad, forense y auditoría</x:v>
      </x:c>
      <x:c r="D366" s="442" t="str">
        <x:v>Especialización I</x:v>
      </x:c>
      <x:c r="E366" s="442" t="n">
        <x:v>2</x:v>
      </x:c>
      <x:c r="F366" s="442" t="n">
        <x:v>145</x:v>
      </x:c>
      <x:c r="G366" s="442" t="n">
        <x:v>19</x:v>
      </x:c>
      <x:c r="H366" s="442" t="str">
        <x:v>Massachusetts Institute of Technology (MIT); Stanford University; Carnegie Mellon University; University of California, Berkeley; Harvard University; Princeton University</x:v>
      </x:c>
      <x:c r="I366" s="442" t="str">
        <x:v>Cobertura de la familia temática; consultar la fuente oficial antes de atribuir una asignatura literal.</x:v>
      </x:c>
    </x:row>
    <x:row r="367" ht="42" customHeight="1">
      <x:c r="A367" s="445" t="str">
        <x:v>CYB-031</x:v>
      </x:c>
      <x:c r="B367" s="445" t="str">
        <x:v>Metodología de hacking ético y alcance legal</x:v>
      </x:c>
      <x:c r="C367" s="445" t="str">
        <x:v>Ciberseguridad, forense y auditoría</x:v>
      </x:c>
      <x:c r="D367" s="445" t="str">
        <x:v>Especialización I</x:v>
      </x:c>
      <x:c r="E367" s="445" t="n">
        <x:v>2</x:v>
      </x:c>
      <x:c r="F367" s="445" t="n">
        <x:v>145</x:v>
      </x:c>
      <x:c r="G367" s="445" t="n">
        <x:v>19</x:v>
      </x:c>
      <x:c r="H367" s="445" t="str">
        <x:v>Massachusetts Institute of Technology (MIT); Stanford University; Carnegie Mellon University; University of California, Berkeley; Harvard University; Princeton University</x:v>
      </x:c>
      <x:c r="I367" s="445" t="str">
        <x:v>Cobertura de la familia temática; consultar la fuente oficial antes de atribuir una asignatura literal.</x:v>
      </x:c>
    </x:row>
    <x:row r="368" ht="42" customHeight="1">
      <x:c r="A368" s="442" t="str">
        <x:v>CYB-032</x:v>
      </x:c>
      <x:c r="B368" s="442" t="str">
        <x:v>Reconocimiento y enumeración autorizados</x:v>
      </x:c>
      <x:c r="C368" s="442" t="str">
        <x:v>Ciberseguridad, forense y auditoría</x:v>
      </x:c>
      <x:c r="D368" s="442" t="str">
        <x:v>Especialización I</x:v>
      </x:c>
      <x:c r="E368" s="442" t="n">
        <x:v>2</x:v>
      </x:c>
      <x:c r="F368" s="442" t="n">
        <x:v>145</x:v>
      </x:c>
      <x:c r="G368" s="442" t="n">
        <x:v>19</x:v>
      </x:c>
      <x:c r="H368" s="442" t="str">
        <x:v>Massachusetts Institute of Technology (MIT); Stanford University; Carnegie Mellon University; University of California, Berkeley; Harvard University; Princeton University</x:v>
      </x:c>
      <x:c r="I368" s="442" t="str">
        <x:v>Cobertura de la familia temática; consultar la fuente oficial antes de atribuir una asignatura literal.</x:v>
      </x:c>
    </x:row>
    <x:row r="369" ht="42" customHeight="1">
      <x:c r="A369" s="445" t="str">
        <x:v>CYB-033</x:v>
      </x:c>
      <x:c r="B369" s="445" t="str">
        <x:v>Pruebas de penetración de redes</x:v>
      </x:c>
      <x:c r="C369" s="445" t="str">
        <x:v>Ciberseguridad, forense y auditoría</x:v>
      </x:c>
      <x:c r="D369" s="445" t="str">
        <x:v>Especialización I</x:v>
      </x:c>
      <x:c r="E369" s="445" t="n">
        <x:v>2</x:v>
      </x:c>
      <x:c r="F369" s="445" t="n">
        <x:v>145</x:v>
      </x:c>
      <x:c r="G369" s="445" t="n">
        <x:v>19</x:v>
      </x:c>
      <x:c r="H369" s="445" t="str">
        <x:v>Massachusetts Institute of Technology (MIT); Stanford University; Carnegie Mellon University; University of California, Berkeley; Harvard University; Princeton University</x:v>
      </x:c>
      <x:c r="I369" s="445" t="str">
        <x:v>Cobertura de la familia temática; consultar la fuente oficial antes de atribuir una asignatura literal.</x:v>
      </x:c>
    </x:row>
    <x:row r="370" ht="42" customHeight="1">
      <x:c r="A370" s="442" t="str">
        <x:v>CYB-034</x:v>
      </x:c>
      <x:c r="B370" s="442" t="str">
        <x:v>Pruebas de penetración web</x:v>
      </x:c>
      <x:c r="C370" s="442" t="str">
        <x:v>Ciberseguridad, forense y auditoría</x:v>
      </x:c>
      <x:c r="D370" s="442" t="str">
        <x:v>Especialización I</x:v>
      </x:c>
      <x:c r="E370" s="442" t="n">
        <x:v>2</x:v>
      </x:c>
      <x:c r="F370" s="442" t="n">
        <x:v>145</x:v>
      </x:c>
      <x:c r="G370" s="442" t="n">
        <x:v>19</x:v>
      </x:c>
      <x:c r="H370" s="442" t="str">
        <x:v>Massachusetts Institute of Technology (MIT); Stanford University; Carnegie Mellon University; University of California, Berkeley; Harvard University; Princeton University</x:v>
      </x:c>
      <x:c r="I370" s="442" t="str">
        <x:v>Cobertura de la familia temática; consultar la fuente oficial antes de atribuir una asignatura literal.</x:v>
      </x:c>
    </x:row>
    <x:row r="371" ht="42" customHeight="1">
      <x:c r="A371" s="445" t="str">
        <x:v>CYB-035</x:v>
      </x:c>
      <x:c r="B371" s="445" t="str">
        <x:v>Auditoría de redes inalámbricas</x:v>
      </x:c>
      <x:c r="C371" s="445" t="str">
        <x:v>Ciberseguridad, forense y auditoría</x:v>
      </x:c>
      <x:c r="D371" s="445" t="str">
        <x:v>Especialización I</x:v>
      </x:c>
      <x:c r="E371" s="445" t="n">
        <x:v>2</x:v>
      </x:c>
      <x:c r="F371" s="445" t="n">
        <x:v>145</x:v>
      </x:c>
      <x:c r="G371" s="445" t="n">
        <x:v>19</x:v>
      </x:c>
      <x:c r="H371" s="445" t="str">
        <x:v>Massachusetts Institute of Technology (MIT); Stanford University; Carnegie Mellon University; University of California, Berkeley; Harvard University; Princeton University</x:v>
      </x:c>
      <x:c r="I371" s="445" t="str">
        <x:v>Cobertura de la familia temática; consultar la fuente oficial antes de atribuir una asignatura literal.</x:v>
      </x:c>
    </x:row>
    <x:row r="372" ht="42" customHeight="1">
      <x:c r="A372" s="442" t="str">
        <x:v>CYB-046</x:v>
      </x:c>
      <x:c r="B372" s="442" t="str">
        <x:v>Fundamentos de informática forense</x:v>
      </x:c>
      <x:c r="C372" s="442" t="str">
        <x:v>Ciberseguridad, forense y auditoría</x:v>
      </x:c>
      <x:c r="D372" s="442" t="str">
        <x:v>Especialización I</x:v>
      </x:c>
      <x:c r="E372" s="442" t="n">
        <x:v>2</x:v>
      </x:c>
      <x:c r="F372" s="442" t="n">
        <x:v>145</x:v>
      </x:c>
      <x:c r="G372" s="442" t="n">
        <x:v>19</x:v>
      </x:c>
      <x:c r="H372" s="442" t="str">
        <x:v>Massachusetts Institute of Technology (MIT); Stanford University; Carnegie Mellon University; University of California, Berkeley; Harvard University; Princeton University</x:v>
      </x:c>
      <x:c r="I372" s="442" t="str">
        <x:v>Cobertura de la familia temática; consultar la fuente oficial antes de atribuir una asignatura literal.</x:v>
      </x:c>
    </x:row>
    <x:row r="373" ht="42" customHeight="1">
      <x:c r="A373" s="445" t="str">
        <x:v>CYB-047</x:v>
      </x:c>
      <x:c r="B373" s="445" t="str">
        <x:v>Adquisición y preservación de evidencia digital</x:v>
      </x:c>
      <x:c r="C373" s="445" t="str">
        <x:v>Ciberseguridad, forense y auditoría</x:v>
      </x:c>
      <x:c r="D373" s="445" t="str">
        <x:v>Especialización I</x:v>
      </x:c>
      <x:c r="E373" s="445" t="n">
        <x:v>2</x:v>
      </x:c>
      <x:c r="F373" s="445" t="n">
        <x:v>145</x:v>
      </x:c>
      <x:c r="G373" s="445" t="n">
        <x:v>19</x:v>
      </x:c>
      <x:c r="H373" s="445" t="str">
        <x:v>Massachusetts Institute of Technology (MIT); Stanford University; Carnegie Mellon University; University of California, Berkeley; Harvard University; Princeton University</x:v>
      </x:c>
      <x:c r="I373" s="445" t="str">
        <x:v>Cobertura de la familia temática; consultar la fuente oficial antes de atribuir una asignatura literal.</x:v>
      </x:c>
    </x:row>
    <x:row r="374" ht="42" customHeight="1">
      <x:c r="A374" s="442" t="str">
        <x:v>CYB-048</x:v>
      </x:c>
      <x:c r="B374" s="442" t="str">
        <x:v>Forense de discos y sistemas de archivos</x:v>
      </x:c>
      <x:c r="C374" s="442" t="str">
        <x:v>Ciberseguridad, forense y auditoría</x:v>
      </x:c>
      <x:c r="D374" s="442" t="str">
        <x:v>Especialización I</x:v>
      </x:c>
      <x:c r="E374" s="442" t="n">
        <x:v>2</x:v>
      </x:c>
      <x:c r="F374" s="442" t="n">
        <x:v>145</x:v>
      </x:c>
      <x:c r="G374" s="442" t="n">
        <x:v>19</x:v>
      </x:c>
      <x:c r="H374" s="442" t="str">
        <x:v>Massachusetts Institute of Technology (MIT); Stanford University; Carnegie Mellon University; University of California, Berkeley; Harvard University; Princeton University</x:v>
      </x:c>
      <x:c r="I374" s="442" t="str">
        <x:v>Cobertura de la familia temática; consultar la fuente oficial antes de atribuir una asignatura literal.</x:v>
      </x:c>
    </x:row>
    <x:row r="375" ht="42" customHeight="1">
      <x:c r="A375" s="445" t="str">
        <x:v>CYB-049</x:v>
      </x:c>
      <x:c r="B375" s="445" t="str">
        <x:v>Forense de memoria</x:v>
      </x:c>
      <x:c r="C375" s="445" t="str">
        <x:v>Ciberseguridad, forense y auditoría</x:v>
      </x:c>
      <x:c r="D375" s="445" t="str">
        <x:v>Especialización I</x:v>
      </x:c>
      <x:c r="E375" s="445" t="n">
        <x:v>2</x:v>
      </x:c>
      <x:c r="F375" s="445" t="n">
        <x:v>145</x:v>
      </x:c>
      <x:c r="G375" s="445" t="n">
        <x:v>19</x:v>
      </x:c>
      <x:c r="H375" s="445" t="str">
        <x:v>Massachusetts Institute of Technology (MIT); Stanford University; Carnegie Mellon University; University of California, Berkeley; Harvard University; Princeton University</x:v>
      </x:c>
      <x:c r="I375" s="445" t="str">
        <x:v>Cobertura de la familia temática; consultar la fuente oficial antes de atribuir una asignatura literal.</x:v>
      </x:c>
    </x:row>
    <x:row r="376" ht="42" customHeight="1">
      <x:c r="A376" s="442" t="str">
        <x:v>CYB-050</x:v>
      </x:c>
      <x:c r="B376" s="442" t="str">
        <x:v>Forense de redes</x:v>
      </x:c>
      <x:c r="C376" s="442" t="str">
        <x:v>Ciberseguridad, forense y auditoría</x:v>
      </x:c>
      <x:c r="D376" s="442" t="str">
        <x:v>Especialización I</x:v>
      </x:c>
      <x:c r="E376" s="442" t="n">
        <x:v>2</x:v>
      </x:c>
      <x:c r="F376" s="442" t="n">
        <x:v>145</x:v>
      </x:c>
      <x:c r="G376" s="442" t="n">
        <x:v>19</x:v>
      </x:c>
      <x:c r="H376" s="442" t="str">
        <x:v>Massachusetts Institute of Technology (MIT); Stanford University; Carnegie Mellon University; University of California, Berkeley; Harvard University; Princeton University</x:v>
      </x:c>
      <x:c r="I376" s="442" t="str">
        <x:v>Cobertura de la familia temática; consultar la fuente oficial antes de atribuir una asignatura literal.</x:v>
      </x:c>
    </x:row>
    <x:row r="377" ht="42" customHeight="1">
      <x:c r="A377" s="445" t="str">
        <x:v>CYB-051</x:v>
      </x:c>
      <x:c r="B377" s="445" t="str">
        <x:v>Forense móvil</x:v>
      </x:c>
      <x:c r="C377" s="445" t="str">
        <x:v>Ciberseguridad, forense y auditoría</x:v>
      </x:c>
      <x:c r="D377" s="445" t="str">
        <x:v>Especialización I</x:v>
      </x:c>
      <x:c r="E377" s="445" t="n">
        <x:v>2</x:v>
      </x:c>
      <x:c r="F377" s="445" t="n">
        <x:v>145</x:v>
      </x:c>
      <x:c r="G377" s="445" t="n">
        <x:v>19</x:v>
      </x:c>
      <x:c r="H377" s="445" t="str">
        <x:v>Massachusetts Institute of Technology (MIT); Stanford University; Carnegie Mellon University; University of California, Berkeley; Harvard University; Princeton University</x:v>
      </x:c>
      <x:c r="I377" s="445" t="str">
        <x:v>Cobertura de la familia temática; consultar la fuente oficial antes de atribuir una asignatura literal.</x:v>
      </x:c>
    </x:row>
    <x:row r="378" ht="42" customHeight="1">
      <x:c r="A378" s="442" t="str">
        <x:v>DAI-034</x:v>
      </x:c>
      <x:c r="B378" s="442" t="str">
        <x:v>Aprendizaje por refuerzo</x:v>
      </x:c>
      <x:c r="C378" s="442" t="str">
        <x:v>Datos, BI e IA</x:v>
      </x:c>
      <x:c r="D378" s="442" t="str">
        <x:v>Especialización I</x:v>
      </x:c>
      <x:c r="E378" s="442" t="n">
        <x:v>2</x:v>
      </x:c>
      <x:c r="F378" s="442" t="n">
        <x:v>145</x:v>
      </x:c>
      <x:c r="G378" s="442" t="n">
        <x:v>19</x:v>
      </x:c>
      <x:c r="H378" s="442" t="str">
        <x:v>Massachusetts Institute of Technology (MIT); Stanford University; Carnegie Mellon University; University of California, Berkeley; Harvard University; Princeton University</x:v>
      </x:c>
      <x:c r="I378" s="442" t="str">
        <x:v>Cobertura de la familia temática; consultar la fuente oficial antes de atribuir una asignatura literal.</x:v>
      </x:c>
    </x:row>
    <x:row r="379" ht="42" customHeight="1">
      <x:c r="A379" s="445" t="str">
        <x:v>DAI-035</x:v>
      </x:c>
      <x:c r="B379" s="445" t="str">
        <x:v>Sistemas de recomendación</x:v>
      </x:c>
      <x:c r="C379" s="445" t="str">
        <x:v>Datos, BI e IA</x:v>
      </x:c>
      <x:c r="D379" s="445" t="str">
        <x:v>Especialización I</x:v>
      </x:c>
      <x:c r="E379" s="445" t="n">
        <x:v>2</x:v>
      </x:c>
      <x:c r="F379" s="445" t="n">
        <x:v>145</x:v>
      </x:c>
      <x:c r="G379" s="445" t="n">
        <x:v>19</x:v>
      </x:c>
      <x:c r="H379" s="445" t="str">
        <x:v>Massachusetts Institute of Technology (MIT); Stanford University; Carnegie Mellon University; University of California, Berkeley; Harvard University; Princeton University</x:v>
      </x:c>
      <x:c r="I379" s="445" t="str">
        <x:v>Cobertura de la familia temática; consultar la fuente oficial antes de atribuir una asignatura literal.</x:v>
      </x:c>
    </x:row>
    <x:row r="380" ht="42" customHeight="1">
      <x:c r="A380" s="442" t="str">
        <x:v>DAI-036</x:v>
      </x:c>
      <x:c r="B380" s="442" t="str">
        <x:v>Minería de datos</x:v>
      </x:c>
      <x:c r="C380" s="442" t="str">
        <x:v>Datos, BI e IA</x:v>
      </x:c>
      <x:c r="D380" s="442" t="str">
        <x:v>Especialización I</x:v>
      </x:c>
      <x:c r="E380" s="442" t="n">
        <x:v>2</x:v>
      </x:c>
      <x:c r="F380" s="442" t="n">
        <x:v>145</x:v>
      </x:c>
      <x:c r="G380" s="442" t="n">
        <x:v>19</x:v>
      </x:c>
      <x:c r="H380" s="442" t="str">
        <x:v>Massachusetts Institute of Technology (MIT); Stanford University; Carnegie Mellon University; University of California, Berkeley; Harvard University; Princeton University</x:v>
      </x:c>
      <x:c r="I380" s="442" t="str">
        <x:v>Cobertura de la familia temática; consultar la fuente oficial antes de atribuir una asignatura literal.</x:v>
      </x:c>
    </x:row>
    <x:row r="381" ht="42" customHeight="1">
      <x:c r="A381" s="445" t="str">
        <x:v>DAI-037</x:v>
      </x:c>
      <x:c r="B381" s="445" t="str">
        <x:v>IA generativa</x:v>
      </x:c>
      <x:c r="C381" s="445" t="str">
        <x:v>Datos, BI e IA</x:v>
      </x:c>
      <x:c r="D381" s="445" t="str">
        <x:v>Especialización I</x:v>
      </x:c>
      <x:c r="E381" s="445" t="n">
        <x:v>2</x:v>
      </x:c>
      <x:c r="F381" s="445" t="n">
        <x:v>145</x:v>
      </x:c>
      <x:c r="G381" s="445" t="n">
        <x:v>19</x:v>
      </x:c>
      <x:c r="H381" s="445" t="str">
        <x:v>Massachusetts Institute of Technology (MIT); Stanford University; Carnegie Mellon University; University of California, Berkeley; Harvard University; Princeton University</x:v>
      </x:c>
      <x:c r="I381" s="445" t="str">
        <x:v>Cobertura de la familia temática; consultar la fuente oficial antes de atribuir una asignatura literal.</x:v>
      </x:c>
    </x:row>
    <x:row r="382" ht="42" customHeight="1">
      <x:c r="A382" s="442" t="str">
        <x:v>DAI-038</x:v>
      </x:c>
      <x:c r="B382" s="442" t="str">
        <x:v>Modelos de lenguaje grandes</x:v>
      </x:c>
      <x:c r="C382" s="442" t="str">
        <x:v>Datos, BI e IA</x:v>
      </x:c>
      <x:c r="D382" s="442" t="str">
        <x:v>Especialización I</x:v>
      </x:c>
      <x:c r="E382" s="442" t="n">
        <x:v>2</x:v>
      </x:c>
      <x:c r="F382" s="442" t="n">
        <x:v>145</x:v>
      </x:c>
      <x:c r="G382" s="442" t="n">
        <x:v>19</x:v>
      </x:c>
      <x:c r="H382" s="442" t="str">
        <x:v>Massachusetts Institute of Technology (MIT); Stanford University; Carnegie Mellon University; University of California, Berkeley; Harvard University; Princeton University</x:v>
      </x:c>
      <x:c r="I382" s="442" t="str">
        <x:v>Cobertura de la familia temática; consultar la fuente oficial antes de atribuir una asignatura literal.</x:v>
      </x:c>
    </x:row>
    <x:row r="383" ht="42" customHeight="1">
      <x:c r="A383" s="445" t="str">
        <x:v>DAI-039</x:v>
      </x:c>
      <x:c r="B383" s="445" t="str">
        <x:v>Ingeniería de prompts y contexto</x:v>
      </x:c>
      <x:c r="C383" s="445" t="str">
        <x:v>Datos, BI e IA</x:v>
      </x:c>
      <x:c r="D383" s="445" t="str">
        <x:v>Especialización I</x:v>
      </x:c>
      <x:c r="E383" s="445" t="n">
        <x:v>2</x:v>
      </x:c>
      <x:c r="F383" s="445" t="n">
        <x:v>145</x:v>
      </x:c>
      <x:c r="G383" s="445" t="n">
        <x:v>19</x:v>
      </x:c>
      <x:c r="H383" s="445" t="str">
        <x:v>Massachusetts Institute of Technology (MIT); Stanford University; Carnegie Mellon University; University of California, Berkeley; Harvard University; Princeton University</x:v>
      </x:c>
      <x:c r="I383" s="445" t="str">
        <x:v>Cobertura de la familia temática; consultar la fuente oficial antes de atribuir una asignatura literal.</x:v>
      </x:c>
    </x:row>
    <x:row r="384" ht="42" customHeight="1">
      <x:c r="A384" s="442" t="str">
        <x:v>EIO-028</x:v>
      </x:c>
      <x:c r="B384" s="442" t="str">
        <x:v>Diseño de wearables</x:v>
      </x:c>
      <x:c r="C384" s="442" t="str">
        <x:v>Electrónica, embebidos e IoT</x:v>
      </x:c>
      <x:c r="D384" s="442" t="str">
        <x:v>Especialización I</x:v>
      </x:c>
      <x:c r="E384" s="442" t="n">
        <x:v>2</x:v>
      </x:c>
      <x:c r="F384" s="442" t="n">
        <x:v>128</x:v>
      </x:c>
      <x:c r="G384" s="442" t="n">
        <x:v>17</x:v>
      </x:c>
      <x:c r="H384" s="442" t="str">
        <x:v>Massachusetts Institute of Technology (MIT); Stanford University; Carnegie Mellon University; University of California, Berkeley; Harvard University; Princeton University</x:v>
      </x:c>
      <x:c r="I384" s="442" t="str">
        <x:v>Cobertura de la familia temática; consultar la fuente oficial antes de atribuir una asignatura literal.</x:v>
      </x:c>
    </x:row>
    <x:row r="385" ht="42" customHeight="1">
      <x:c r="A385" s="445" t="str">
        <x:v>EIO-029</x:v>
      </x:c>
      <x:c r="B385" s="445" t="str">
        <x:v>IoT industrial</x:v>
      </x:c>
      <x:c r="C385" s="445" t="str">
        <x:v>Electrónica, embebidos e IoT</x:v>
      </x:c>
      <x:c r="D385" s="445" t="str">
        <x:v>Especialización I</x:v>
      </x:c>
      <x:c r="E385" s="445" t="n">
        <x:v>2</x:v>
      </x:c>
      <x:c r="F385" s="445" t="n">
        <x:v>128</x:v>
      </x:c>
      <x:c r="G385" s="445" t="n">
        <x:v>17</x:v>
      </x:c>
      <x:c r="H385" s="445" t="str">
        <x:v>Massachusetts Institute of Technology (MIT); Stanford University; Carnegie Mellon University; University of California, Berkeley; Harvard University; Princeton University</x:v>
      </x:c>
      <x:c r="I385" s="445" t="str">
        <x:v>Cobertura de la familia temática; consultar la fuente oficial antes de atribuir una asignatura literal.</x:v>
      </x:c>
    </x:row>
    <x:row r="386" ht="42" customHeight="1">
      <x:c r="A386" s="442" t="str">
        <x:v>EIO-030</x:v>
      </x:c>
      <x:c r="B386" s="442" t="str">
        <x:v>Gemelos digitales</x:v>
      </x:c>
      <x:c r="C386" s="442" t="str">
        <x:v>Electrónica, embebidos e IoT</x:v>
      </x:c>
      <x:c r="D386" s="442" t="str">
        <x:v>Especialización I</x:v>
      </x:c>
      <x:c r="E386" s="442" t="n">
        <x:v>2</x:v>
      </x:c>
      <x:c r="F386" s="442" t="n">
        <x:v>128</x:v>
      </x:c>
      <x:c r="G386" s="442" t="n">
        <x:v>17</x:v>
      </x:c>
      <x:c r="H386" s="442" t="str">
        <x:v>Massachusetts Institute of Technology (MIT); Stanford University; Carnegie Mellon University; University of California, Berkeley; Harvard University; Princeton University</x:v>
      </x:c>
      <x:c r="I386" s="442" t="str">
        <x:v>Cobertura de la familia temática; consultar la fuente oficial antes de atribuir una asignatura literal.</x:v>
      </x:c>
    </x:row>
    <x:row r="387" ht="42" customHeight="1">
      <x:c r="A387" s="445" t="str">
        <x:v>GXR-007</x:v>
      </x:c>
      <x:c r="B387" s="445" t="str">
        <x:v>Simulación física para gráficos</x:v>
      </x:c>
      <x:c r="C387" s="445" t="str">
        <x:v>Gráficos, juegos y XR</x:v>
      </x:c>
      <x:c r="D387" s="445" t="str">
        <x:v>Especialización I</x:v>
      </x:c>
      <x:c r="E387" s="445" t="n">
        <x:v>2</x:v>
      </x:c>
      <x:c r="F387" s="445" t="n">
        <x:v>67</x:v>
      </x:c>
      <x:c r="G387" s="445" t="n">
        <x:v>14</x:v>
      </x:c>
      <x:c r="H387" s="445" t="str">
        <x:v>Stanford University; Carnegie Mellon University; University of California, Berkeley; Cornell University; University of Illinois Urbana-Champaign; Georgia Institute of Technology</x:v>
      </x:c>
      <x:c r="I387" s="445" t="str">
        <x:v>Cobertura de la familia temática; consultar la fuente oficial antes de atribuir una asignatura literal.</x:v>
      </x:c>
    </x:row>
    <x:row r="388" ht="42" customHeight="1">
      <x:c r="A388" s="442" t="str">
        <x:v>GXR-008</x:v>
      </x:c>
      <x:c r="B388" s="442" t="str">
        <x:v>Diseño de videojuegos</x:v>
      </x:c>
      <x:c r="C388" s="442" t="str">
        <x:v>Gráficos, juegos y XR</x:v>
      </x:c>
      <x:c r="D388" s="442" t="str">
        <x:v>Especialización I</x:v>
      </x:c>
      <x:c r="E388" s="442" t="n">
        <x:v>2</x:v>
      </x:c>
      <x:c r="F388" s="442" t="n">
        <x:v>67</x:v>
      </x:c>
      <x:c r="G388" s="442" t="n">
        <x:v>14</x:v>
      </x:c>
      <x:c r="H388" s="442" t="str">
        <x:v>Stanford University; Carnegie Mellon University; University of California, Berkeley; Cornell University; University of Illinois Urbana-Champaign; Georgia Institute of Technology</x:v>
      </x:c>
      <x:c r="I388" s="442" t="str">
        <x:v>Cobertura de la familia temática; consultar la fuente oficial antes de atribuir una asignatura literal.</x:v>
      </x:c>
    </x:row>
    <x:row r="389" ht="42" customHeight="1">
      <x:c r="A389" s="445" t="str">
        <x:v>GXR-009</x:v>
      </x:c>
      <x:c r="B389" s="445" t="str">
        <x:v>Programación de videojuegos</x:v>
      </x:c>
      <x:c r="C389" s="445" t="str">
        <x:v>Gráficos, juegos y XR</x:v>
      </x:c>
      <x:c r="D389" s="445" t="str">
        <x:v>Especialización I</x:v>
      </x:c>
      <x:c r="E389" s="445" t="n">
        <x:v>2</x:v>
      </x:c>
      <x:c r="F389" s="445" t="n">
        <x:v>67</x:v>
      </x:c>
      <x:c r="G389" s="445" t="n">
        <x:v>14</x:v>
      </x:c>
      <x:c r="H389" s="445" t="str">
        <x:v>Stanford University; Carnegie Mellon University; University of California, Berkeley; Cornell University; University of Illinois Urbana-Champaign; Georgia Institute of Technology</x:v>
      </x:c>
      <x:c r="I389" s="445" t="str">
        <x:v>Cobertura de la familia temática; consultar la fuente oficial antes de atribuir una asignatura literal.</x:v>
      </x:c>
    </x:row>
    <x:row r="390" ht="42" customHeight="1">
      <x:c r="A390" s="442" t="str">
        <x:v>GXR-010</x:v>
      </x:c>
      <x:c r="B390" s="442" t="str">
        <x:v>Arquitectura de motores de juego</x:v>
      </x:c>
      <x:c r="C390" s="442" t="str">
        <x:v>Gráficos, juegos y XR</x:v>
      </x:c>
      <x:c r="D390" s="442" t="str">
        <x:v>Especialización I</x:v>
      </x:c>
      <x:c r="E390" s="442" t="n">
        <x:v>2</x:v>
      </x:c>
      <x:c r="F390" s="442" t="n">
        <x:v>67</x:v>
      </x:c>
      <x:c r="G390" s="442" t="n">
        <x:v>14</x:v>
      </x:c>
      <x:c r="H390" s="442" t="str">
        <x:v>Stanford University; Carnegie Mellon University; University of California, Berkeley; Cornell University; University of Illinois Urbana-Champaign; Georgia Institute of Technology</x:v>
      </x:c>
      <x:c r="I390" s="442" t="str">
        <x:v>Cobertura de la familia temática; consultar la fuente oficial antes de atribuir una asignatura literal.</x:v>
      </x:c>
    </x:row>
    <x:row r="391" ht="42" customHeight="1">
      <x:c r="A391" s="445" t="str">
        <x:v>GXR-011</x:v>
      </x:c>
      <x:c r="B391" s="445" t="str">
        <x:v>Unity</x:v>
      </x:c>
      <x:c r="C391" s="445" t="str">
        <x:v>Gráficos, juegos y XR</x:v>
      </x:c>
      <x:c r="D391" s="445" t="str">
        <x:v>Especialización I</x:v>
      </x:c>
      <x:c r="E391" s="445" t="n">
        <x:v>2</x:v>
      </x:c>
      <x:c r="F391" s="445" t="n">
        <x:v>67</x:v>
      </x:c>
      <x:c r="G391" s="445" t="n">
        <x:v>14</x:v>
      </x:c>
      <x:c r="H391" s="445" t="str">
        <x:v>Stanford University; Carnegie Mellon University; University of California, Berkeley; Cornell University; University of Illinois Urbana-Champaign; Georgia Institute of Technology</x:v>
      </x:c>
      <x:c r="I391" s="445" t="str">
        <x:v>Cobertura de la familia temática; consultar la fuente oficial antes de atribuir una asignatura literal.</x:v>
      </x:c>
    </x:row>
    <x:row r="392" ht="42" customHeight="1">
      <x:c r="A392" s="442" t="str">
        <x:v>GXR-012</x:v>
      </x:c>
      <x:c r="B392" s="442" t="str">
        <x:v>Unreal Engine</x:v>
      </x:c>
      <x:c r="C392" s="442" t="str">
        <x:v>Gráficos, juegos y XR</x:v>
      </x:c>
      <x:c r="D392" s="442" t="str">
        <x:v>Especialización I</x:v>
      </x:c>
      <x:c r="E392" s="442" t="n">
        <x:v>2</x:v>
      </x:c>
      <x:c r="F392" s="442" t="n">
        <x:v>67</x:v>
      </x:c>
      <x:c r="G392" s="442" t="n">
        <x:v>14</x:v>
      </x:c>
      <x:c r="H392" s="442" t="str">
        <x:v>Stanford University; Carnegie Mellon University; University of California, Berkeley; Cornell University; University of Illinois Urbana-Champaign; Georgia Institute of Technology</x:v>
      </x:c>
      <x:c r="I392" s="442" t="str">
        <x:v>Cobertura de la familia temática; consultar la fuente oficial antes de atribuir una asignatura literal.</x:v>
      </x:c>
    </x:row>
    <x:row r="393" ht="42" customHeight="1">
      <x:c r="A393" s="445" t="str">
        <x:v>SWE-035</x:v>
      </x:c>
      <x:c r="B393" s="445" t="str">
        <x:v>Arquitecturas serverless</x:v>
      </x:c>
      <x:c r="C393" s="445" t="str">
        <x:v>Ingeniería de software</x:v>
      </x:c>
      <x:c r="D393" s="445" t="str">
        <x:v>Especialización I</x:v>
      </x:c>
      <x:c r="E393" s="445" t="n">
        <x:v>2</x:v>
      </x:c>
      <x:c r="F393" s="445" t="n">
        <x:v>147</x:v>
      </x:c>
      <x:c r="G393" s="445" t="n">
        <x:v>19</x:v>
      </x:c>
      <x:c r="H393" s="445" t="str">
        <x:v>Massachusetts Institute of Technology (MIT); Stanford University; Carnegie Mellon University; University of California, Berkeley; Harvard University; Princeton University</x:v>
      </x:c>
      <x:c r="I393" s="445" t="str">
        <x:v>Cobertura de la familia temática; consultar la fuente oficial antes de atribuir una asignatura literal.</x:v>
      </x:c>
    </x:row>
    <x:row r="394" ht="42" customHeight="1">
      <x:c r="A394" s="442" t="str">
        <x:v>SWE-036</x:v>
      </x:c>
      <x:c r="B394" s="442" t="str">
        <x:v>Plataformas SaaS multiusuario</x:v>
      </x:c>
      <x:c r="C394" s="442" t="str">
        <x:v>Ingeniería de software</x:v>
      </x:c>
      <x:c r="D394" s="442" t="str">
        <x:v>Especialización I</x:v>
      </x:c>
      <x:c r="E394" s="442" t="n">
        <x:v>2</x:v>
      </x:c>
      <x:c r="F394" s="442" t="n">
        <x:v>147</x:v>
      </x:c>
      <x:c r="G394" s="442" t="n">
        <x:v>19</x:v>
      </x:c>
      <x:c r="H394" s="442" t="str">
        <x:v>Massachusetts Institute of Technology (MIT); Stanford University; Carnegie Mellon University; University of California, Berkeley; Harvard University; Princeton University</x:v>
      </x:c>
      <x:c r="I394" s="442" t="str">
        <x:v>Cobertura de la familia temática; consultar la fuente oficial antes de atribuir una asignatura literal.</x:v>
      </x:c>
    </x:row>
    <x:row r="395" ht="42" customHeight="1">
      <x:c r="A395" s="445" t="str">
        <x:v>SWE-037</x:v>
      </x:c>
      <x:c r="B395" s="445" t="str">
        <x:v>Low-code, no-code y RPA</x:v>
      </x:c>
      <x:c r="C395" s="445" t="str">
        <x:v>Ingeniería de software</x:v>
      </x:c>
      <x:c r="D395" s="445" t="str">
        <x:v>Especialización I</x:v>
      </x:c>
      <x:c r="E395" s="445" t="n">
        <x:v>2</x:v>
      </x:c>
      <x:c r="F395" s="445" t="n">
        <x:v>147</x:v>
      </x:c>
      <x:c r="G395" s="445" t="n">
        <x:v>19</x:v>
      </x:c>
      <x:c r="H395" s="445" t="str">
        <x:v>Massachusetts Institute of Technology (MIT); Stanford University; Carnegie Mellon University; University of California, Berkeley; Harvard University; Princeton University</x:v>
      </x:c>
      <x:c r="I395" s="445" t="str">
        <x:v>Cobertura de la familia temática; consultar la fuente oficial antes de atribuir una asignatura literal.</x:v>
      </x:c>
    </x:row>
    <x:row r="396" ht="42" customHeight="1">
      <x:c r="A396" s="442" t="str">
        <x:v>SWE-038</x:v>
      </x:c>
      <x:c r="B396" s="442" t="str">
        <x:v>Comercio electrónico</x:v>
      </x:c>
      <x:c r="C396" s="442" t="str">
        <x:v>Ingeniería de software</x:v>
      </x:c>
      <x:c r="D396" s="442" t="str">
        <x:v>Especialización I</x:v>
      </x:c>
      <x:c r="E396" s="442" t="n">
        <x:v>2</x:v>
      </x:c>
      <x:c r="F396" s="442" t="n">
        <x:v>147</x:v>
      </x:c>
      <x:c r="G396" s="442" t="n">
        <x:v>19</x:v>
      </x:c>
      <x:c r="H396" s="442" t="str">
        <x:v>Massachusetts Institute of Technology (MIT); Stanford University; Carnegie Mellon University; University of California, Berkeley; Harvard University; Princeton University</x:v>
      </x:c>
      <x:c r="I396" s="442" t="str">
        <x:v>Cobertura de la familia temática; consultar la fuente oficial antes de atribuir una asignatura literal.</x:v>
      </x:c>
    </x:row>
    <x:row r="397" ht="42" customHeight="1">
      <x:c r="A397" s="445" t="str">
        <x:v>SWE-039</x:v>
      </x:c>
      <x:c r="B397" s="445" t="str">
        <x:v>Modernización de sistemas legados</x:v>
      </x:c>
      <x:c r="C397" s="445" t="str">
        <x:v>Ingeniería de software</x:v>
      </x:c>
      <x:c r="D397" s="445" t="str">
        <x:v>Especialización I</x:v>
      </x:c>
      <x:c r="E397" s="445" t="n">
        <x:v>2</x:v>
      </x:c>
      <x:c r="F397" s="445" t="n">
        <x:v>147</x:v>
      </x:c>
      <x:c r="G397" s="445" t="n">
        <x:v>19</x:v>
      </x:c>
      <x:c r="H397" s="445" t="str">
        <x:v>Massachusetts Institute of Technology (MIT); Stanford University; Carnegie Mellon University; University of California, Berkeley; Harvard University; Princeton University</x:v>
      </x:c>
      <x:c r="I397" s="445" t="str">
        <x:v>Cobertura de la familia temática; consultar la fuente oficial antes de atribuir una asignatura literal.</x:v>
      </x:c>
    </x:row>
    <x:row r="398" ht="42" customHeight="1">
      <x:c r="A398" s="442" t="str">
        <x:v>SWE-040</x:v>
      </x:c>
      <x:c r="B398" s="442" t="str">
        <x:v>Ingeniería de plataformas internas</x:v>
      </x:c>
      <x:c r="C398" s="442" t="str">
        <x:v>Ingeniería de software</x:v>
      </x:c>
      <x:c r="D398" s="442" t="str">
        <x:v>Especialización I</x:v>
      </x:c>
      <x:c r="E398" s="442" t="n">
        <x:v>2</x:v>
      </x:c>
      <x:c r="F398" s="442" t="n">
        <x:v>147</x:v>
      </x:c>
      <x:c r="G398" s="442" t="n">
        <x:v>19</x:v>
      </x:c>
      <x:c r="H398" s="442" t="str">
        <x:v>Massachusetts Institute of Technology (MIT); Stanford University; Carnegie Mellon University; University of California, Berkeley; Harvard University; Princeton University</x:v>
      </x:c>
      <x:c r="I398" s="442" t="str">
        <x:v>Cobertura de la familia temática; consultar la fuente oficial antes de atribuir una asignatura literal.</x:v>
      </x:c>
    </x:row>
    <x:row r="399" ht="42" customHeight="1">
      <x:c r="A399" s="445" t="str">
        <x:v>CAP-015</x:v>
      </x:c>
      <x:c r="B399" s="445" t="str">
        <x:v>Capstone III: redes, sistemas y cloud</x:v>
      </x:c>
      <x:c r="C399" s="445" t="str">
        <x:v>Investigación, profesión y capstones</x:v>
      </x:c>
      <x:c r="D399" s="445" t="str">
        <x:v>Especialización I</x:v>
      </x:c>
      <x:c r="E399" s="445" t="n">
        <x:v>1</x:v>
      </x:c>
      <x:c r="F399" s="445" t="n">
        <x:v>150</x:v>
      </x:c>
      <x:c r="G399" s="445" t="n">
        <x:v>20</x:v>
      </x:c>
      <x:c r="H399" s="445" t="str">
        <x:v>Massachusetts Institute of Technology (MIT); Stanford University; Carnegie Mellon University; University of California, Berkeley; Harvard University; Princeton University</x:v>
      </x:c>
      <x:c r="I399" s="445" t="str">
        <x:v>Cobertura de la familia temática; consultar la fuente oficial antes de atribuir una asignatura literal.</x:v>
      </x:c>
    </x:row>
    <x:row r="400" ht="42" customHeight="1">
      <x:c r="A400" s="442" t="str">
        <x:v>CAP-016</x:v>
      </x:c>
      <x:c r="B400" s="442" t="str">
        <x:v>Capstone IV: ciberseguridad defensiva y auditoría</x:v>
      </x:c>
      <x:c r="C400" s="442" t="str">
        <x:v>Investigación, profesión y capstones</x:v>
      </x:c>
      <x:c r="D400" s="442" t="str">
        <x:v>Especialización I</x:v>
      </x:c>
      <x:c r="E400" s="442" t="n">
        <x:v>1</x:v>
      </x:c>
      <x:c r="F400" s="442" t="n">
        <x:v>150</x:v>
      </x:c>
      <x:c r="G400" s="442" t="n">
        <x:v>20</x:v>
      </x:c>
      <x:c r="H400" s="442" t="str">
        <x:v>Massachusetts Institute of Technology (MIT); Stanford University; Carnegie Mellon University; University of California, Berkeley; Harvard University; Princeton University</x:v>
      </x:c>
      <x:c r="I400" s="442" t="str">
        <x:v>Cobertura de la familia temática; consultar la fuente oficial antes de atribuir una asignatura literal.</x:v>
      </x:c>
    </x:row>
    <x:row r="401" ht="42" customHeight="1">
      <x:c r="A401" s="445" t="str">
        <x:v>CAP-025</x:v>
      </x:c>
      <x:c r="B401" s="445" t="str">
        <x:v>Historia global de la computación y las revoluciones tecnológicas</x:v>
      </x:c>
      <x:c r="C401" s="445" t="str">
        <x:v>Investigación, profesión y capstones</x:v>
      </x:c>
      <x:c r="D401" s="445" t="str">
        <x:v>Especialización I</x:v>
      </x:c>
      <x:c r="E401" s="445" t="n">
        <x:v>1</x:v>
      </x:c>
      <x:c r="F401" s="445" t="n">
        <x:v>150</x:v>
      </x:c>
      <x:c r="G401" s="445" t="n">
        <x:v>20</x:v>
      </x:c>
      <x:c r="H401" s="445" t="str">
        <x:v>Massachusetts Institute of Technology (MIT); Stanford University; Carnegie Mellon University; University of California, Berkeley; Harvard University; Princeton University</x:v>
      </x:c>
      <x:c r="I401" s="445" t="str">
        <x:v>Cobertura de la familia temática; consultar la fuente oficial antes de atribuir una asignatura literal.</x:v>
      </x:c>
    </x:row>
    <x:row r="402" ht="42" customHeight="1">
      <x:c r="A402" s="442" t="str">
        <x:v>CAP-026</x:v>
      </x:c>
      <x:c r="B402" s="442" t="str">
        <x:v>Filosofía, epistemología y economía política de la tecnología</x:v>
      </x:c>
      <x:c r="C402" s="442" t="str">
        <x:v>Investigación, profesión y capstones</x:v>
      </x:c>
      <x:c r="D402" s="442" t="str">
        <x:v>Especialización I</x:v>
      </x:c>
      <x:c r="E402" s="442" t="n">
        <x:v>1</x:v>
      </x:c>
      <x:c r="F402" s="442" t="n">
        <x:v>150</x:v>
      </x:c>
      <x:c r="G402" s="442" t="n">
        <x:v>20</x:v>
      </x:c>
      <x:c r="H402" s="442" t="str">
        <x:v>Massachusetts Institute of Technology (MIT); Stanford University; Carnegie Mellon University; University of California, Berkeley; Harvard University; Princeton University</x:v>
      </x:c>
      <x:c r="I402" s="442" t="str">
        <x:v>Cobertura de la familia temática; consultar la fuente oficial antes de atribuir una asignatura literal.</x:v>
      </x:c>
    </x:row>
    <x:row r="403" ht="42" customHeight="1">
      <x:c r="A403" s="445" t="str">
        <x:v>NET-019</x:v>
      </x:c>
      <x:c r="B403" s="445" t="str">
        <x:v>Arquitectura y operación de ISP</x:v>
      </x:c>
      <x:c r="C403" s="445" t="str">
        <x:v>Redes, telecom y cloud</x:v>
      </x:c>
      <x:c r="D403" s="445" t="str">
        <x:v>Especialización I</x:v>
      </x:c>
      <x:c r="E403" s="445" t="n">
        <x:v>1</x:v>
      </x:c>
      <x:c r="F403" s="445" t="n">
        <x:v>140</x:v>
      </x:c>
      <x:c r="G403" s="445" t="n">
        <x:v>19</x:v>
      </x:c>
      <x:c r="H403" s="445" t="str">
        <x:v>Massachusetts Institute of Technology (MIT); Stanford University; Carnegie Mellon University; University of California, Berkeley; Princeton University; Cornell University</x:v>
      </x:c>
      <x:c r="I403" s="445" t="str">
        <x:v>Cobertura de la familia temática; consultar la fuente oficial antes de atribuir una asignatura literal.</x:v>
      </x:c>
    </x:row>
    <x:row r="404" ht="42" customHeight="1">
      <x:c r="A404" s="442" t="str">
        <x:v>NET-034</x:v>
      </x:c>
      <x:c r="B404" s="442" t="str">
        <x:v>Helm, operadores y GitOps</x:v>
      </x:c>
      <x:c r="C404" s="442" t="str">
        <x:v>Redes, telecom y cloud</x:v>
      </x:c>
      <x:c r="D404" s="442" t="str">
        <x:v>Especialización I</x:v>
      </x:c>
      <x:c r="E404" s="442" t="n">
        <x:v>2</x:v>
      </x:c>
      <x:c r="F404" s="442" t="n">
        <x:v>140</x:v>
      </x:c>
      <x:c r="G404" s="442" t="n">
        <x:v>19</x:v>
      </x:c>
      <x:c r="H404" s="442" t="str">
        <x:v>Massachusetts Institute of Technology (MIT); Stanford University; Carnegie Mellon University; University of California, Berkeley; Princeton University; Cornell University</x:v>
      </x:c>
      <x:c r="I404" s="442" t="str">
        <x:v>Cobertura de la familia temática; consultar la fuente oficial antes de atribuir una asignatura literal.</x:v>
      </x:c>
    </x:row>
    <x:row r="405" ht="42" customHeight="1">
      <x:c r="A405" s="445" t="str">
        <x:v>NET-035</x:v>
      </x:c>
      <x:c r="B405" s="445" t="str">
        <x:v>Service mesh</x:v>
      </x:c>
      <x:c r="C405" s="445" t="str">
        <x:v>Redes, telecom y cloud</x:v>
      </x:c>
      <x:c r="D405" s="445" t="str">
        <x:v>Especialización I</x:v>
      </x:c>
      <x:c r="E405" s="445" t="n">
        <x:v>2</x:v>
      </x:c>
      <x:c r="F405" s="445" t="n">
        <x:v>140</x:v>
      </x:c>
      <x:c r="G405" s="445" t="n">
        <x:v>19</x:v>
      </x:c>
      <x:c r="H405" s="445" t="str">
        <x:v>Massachusetts Institute of Technology (MIT); Stanford University; Carnegie Mellon University; University of California, Berkeley; Princeton University; Cornell University</x:v>
      </x:c>
      <x:c r="I405" s="445" t="str">
        <x:v>Cobertura de la familia temática; consultar la fuente oficial antes de atribuir una asignatura literal.</x:v>
      </x:c>
    </x:row>
    <x:row r="406" ht="42" customHeight="1">
      <x:c r="A406" s="442" t="str">
        <x:v>NET-036</x:v>
      </x:c>
      <x:c r="B406" s="442" t="str">
        <x:v>Observabilidad: métricas, logs y trazas</x:v>
      </x:c>
      <x:c r="C406" s="442" t="str">
        <x:v>Redes, telecom y cloud</x:v>
      </x:c>
      <x:c r="D406" s="442" t="str">
        <x:v>Especialización I</x:v>
      </x:c>
      <x:c r="E406" s="442" t="n">
        <x:v>2</x:v>
      </x:c>
      <x:c r="F406" s="442" t="n">
        <x:v>140</x:v>
      </x:c>
      <x:c r="G406" s="442" t="n">
        <x:v>19</x:v>
      </x:c>
      <x:c r="H406" s="442" t="str">
        <x:v>Massachusetts Institute of Technology (MIT); Stanford University; Carnegie Mellon University; University of California, Berkeley; Princeton University; Cornell University</x:v>
      </x:c>
      <x:c r="I406" s="442" t="str">
        <x:v>Cobertura de la familia temática; consultar la fuente oficial antes de atribuir una asignatura literal.</x:v>
      </x:c>
    </x:row>
    <x:row r="407" ht="42" customHeight="1">
      <x:c r="A407" s="445" t="str">
        <x:v>NET-037</x:v>
      </x:c>
      <x:c r="B407" s="445" t="str">
        <x:v>Site Reliability Engineering</x:v>
      </x:c>
      <x:c r="C407" s="445" t="str">
        <x:v>Redes, telecom y cloud</x:v>
      </x:c>
      <x:c r="D407" s="445" t="str">
        <x:v>Especialización I</x:v>
      </x:c>
      <x:c r="E407" s="445" t="n">
        <x:v>2</x:v>
      </x:c>
      <x:c r="F407" s="445" t="n">
        <x:v>140</x:v>
      </x:c>
      <x:c r="G407" s="445" t="n">
        <x:v>19</x:v>
      </x:c>
      <x:c r="H407" s="445" t="str">
        <x:v>Massachusetts Institute of Technology (MIT); Stanford University; Carnegie Mellon University; University of California, Berkeley; Princeton University; Cornell University</x:v>
      </x:c>
      <x:c r="I407" s="445" t="str">
        <x:v>Cobertura de la familia temática; consultar la fuente oficial antes de atribuir una asignatura literal.</x:v>
      </x:c>
    </x:row>
    <x:row r="408" ht="42" customHeight="1">
      <x:c r="A408" s="442" t="str">
        <x:v>NET-038</x:v>
      </x:c>
      <x:c r="B408" s="442" t="str">
        <x:v>Alta disponibilidad y balanceo</x:v>
      </x:c>
      <x:c r="C408" s="442" t="str">
        <x:v>Redes, telecom y cloud</x:v>
      </x:c>
      <x:c r="D408" s="442" t="str">
        <x:v>Especialización I</x:v>
      </x:c>
      <x:c r="E408" s="442" t="n">
        <x:v>2</x:v>
      </x:c>
      <x:c r="F408" s="442" t="n">
        <x:v>140</x:v>
      </x:c>
      <x:c r="G408" s="442" t="n">
        <x:v>19</x:v>
      </x:c>
      <x:c r="H408" s="442" t="str">
        <x:v>Massachusetts Institute of Technology (MIT); Stanford University; Carnegie Mellon University; University of California, Berkeley; Princeton University; Cornell University</x:v>
      </x:c>
      <x:c r="I408" s="442" t="str">
        <x:v>Cobertura de la familia temática; consultar la fuente oficial antes de atribuir una asignatura literal.</x:v>
      </x:c>
    </x:row>
    <x:row r="409" ht="42" customHeight="1">
      <x:c r="A409" s="445" t="str">
        <x:v>NET-039</x:v>
      </x:c>
      <x:c r="B409" s="445" t="str">
        <x:v>Backup, continuidad y recuperación ante desastres</x:v>
      </x:c>
      <x:c r="C409" s="445" t="str">
        <x:v>Redes, telecom y cloud</x:v>
      </x:c>
      <x:c r="D409" s="445" t="str">
        <x:v>Especialización I</x:v>
      </x:c>
      <x:c r="E409" s="445" t="n">
        <x:v>2</x:v>
      </x:c>
      <x:c r="F409" s="445" t="n">
        <x:v>140</x:v>
      </x:c>
      <x:c r="G409" s="445" t="n">
        <x:v>19</x:v>
      </x:c>
      <x:c r="H409" s="445" t="str">
        <x:v>Massachusetts Institute of Technology (MIT); Stanford University; Carnegie Mellon University; University of California, Berkeley; Princeton University; Cornell University</x:v>
      </x:c>
      <x:c r="I409" s="445" t="str">
        <x:v>Cobertura de la familia temática; consultar la fuente oficial antes de atribuir una asignatura literal.</x:v>
      </x:c>
    </x:row>
    <x:row r="410" ht="42" customHeight="1">
      <x:c r="A410" s="442" t="str">
        <x:v>NET-040</x:v>
      </x:c>
      <x:c r="B410" s="442" t="str">
        <x:v>Cloud híbrida y multicloud</x:v>
      </x:c>
      <x:c r="C410" s="442" t="str">
        <x:v>Redes, telecom y cloud</x:v>
      </x:c>
      <x:c r="D410" s="442" t="str">
        <x:v>Especialización I</x:v>
      </x:c>
      <x:c r="E410" s="442" t="n">
        <x:v>2</x:v>
      </x:c>
      <x:c r="F410" s="442" t="n">
        <x:v>140</x:v>
      </x:c>
      <x:c r="G410" s="442" t="n">
        <x:v>19</x:v>
      </x:c>
      <x:c r="H410" s="442" t="str">
        <x:v>Massachusetts Institute of Technology (MIT); Stanford University; Carnegie Mellon University; University of California, Berkeley; Princeton University; Cornell University</x:v>
      </x:c>
      <x:c r="I410" s="442" t="str">
        <x:v>Cobertura de la familia temática; consultar la fuente oficial antes de atribuir una asignatura literal.</x:v>
      </x:c>
    </x:row>
    <x:row r="411" ht="42" customHeight="1">
      <x:c r="A411" s="445" t="str">
        <x:v>ROB-019</x:v>
      </x:c>
      <x:c r="B411" s="445" t="str">
        <x:v>Localización y SLAM</x:v>
      </x:c>
      <x:c r="C411" s="445" t="str">
        <x:v>Robótica y mecatrónica</x:v>
      </x:c>
      <x:c r="D411" s="445" t="str">
        <x:v>Especialización I</x:v>
      </x:c>
      <x:c r="E411" s="445" t="n">
        <x:v>2</x:v>
      </x:c>
      <x:c r="F411" s="445" t="n">
        <x:v>132</x:v>
      </x:c>
      <x:c r="G411" s="445" t="n">
        <x:v>18</x:v>
      </x:c>
      <x:c r="H411" s="445" t="str">
        <x:v>Massachusetts Institute of Technology (MIT); Stanford University; Carnegie Mellon University; University of California, Berkeley; Harvard University; Princeton University</x:v>
      </x:c>
      <x:c r="I411" s="445" t="str">
        <x:v>Cobertura de la familia temática; consultar la fuente oficial antes de atribuir una asignatura literal.</x:v>
      </x:c>
    </x:row>
    <x:row r="412" ht="42" customHeight="1">
      <x:c r="A412" s="442" t="str">
        <x:v>ROB-020</x:v>
      </x:c>
      <x:c r="B412" s="442" t="str">
        <x:v>Manipulación robótica</x:v>
      </x:c>
      <x:c r="C412" s="442" t="str">
        <x:v>Robótica y mecatrónica</x:v>
      </x:c>
      <x:c r="D412" s="442" t="str">
        <x:v>Especialización I</x:v>
      </x:c>
      <x:c r="E412" s="442" t="n">
        <x:v>2</x:v>
      </x:c>
      <x:c r="F412" s="442" t="n">
        <x:v>132</x:v>
      </x:c>
      <x:c r="G412" s="442" t="n">
        <x:v>18</x:v>
      </x:c>
      <x:c r="H412" s="442" t="str">
        <x:v>Massachusetts Institute of Technology (MIT); Stanford University; Carnegie Mellon University; University of California, Berkeley; Harvard University; Princeton University</x:v>
      </x:c>
      <x:c r="I412" s="442" t="str">
        <x:v>Cobertura de la familia temática; consultar la fuente oficial antes de atribuir una asignatura literal.</x:v>
      </x:c>
    </x:row>
    <x:row r="413" ht="42" customHeight="1">
      <x:c r="A413" s="445" t="str">
        <x:v>ROB-021</x:v>
      </x:c>
      <x:c r="B413" s="445" t="str">
        <x:v>Robots móviles</x:v>
      </x:c>
      <x:c r="C413" s="445" t="str">
        <x:v>Robótica y mecatrónica</x:v>
      </x:c>
      <x:c r="D413" s="445" t="str">
        <x:v>Especialización I</x:v>
      </x:c>
      <x:c r="E413" s="445" t="n">
        <x:v>2</x:v>
      </x:c>
      <x:c r="F413" s="445" t="n">
        <x:v>132</x:v>
      </x:c>
      <x:c r="G413" s="445" t="n">
        <x:v>18</x:v>
      </x:c>
      <x:c r="H413" s="445" t="str">
        <x:v>Massachusetts Institute of Technology (MIT); Stanford University; Carnegie Mellon University; University of California, Berkeley; Harvard University; Princeton University</x:v>
      </x:c>
      <x:c r="I413" s="445" t="str">
        <x:v>Cobertura de la familia temática; consultar la fuente oficial antes de atribuir una asignatura literal.</x:v>
      </x:c>
    </x:row>
    <x:row r="414" ht="42" customHeight="1">
      <x:c r="A414" s="442" t="str">
        <x:v>ROB-022</x:v>
      </x:c>
      <x:c r="B414" s="442" t="str">
        <x:v>Robótica industrial</x:v>
      </x:c>
      <x:c r="C414" s="442" t="str">
        <x:v>Robótica y mecatrónica</x:v>
      </x:c>
      <x:c r="D414" s="442" t="str">
        <x:v>Especialización I</x:v>
      </x:c>
      <x:c r="E414" s="442" t="n">
        <x:v>2</x:v>
      </x:c>
      <x:c r="F414" s="442" t="n">
        <x:v>132</x:v>
      </x:c>
      <x:c r="G414" s="442" t="n">
        <x:v>18</x:v>
      </x:c>
      <x:c r="H414" s="442" t="str">
        <x:v>Massachusetts Institute of Technology (MIT); Stanford University; Carnegie Mellon University; University of California, Berkeley; Harvard University; Princeton University</x:v>
      </x:c>
      <x:c r="I414" s="442" t="str">
        <x:v>Cobertura de la familia temática; consultar la fuente oficial antes de atribuir una asignatura literal.</x:v>
      </x:c>
    </x:row>
    <x:row r="415" ht="42" customHeight="1">
      <x:c r="A415" s="445" t="str">
        <x:v>ROB-023</x:v>
      </x:c>
      <x:c r="B415" s="445" t="str">
        <x:v>ROS 2 y middleware robótico</x:v>
      </x:c>
      <x:c r="C415" s="445" t="str">
        <x:v>Robótica y mecatrónica</x:v>
      </x:c>
      <x:c r="D415" s="445" t="str">
        <x:v>Especialización I</x:v>
      </x:c>
      <x:c r="E415" s="445" t="n">
        <x:v>2</x:v>
      </x:c>
      <x:c r="F415" s="445" t="n">
        <x:v>132</x:v>
      </x:c>
      <x:c r="G415" s="445" t="n">
        <x:v>18</x:v>
      </x:c>
      <x:c r="H415" s="445" t="str">
        <x:v>Massachusetts Institute of Technology (MIT); Stanford University; Carnegie Mellon University; University of California, Berkeley; Harvard University; Princeton University</x:v>
      </x:c>
      <x:c r="I415" s="445" t="str">
        <x:v>Cobertura de la familia temática; consultar la fuente oficial antes de atribuir una asignatura literal.</x:v>
      </x:c>
    </x:row>
    <x:row r="416" ht="42" customHeight="1">
      <x:c r="A416" s="442" t="str">
        <x:v>ROB-024</x:v>
      </x:c>
      <x:c r="B416" s="442" t="str">
        <x:v>Drones y vehículos autónomos</x:v>
      </x:c>
      <x:c r="C416" s="442" t="str">
        <x:v>Robótica y mecatrónica</x:v>
      </x:c>
      <x:c r="D416" s="442" t="str">
        <x:v>Especialización I</x:v>
      </x:c>
      <x:c r="E416" s="442" t="n">
        <x:v>2</x:v>
      </x:c>
      <x:c r="F416" s="442" t="n">
        <x:v>132</x:v>
      </x:c>
      <x:c r="G416" s="442" t="n">
        <x:v>18</x:v>
      </x:c>
      <x:c r="H416" s="442" t="str">
        <x:v>Massachusetts Institute of Technology (MIT); Stanford University; Carnegie Mellon University; University of California, Berkeley; Harvard University; Princeton University</x:v>
      </x:c>
      <x:c r="I416" s="442" t="str">
        <x:v>Cobertura de la familia temática; consultar la fuente oficial antes de atribuir una asignatura literal.</x:v>
      </x:c>
    </x:row>
    <x:row r="417" ht="42" customHeight="1">
      <x:c r="A417" s="445" t="str">
        <x:v>ISM-022</x:v>
      </x:c>
      <x:c r="B417" s="445" t="str">
        <x:v>Emprendimiento tecnológico</x:v>
      </x:c>
      <x:c r="C417" s="445" t="str">
        <x:v>Sistemas de información y gestión TI</x:v>
      </x:c>
      <x:c r="D417" s="445" t="str">
        <x:v>Especialización I</x:v>
      </x:c>
      <x:c r="E417" s="445" t="n">
        <x:v>2</x:v>
      </x:c>
      <x:c r="F417" s="445" t="n">
        <x:v>54</x:v>
      </x:c>
      <x:c r="G417" s="445" t="n">
        <x:v>7</x:v>
      </x:c>
      <x:c r="H417" s="445" t="str">
        <x:v>Carnegie Mellon University; Cornell University; University of Illinois Urbana-Champaign; Georgia Institute of Technology; University of Washington; New York University</x:v>
      </x:c>
      <x:c r="I417" s="445" t="str">
        <x:v>Cobertura de la familia temática; consultar la fuente oficial antes de atribuir una asignatura literal.</x:v>
      </x:c>
    </x:row>
    <x:row r="418" ht="42" customHeight="1">
      <x:c r="A418" s="442" t="str">
        <x:v>ISM-023</x:v>
      </x:c>
      <x:c r="B418" s="442" t="str">
        <x:v>Innovación y diseño de servicios</x:v>
      </x:c>
      <x:c r="C418" s="442" t="str">
        <x:v>Sistemas de información y gestión TI</x:v>
      </x:c>
      <x:c r="D418" s="442" t="str">
        <x:v>Especialización I</x:v>
      </x:c>
      <x:c r="E418" s="442" t="n">
        <x:v>2</x:v>
      </x:c>
      <x:c r="F418" s="442" t="n">
        <x:v>54</x:v>
      </x:c>
      <x:c r="G418" s="442" t="n">
        <x:v>7</x:v>
      </x:c>
      <x:c r="H418" s="442" t="str">
        <x:v>Carnegie Mellon University; Cornell University; University of Illinois Urbana-Champaign; Georgia Institute of Technology; University of Washington; New York University</x:v>
      </x:c>
      <x:c r="I418" s="442" t="str">
        <x:v>Cobertura de la familia temática; consultar la fuente oficial antes de atribuir una asignatura literal.</x:v>
      </x:c>
    </x:row>
    <x:row r="419" ht="42" customHeight="1">
      <x:c r="A419" s="445" t="str">
        <x:v>ISM-024</x:v>
      </x:c>
      <x:c r="B419" s="445" t="str">
        <x:v>Liderazgo de equipos técnicos</x:v>
      </x:c>
      <x:c r="C419" s="445" t="str">
        <x:v>Sistemas de información y gestión TI</x:v>
      </x:c>
      <x:c r="D419" s="445" t="str">
        <x:v>Especialización I</x:v>
      </x:c>
      <x:c r="E419" s="445" t="n">
        <x:v>2</x:v>
      </x:c>
      <x:c r="F419" s="445" t="n">
        <x:v>54</x:v>
      </x:c>
      <x:c r="G419" s="445" t="n">
        <x:v>7</x:v>
      </x:c>
      <x:c r="H419" s="445" t="str">
        <x:v>Carnegie Mellon University; Cornell University; University of Illinois Urbana-Champaign; Georgia Institute of Technology; University of Washington; New York University</x:v>
      </x:c>
      <x:c r="I419" s="445" t="str">
        <x:v>Cobertura de la familia temática; consultar la fuente oficial antes de atribuir una asignatura literal.</x:v>
      </x:c>
    </x:row>
    <x:row r="420" ht="42" customHeight="1">
      <x:c r="A420" s="442" t="str">
        <x:v>SYS-019</x:v>
      </x:c>
      <x:c r="B420" s="442" t="str">
        <x:v>Diseño de sistemas a gran escala</x:v>
      </x:c>
      <x:c r="C420" s="442" t="str">
        <x:v>Sistemas y arquitectura</x:v>
      </x:c>
      <x:c r="D420" s="442" t="str">
        <x:v>Especialización I</x:v>
      </x:c>
      <x:c r="E420" s="442" t="n">
        <x:v>1</x:v>
      </x:c>
      <x:c r="F420" s="442" t="n">
        <x:v>146</x:v>
      </x:c>
      <x:c r="G420" s="442" t="n">
        <x:v>19</x:v>
      </x:c>
      <x:c r="H420" s="442" t="str">
        <x:v>Massachusetts Institute of Technology (MIT); Stanford University; Carnegie Mellon University; University of California, Berkeley; Harvard University; Princeton University</x:v>
      </x:c>
      <x:c r="I420" s="442" t="str">
        <x:v>Cobertura de la familia temática; consultar la fuente oficial antes de atribuir una asignatura literal.</x:v>
      </x:c>
    </x:row>
    <x:row r="421" ht="42" customHeight="1">
      <x:c r="A421" s="445" t="str">
        <x:v>BIO-001</x:v>
      </x:c>
      <x:c r="B421" s="445" t="str">
        <x:v>Biología celular y molecular</x:v>
      </x:c>
      <x:c r="C421" s="445" t="str">
        <x:v>Bioinformática y salud digital</x:v>
      </x:c>
      <x:c r="D421" s="445" t="str">
        <x:v>Especialización II</x:v>
      </x:c>
      <x:c r="E421" s="445" t="n">
        <x:v>3</x:v>
      </x:c>
      <x:c r="F421" s="445" t="n">
        <x:v>93</x:v>
      </x:c>
      <x:c r="G421" s="445" t="n">
        <x:v>16</x:v>
      </x:c>
      <x:c r="H421" s="445" t="str">
        <x:v>Massachusetts Institute of Technology (MIT); Stanford University; Carnegie Mellon University; University of California, Berkeley; Harvard University; Princeton University</x:v>
      </x:c>
      <x:c r="I421" s="445" t="str">
        <x:v>Cobertura de la familia temática; consultar la fuente oficial antes de atribuir una asignatura literal.</x:v>
      </x:c>
    </x:row>
    <x:row r="422" ht="42" customHeight="1">
      <x:c r="A422" s="442" t="str">
        <x:v>BIO-002</x:v>
      </x:c>
      <x:c r="B422" s="442" t="str">
        <x:v>Genética</x:v>
      </x:c>
      <x:c r="C422" s="442" t="str">
        <x:v>Bioinformática y salud digital</x:v>
      </x:c>
      <x:c r="D422" s="442" t="str">
        <x:v>Especialización II</x:v>
      </x:c>
      <x:c r="E422" s="442" t="n">
        <x:v>3</x:v>
      </x:c>
      <x:c r="F422" s="442" t="n">
        <x:v>93</x:v>
      </x:c>
      <x:c r="G422" s="442" t="n">
        <x:v>16</x:v>
      </x:c>
      <x:c r="H422" s="442" t="str">
        <x:v>Massachusetts Institute of Technology (MIT); Stanford University; Carnegie Mellon University; University of California, Berkeley; Harvard University; Princeton University</x:v>
      </x:c>
      <x:c r="I422" s="442" t="str">
        <x:v>Cobertura de la familia temática; consultar la fuente oficial antes de atribuir una asignatura literal.</x:v>
      </x:c>
    </x:row>
    <x:row r="423" ht="42" customHeight="1">
      <x:c r="A423" s="445" t="str">
        <x:v>BIO-003</x:v>
      </x:c>
      <x:c r="B423" s="445" t="str">
        <x:v>Bioquímica</x:v>
      </x:c>
      <x:c r="C423" s="445" t="str">
        <x:v>Bioinformática y salud digital</x:v>
      </x:c>
      <x:c r="D423" s="445" t="str">
        <x:v>Especialización II</x:v>
      </x:c>
      <x:c r="E423" s="445" t="n">
        <x:v>3</x:v>
      </x:c>
      <x:c r="F423" s="445" t="n">
        <x:v>93</x:v>
      </x:c>
      <x:c r="G423" s="445" t="n">
        <x:v>16</x:v>
      </x:c>
      <x:c r="H423" s="445" t="str">
        <x:v>Massachusetts Institute of Technology (MIT); Stanford University; Carnegie Mellon University; University of California, Berkeley; Harvard University; Princeton University</x:v>
      </x:c>
      <x:c r="I423" s="445" t="str">
        <x:v>Cobertura de la familia temática; consultar la fuente oficial antes de atribuir una asignatura literal.</x:v>
      </x:c>
    </x:row>
    <x:row r="424" ht="42" customHeight="1">
      <x:c r="A424" s="442" t="str">
        <x:v>BIO-004</x:v>
      </x:c>
      <x:c r="B424" s="442" t="str">
        <x:v>Bioestadística</x:v>
      </x:c>
      <x:c r="C424" s="442" t="str">
        <x:v>Bioinformática y salud digital</x:v>
      </x:c>
      <x:c r="D424" s="442" t="str">
        <x:v>Especialización II</x:v>
      </x:c>
      <x:c r="E424" s="442" t="n">
        <x:v>3</x:v>
      </x:c>
      <x:c r="F424" s="442" t="n">
        <x:v>93</x:v>
      </x:c>
      <x:c r="G424" s="442" t="n">
        <x:v>16</x:v>
      </x:c>
      <x:c r="H424" s="442" t="str">
        <x:v>Massachusetts Institute of Technology (MIT); Stanford University; Carnegie Mellon University; University of California, Berkeley; Harvard University; Princeton University</x:v>
      </x:c>
      <x:c r="I424" s="442" t="str">
        <x:v>Cobertura de la familia temática; consultar la fuente oficial antes de atribuir una asignatura literal.</x:v>
      </x:c>
    </x:row>
    <x:row r="425" ht="42" customHeight="1">
      <x:c r="A425" s="445" t="str">
        <x:v>BIO-005</x:v>
      </x:c>
      <x:c r="B425" s="445" t="str">
        <x:v>Bioinformática I</x:v>
      </x:c>
      <x:c r="C425" s="445" t="str">
        <x:v>Bioinformática y salud digital</x:v>
      </x:c>
      <x:c r="D425" s="445" t="str">
        <x:v>Especialización II</x:v>
      </x:c>
      <x:c r="E425" s="445" t="n">
        <x:v>3</x:v>
      </x:c>
      <x:c r="F425" s="445" t="n">
        <x:v>93</x:v>
      </x:c>
      <x:c r="G425" s="445" t="n">
        <x:v>16</x:v>
      </x:c>
      <x:c r="H425" s="445" t="str">
        <x:v>Massachusetts Institute of Technology (MIT); Stanford University; Carnegie Mellon University; University of California, Berkeley; Harvard University; Princeton University</x:v>
      </x:c>
      <x:c r="I425" s="445" t="str">
        <x:v>Cobertura de la familia temática; consultar la fuente oficial antes de atribuir una asignatura literal.</x:v>
      </x:c>
    </x:row>
    <x:row r="426" ht="42" customHeight="1">
      <x:c r="A426" s="442" t="str">
        <x:v>BIO-006</x:v>
      </x:c>
      <x:c r="B426" s="442" t="str">
        <x:v>Bioinformática II</x:v>
      </x:c>
      <x:c r="C426" s="442" t="str">
        <x:v>Bioinformática y salud digital</x:v>
      </x:c>
      <x:c r="D426" s="442" t="str">
        <x:v>Especialización II</x:v>
      </x:c>
      <x:c r="E426" s="442" t="n">
        <x:v>3</x:v>
      </x:c>
      <x:c r="F426" s="442" t="n">
        <x:v>93</x:v>
      </x:c>
      <x:c r="G426" s="442" t="n">
        <x:v>16</x:v>
      </x:c>
      <x:c r="H426" s="442" t="str">
        <x:v>Massachusetts Institute of Technology (MIT); Stanford University; Carnegie Mellon University; University of California, Berkeley; Harvard University; Princeton University</x:v>
      </x:c>
      <x:c r="I426" s="442" t="str">
        <x:v>Cobertura de la familia temática; consultar la fuente oficial antes de atribuir una asignatura literal.</x:v>
      </x:c>
    </x:row>
    <x:row r="427" ht="42" customHeight="1">
      <x:c r="A427" s="445" t="str">
        <x:v>BIO-015</x:v>
      </x:c>
      <x:c r="B427" s="445" t="str">
        <x:v>Fundamentos de informática de salud</x:v>
      </x:c>
      <x:c r="C427" s="445" t="str">
        <x:v>Bioinformática y salud digital</x:v>
      </x:c>
      <x:c r="D427" s="445" t="str">
        <x:v>Especialización II</x:v>
      </x:c>
      <x:c r="E427" s="445" t="n">
        <x:v>3</x:v>
      </x:c>
      <x:c r="F427" s="445" t="n">
        <x:v>93</x:v>
      </x:c>
      <x:c r="G427" s="445" t="n">
        <x:v>16</x:v>
      </x:c>
      <x:c r="H427" s="445" t="str">
        <x:v>Massachusetts Institute of Technology (MIT); Stanford University; Carnegie Mellon University; University of California, Berkeley; Harvard University; Princeton University</x:v>
      </x:c>
      <x:c r="I427" s="445" t="str">
        <x:v>Cobertura de la familia temática; consultar la fuente oficial antes de atribuir una asignatura literal.</x:v>
      </x:c>
    </x:row>
    <x:row r="428" ht="42" customHeight="1">
      <x:c r="A428" s="442" t="str">
        <x:v>BIO-016</x:v>
      </x:c>
      <x:c r="B428" s="442" t="str">
        <x:v>Epidemiología y salud pública</x:v>
      </x:c>
      <x:c r="C428" s="442" t="str">
        <x:v>Bioinformática y salud digital</x:v>
      </x:c>
      <x:c r="D428" s="442" t="str">
        <x:v>Especialización II</x:v>
      </x:c>
      <x:c r="E428" s="442" t="n">
        <x:v>3</x:v>
      </x:c>
      <x:c r="F428" s="442" t="n">
        <x:v>93</x:v>
      </x:c>
      <x:c r="G428" s="442" t="n">
        <x:v>16</x:v>
      </x:c>
      <x:c r="H428" s="442" t="str">
        <x:v>Massachusetts Institute of Technology (MIT); Stanford University; Carnegie Mellon University; University of California, Berkeley; Harvard University; Princeton University</x:v>
      </x:c>
      <x:c r="I428" s="442" t="str">
        <x:v>Cobertura de la familia temática; consultar la fuente oficial antes de atribuir una asignatura literal.</x:v>
      </x:c>
    </x:row>
    <x:row r="429" ht="42" customHeight="1">
      <x:c r="A429" s="445" t="str">
        <x:v>BIO-017</x:v>
      </x:c>
      <x:c r="B429" s="445" t="str">
        <x:v>Sistemas de información clínica</x:v>
      </x:c>
      <x:c r="C429" s="445" t="str">
        <x:v>Bioinformática y salud digital</x:v>
      </x:c>
      <x:c r="D429" s="445" t="str">
        <x:v>Especialización II</x:v>
      </x:c>
      <x:c r="E429" s="445" t="n">
        <x:v>3</x:v>
      </x:c>
      <x:c r="F429" s="445" t="n">
        <x:v>93</x:v>
      </x:c>
      <x:c r="G429" s="445" t="n">
        <x:v>16</x:v>
      </x:c>
      <x:c r="H429" s="445" t="str">
        <x:v>Massachusetts Institute of Technology (MIT); Stanford University; Carnegie Mellon University; University of California, Berkeley; Harvard University; Princeton University</x:v>
      </x:c>
      <x:c r="I429" s="445" t="str">
        <x:v>Cobertura de la familia temática; consultar la fuente oficial antes de atribuir una asignatura literal.</x:v>
      </x:c>
    </x:row>
    <x:row r="430" ht="42" customHeight="1">
      <x:c r="A430" s="442" t="str">
        <x:v>BIO-018</x:v>
      </x:c>
      <x:c r="B430" s="442" t="str">
        <x:v>Historias clínicas electrónicas</x:v>
      </x:c>
      <x:c r="C430" s="442" t="str">
        <x:v>Bioinformática y salud digital</x:v>
      </x:c>
      <x:c r="D430" s="442" t="str">
        <x:v>Especialización II</x:v>
      </x:c>
      <x:c r="E430" s="442" t="n">
        <x:v>3</x:v>
      </x:c>
      <x:c r="F430" s="442" t="n">
        <x:v>93</x:v>
      </x:c>
      <x:c r="G430" s="442" t="n">
        <x:v>16</x:v>
      </x:c>
      <x:c r="H430" s="442" t="str">
        <x:v>Massachusetts Institute of Technology (MIT); Stanford University; Carnegie Mellon University; University of California, Berkeley; Harvard University; Princeton University</x:v>
      </x:c>
      <x:c r="I430" s="442" t="str">
        <x:v>Cobertura de la familia temática; consultar la fuente oficial antes de atribuir una asignatura literal.</x:v>
      </x:c>
    </x:row>
    <x:row r="431" ht="42" customHeight="1">
      <x:c r="A431" s="445" t="str">
        <x:v>BIO-019</x:v>
      </x:c>
      <x:c r="B431" s="445" t="str">
        <x:v>Interoperabilidad HL7, FHIR y DICOM</x:v>
      </x:c>
      <x:c r="C431" s="445" t="str">
        <x:v>Bioinformática y salud digital</x:v>
      </x:c>
      <x:c r="D431" s="445" t="str">
        <x:v>Especialización II</x:v>
      </x:c>
      <x:c r="E431" s="445" t="n">
        <x:v>3</x:v>
      </x:c>
      <x:c r="F431" s="445" t="n">
        <x:v>93</x:v>
      </x:c>
      <x:c r="G431" s="445" t="n">
        <x:v>16</x:v>
      </x:c>
      <x:c r="H431" s="445" t="str">
        <x:v>Massachusetts Institute of Technology (MIT); Stanford University; Carnegie Mellon University; University of California, Berkeley; Harvard University; Princeton University</x:v>
      </x:c>
      <x:c r="I431" s="445" t="str">
        <x:v>Cobertura de la familia temática; consultar la fuente oficial antes de atribuir una asignatura literal.</x:v>
      </x:c>
    </x:row>
    <x:row r="432" ht="42" customHeight="1">
      <x:c r="A432" s="442" t="str">
        <x:v>BIO-020</x:v>
      </x:c>
      <x:c r="B432" s="442" t="str">
        <x:v>Terminologías y ontologías clínicas</x:v>
      </x:c>
      <x:c r="C432" s="442" t="str">
        <x:v>Bioinformática y salud digital</x:v>
      </x:c>
      <x:c r="D432" s="442" t="str">
        <x:v>Especialización II</x:v>
      </x:c>
      <x:c r="E432" s="442" t="n">
        <x:v>3</x:v>
      </x:c>
      <x:c r="F432" s="442" t="n">
        <x:v>93</x:v>
      </x:c>
      <x:c r="G432" s="442" t="n">
        <x:v>16</x:v>
      </x:c>
      <x:c r="H432" s="442" t="str">
        <x:v>Massachusetts Institute of Technology (MIT); Stanford University; Carnegie Mellon University; University of California, Berkeley; Harvard University; Princeton University</x:v>
      </x:c>
      <x:c r="I432" s="442" t="str">
        <x:v>Cobertura de la familia temática; consultar la fuente oficial antes de atribuir una asignatura literal.</x:v>
      </x:c>
    </x:row>
    <x:row r="433" ht="42" customHeight="1">
      <x:c r="A433" s="445" t="str">
        <x:v>CYB-022</x:v>
      </x:c>
      <x:c r="B433" s="445" t="str">
        <x:v>Ingeniería inversa</x:v>
      </x:c>
      <x:c r="C433" s="445" t="str">
        <x:v>Ciberseguridad, forense y auditoría</x:v>
      </x:c>
      <x:c r="D433" s="445" t="str">
        <x:v>Especialización II</x:v>
      </x:c>
      <x:c r="E433" s="445" t="n">
        <x:v>2</x:v>
      </x:c>
      <x:c r="F433" s="445" t="n">
        <x:v>145</x:v>
      </x:c>
      <x:c r="G433" s="445" t="n">
        <x:v>19</x:v>
      </x:c>
      <x:c r="H433" s="445" t="str">
        <x:v>Massachusetts Institute of Technology (MIT); Stanford University; Carnegie Mellon University; University of California, Berkeley; Harvard University; Princeton University</x:v>
      </x:c>
      <x:c r="I433" s="445" t="str">
        <x:v>Cobertura de la familia temática; consultar la fuente oficial antes de atribuir una asignatura literal.</x:v>
      </x:c>
    </x:row>
    <x:row r="434" ht="42" customHeight="1">
      <x:c r="A434" s="442" t="str">
        <x:v>CYB-023</x:v>
      </x:c>
      <x:c r="B434" s="442" t="str">
        <x:v>DevSecOps</x:v>
      </x:c>
      <x:c r="C434" s="442" t="str">
        <x:v>Ciberseguridad, forense y auditoría</x:v>
      </x:c>
      <x:c r="D434" s="442" t="str">
        <x:v>Especialización II</x:v>
      </x:c>
      <x:c r="E434" s="442" t="n">
        <x:v>2</x:v>
      </x:c>
      <x:c r="F434" s="442" t="n">
        <x:v>145</x:v>
      </x:c>
      <x:c r="G434" s="442" t="n">
        <x:v>19</x:v>
      </x:c>
      <x:c r="H434" s="442" t="str">
        <x:v>Massachusetts Institute of Technology (MIT); Stanford University; Carnegie Mellon University; University of California, Berkeley; Harvard University; Princeton University</x:v>
      </x:c>
      <x:c r="I434" s="442" t="str">
        <x:v>Cobertura de la familia temática; consultar la fuente oficial antes de atribuir una asignatura literal.</x:v>
      </x:c>
    </x:row>
    <x:row r="435" ht="42" customHeight="1">
      <x:c r="A435" s="445" t="str">
        <x:v>CYB-024</x:v>
      </x:c>
      <x:c r="B435" s="445" t="str">
        <x:v>Privacidad y protección de datos</x:v>
      </x:c>
      <x:c r="C435" s="445" t="str">
        <x:v>Ciberseguridad, forense y auditoría</x:v>
      </x:c>
      <x:c r="D435" s="445" t="str">
        <x:v>Especialización II</x:v>
      </x:c>
      <x:c r="E435" s="445" t="n">
        <x:v>2</x:v>
      </x:c>
      <x:c r="F435" s="445" t="n">
        <x:v>145</x:v>
      </x:c>
      <x:c r="G435" s="445" t="n">
        <x:v>19</x:v>
      </x:c>
      <x:c r="H435" s="445" t="str">
        <x:v>Massachusetts Institute of Technology (MIT); Stanford University; Carnegie Mellon University; University of California, Berkeley; Harvard University; Princeton University</x:v>
      </x:c>
      <x:c r="I435" s="445" t="str">
        <x:v>Cobertura de la familia temática; consultar la fuente oficial antes de atribuir una asignatura literal.</x:v>
      </x:c>
    </x:row>
    <x:row r="436" ht="42" customHeight="1">
      <x:c r="A436" s="442" t="str">
        <x:v>CYB-025</x:v>
      </x:c>
      <x:c r="B436" s="442" t="str">
        <x:v>Gobierno de seguridad de la información</x:v>
      </x:c>
      <x:c r="C436" s="442" t="str">
        <x:v>Ciberseguridad, forense y auditoría</x:v>
      </x:c>
      <x:c r="D436" s="442" t="str">
        <x:v>Especialización II</x:v>
      </x:c>
      <x:c r="E436" s="442" t="n">
        <x:v>2</x:v>
      </x:c>
      <x:c r="F436" s="442" t="n">
        <x:v>145</x:v>
      </x:c>
      <x:c r="G436" s="442" t="n">
        <x:v>19</x:v>
      </x:c>
      <x:c r="H436" s="442" t="str">
        <x:v>Massachusetts Institute of Technology (MIT); Stanford University; Carnegie Mellon University; University of California, Berkeley; Harvard University; Princeton University</x:v>
      </x:c>
      <x:c r="I436" s="442" t="str">
        <x:v>Cobertura de la familia temática; consultar la fuente oficial antes de atribuir una asignatura literal.</x:v>
      </x:c>
    </x:row>
    <x:row r="437" ht="42" customHeight="1">
      <x:c r="A437" s="445" t="str">
        <x:v>CYB-026</x:v>
      </x:c>
      <x:c r="B437" s="445" t="str">
        <x:v>Gestión de riesgos tecnológicos</x:v>
      </x:c>
      <x:c r="C437" s="445" t="str">
        <x:v>Ciberseguridad, forense y auditoría</x:v>
      </x:c>
      <x:c r="D437" s="445" t="str">
        <x:v>Especialización II</x:v>
      </x:c>
      <x:c r="E437" s="445" t="n">
        <x:v>2</x:v>
      </x:c>
      <x:c r="F437" s="445" t="n">
        <x:v>145</x:v>
      </x:c>
      <x:c r="G437" s="445" t="n">
        <x:v>19</x:v>
      </x:c>
      <x:c r="H437" s="445" t="str">
        <x:v>Massachusetts Institute of Technology (MIT); Stanford University; Carnegie Mellon University; University of California, Berkeley; Harvard University; Princeton University</x:v>
      </x:c>
      <x:c r="I437" s="445" t="str">
        <x:v>Cobertura de la familia temática; consultar la fuente oficial antes de atribuir una asignatura literal.</x:v>
      </x:c>
    </x:row>
    <x:row r="438" ht="42" customHeight="1">
      <x:c r="A438" s="442" t="str">
        <x:v>CYB-027</x:v>
      </x:c>
      <x:c r="B438" s="442" t="str">
        <x:v>ISO 27001, NIST CSF y marcos de control</x:v>
      </x:c>
      <x:c r="C438" s="442" t="str">
        <x:v>Ciberseguridad, forense y auditoría</x:v>
      </x:c>
      <x:c r="D438" s="442" t="str">
        <x:v>Especialización II</x:v>
      </x:c>
      <x:c r="E438" s="442" t="n">
        <x:v>2</x:v>
      </x:c>
      <x:c r="F438" s="442" t="n">
        <x:v>145</x:v>
      </x:c>
      <x:c r="G438" s="442" t="n">
        <x:v>19</x:v>
      </x:c>
      <x:c r="H438" s="442" t="str">
        <x:v>Massachusetts Institute of Technology (MIT); Stanford University; Carnegie Mellon University; University of California, Berkeley; Harvard University; Princeton University</x:v>
      </x:c>
      <x:c r="I438" s="442" t="str">
        <x:v>Cobertura de la familia temática; consultar la fuente oficial antes de atribuir una asignatura literal.</x:v>
      </x:c>
    </x:row>
    <x:row r="439" ht="42" customHeight="1">
      <x:c r="A439" s="445" t="str">
        <x:v>CYB-028</x:v>
      </x:c>
      <x:c r="B439" s="445" t="str">
        <x:v>Continuidad del negocio y resiliencia</x:v>
      </x:c>
      <x:c r="C439" s="445" t="str">
        <x:v>Ciberseguridad, forense y auditoría</x:v>
      </x:c>
      <x:c r="D439" s="445" t="str">
        <x:v>Especialización II</x:v>
      </x:c>
      <x:c r="E439" s="445" t="n">
        <x:v>2</x:v>
      </x:c>
      <x:c r="F439" s="445" t="n">
        <x:v>145</x:v>
      </x:c>
      <x:c r="G439" s="445" t="n">
        <x:v>19</x:v>
      </x:c>
      <x:c r="H439" s="445" t="str">
        <x:v>Massachusetts Institute of Technology (MIT); Stanford University; Carnegie Mellon University; University of California, Berkeley; Harvard University; Princeton University</x:v>
      </x:c>
      <x:c r="I439" s="445" t="str">
        <x:v>Cobertura de la familia temática; consultar la fuente oficial antes de atribuir una asignatura literal.</x:v>
      </x:c>
    </x:row>
    <x:row r="440" ht="42" customHeight="1">
      <x:c r="A440" s="442" t="str">
        <x:v>CYB-036</x:v>
      </x:c>
      <x:c r="B440" s="442" t="str">
        <x:v>Seguridad de contraseñas y autenticación</x:v>
      </x:c>
      <x:c r="C440" s="442" t="str">
        <x:v>Ciberseguridad, forense y auditoría</x:v>
      </x:c>
      <x:c r="D440" s="442" t="str">
        <x:v>Especialización II</x:v>
      </x:c>
      <x:c r="E440" s="442" t="n">
        <x:v>2</x:v>
      </x:c>
      <x:c r="F440" s="442" t="n">
        <x:v>145</x:v>
      </x:c>
      <x:c r="G440" s="442" t="n">
        <x:v>19</x:v>
      </x:c>
      <x:c r="H440" s="442" t="str">
        <x:v>Massachusetts Institute of Technology (MIT); Stanford University; Carnegie Mellon University; University of California, Berkeley; Harvard University; Princeton University</x:v>
      </x:c>
      <x:c r="I440" s="442" t="str">
        <x:v>Cobertura de la familia temática; consultar la fuente oficial antes de atribuir una asignatura literal.</x:v>
      </x:c>
    </x:row>
    <x:row r="441" ht="42" customHeight="1">
      <x:c r="A441" s="445" t="str">
        <x:v>CYB-037</x:v>
      </x:c>
      <x:c r="B441" s="445" t="str">
        <x:v>Escalada de privilegios en Linux</x:v>
      </x:c>
      <x:c r="C441" s="445" t="str">
        <x:v>Ciberseguridad, forense y auditoría</x:v>
      </x:c>
      <x:c r="D441" s="445" t="str">
        <x:v>Especialización II</x:v>
      </x:c>
      <x:c r="E441" s="445" t="n">
        <x:v>2</x:v>
      </x:c>
      <x:c r="F441" s="445" t="n">
        <x:v>145</x:v>
      </x:c>
      <x:c r="G441" s="445" t="n">
        <x:v>19</x:v>
      </x:c>
      <x:c r="H441" s="445" t="str">
        <x:v>Massachusetts Institute of Technology (MIT); Stanford University; Carnegie Mellon University; University of California, Berkeley; Harvard University; Princeton University</x:v>
      </x:c>
      <x:c r="I441" s="445" t="str">
        <x:v>Cobertura de la familia temática; consultar la fuente oficial antes de atribuir una asignatura literal.</x:v>
      </x:c>
    </x:row>
    <x:row r="442" ht="42" customHeight="1">
      <x:c r="A442" s="442" t="str">
        <x:v>CYB-038</x:v>
      </x:c>
      <x:c r="B442" s="442" t="str">
        <x:v>Escalada de privilegios en Windows</x:v>
      </x:c>
      <x:c r="C442" s="442" t="str">
        <x:v>Ciberseguridad, forense y auditoría</x:v>
      </x:c>
      <x:c r="D442" s="442" t="str">
        <x:v>Especialización II</x:v>
      </x:c>
      <x:c r="E442" s="442" t="n">
        <x:v>2</x:v>
      </x:c>
      <x:c r="F442" s="442" t="n">
        <x:v>145</x:v>
      </x:c>
      <x:c r="G442" s="442" t="n">
        <x:v>19</x:v>
      </x:c>
      <x:c r="H442" s="442" t="str">
        <x:v>Massachusetts Institute of Technology (MIT); Stanford University; Carnegie Mellon University; University of California, Berkeley; Harvard University; Princeton University</x:v>
      </x:c>
      <x:c r="I442" s="442" t="str">
        <x:v>Cobertura de la familia temática; consultar la fuente oficial antes de atribuir una asignatura literal.</x:v>
      </x:c>
    </x:row>
    <x:row r="443" ht="42" customHeight="1">
      <x:c r="A443" s="445" t="str">
        <x:v>CYB-039</x:v>
      </x:c>
      <x:c r="B443" s="445" t="str">
        <x:v>Explotación controlada y desarrollo de exploits</x:v>
      </x:c>
      <x:c r="C443" s="445" t="str">
        <x:v>Ciberseguridad, forense y auditoría</x:v>
      </x:c>
      <x:c r="D443" s="445" t="str">
        <x:v>Especialización II</x:v>
      </x:c>
      <x:c r="E443" s="445" t="n">
        <x:v>2</x:v>
      </x:c>
      <x:c r="F443" s="445" t="n">
        <x:v>145</x:v>
      </x:c>
      <x:c r="G443" s="445" t="n">
        <x:v>19</x:v>
      </x:c>
      <x:c r="H443" s="445" t="str">
        <x:v>Massachusetts Institute of Technology (MIT); Stanford University; Carnegie Mellon University; University of California, Berkeley; Harvard University; Princeton University</x:v>
      </x:c>
      <x:c r="I443" s="445" t="str">
        <x:v>Cobertura de la familia temática; consultar la fuente oficial antes de atribuir una asignatura literal.</x:v>
      </x:c>
    </x:row>
    <x:row r="444" ht="42" customHeight="1">
      <x:c r="A444" s="442" t="str">
        <x:v>CYB-040</x:v>
      </x:c>
      <x:c r="B444" s="442" t="str">
        <x:v>Red Team</x:v>
      </x:c>
      <x:c r="C444" s="442" t="str">
        <x:v>Ciberseguridad, forense y auditoría</x:v>
      </x:c>
      <x:c r="D444" s="442" t="str">
        <x:v>Especialización II</x:v>
      </x:c>
      <x:c r="E444" s="442" t="n">
        <x:v>2</x:v>
      </x:c>
      <x:c r="F444" s="442" t="n">
        <x:v>145</x:v>
      </x:c>
      <x:c r="G444" s="442" t="n">
        <x:v>19</x:v>
      </x:c>
      <x:c r="H444" s="442" t="str">
        <x:v>Massachusetts Institute of Technology (MIT); Stanford University; Carnegie Mellon University; University of California, Berkeley; Harvard University; Princeton University</x:v>
      </x:c>
      <x:c r="I444" s="442" t="str">
        <x:v>Cobertura de la familia temática; consultar la fuente oficial antes de atribuir una asignatura literal.</x:v>
      </x:c>
    </x:row>
    <x:row r="445" ht="42" customHeight="1">
      <x:c r="A445" s="445" t="str">
        <x:v>CYB-052</x:v>
      </x:c>
      <x:c r="B445" s="445" t="str">
        <x:v>Forense cloud</x:v>
      </x:c>
      <x:c r="C445" s="445" t="str">
        <x:v>Ciberseguridad, forense y auditoría</x:v>
      </x:c>
      <x:c r="D445" s="445" t="str">
        <x:v>Especialización II</x:v>
      </x:c>
      <x:c r="E445" s="445" t="n">
        <x:v>2</x:v>
      </x:c>
      <x:c r="F445" s="445" t="n">
        <x:v>145</x:v>
      </x:c>
      <x:c r="G445" s="445" t="n">
        <x:v>19</x:v>
      </x:c>
      <x:c r="H445" s="445" t="str">
        <x:v>Massachusetts Institute of Technology (MIT); Stanford University; Carnegie Mellon University; University of California, Berkeley; Harvard University; Princeton University</x:v>
      </x:c>
      <x:c r="I445" s="445" t="str">
        <x:v>Cobertura de la familia temática; consultar la fuente oficial antes de atribuir una asignatura literal.</x:v>
      </x:c>
    </x:row>
    <x:row r="446" ht="42" customHeight="1">
      <x:c r="A446" s="442" t="str">
        <x:v>CYB-053</x:v>
      </x:c>
      <x:c r="B446" s="442" t="str">
        <x:v>Forense de malware</x:v>
      </x:c>
      <x:c r="C446" s="442" t="str">
        <x:v>Ciberseguridad, forense y auditoría</x:v>
      </x:c>
      <x:c r="D446" s="442" t="str">
        <x:v>Especialización II</x:v>
      </x:c>
      <x:c r="E446" s="442" t="n">
        <x:v>2</x:v>
      </x:c>
      <x:c r="F446" s="442" t="n">
        <x:v>145</x:v>
      </x:c>
      <x:c r="G446" s="442" t="n">
        <x:v>19</x:v>
      </x:c>
      <x:c r="H446" s="442" t="str">
        <x:v>Massachusetts Institute of Technology (MIT); Stanford University; Carnegie Mellon University; University of California, Berkeley; Harvard University; Princeton University</x:v>
      </x:c>
      <x:c r="I446" s="442" t="str">
        <x:v>Cobertura de la familia temática; consultar la fuente oficial antes de atribuir una asignatura literal.</x:v>
      </x:c>
    </x:row>
    <x:row r="447" ht="42" customHeight="1">
      <x:c r="A447" s="445" t="str">
        <x:v>CYB-054</x:v>
      </x:c>
      <x:c r="B447" s="445" t="str">
        <x:v>eDiscovery y peritaje informático</x:v>
      </x:c>
      <x:c r="C447" s="445" t="str">
        <x:v>Ciberseguridad, forense y auditoría</x:v>
      </x:c>
      <x:c r="D447" s="445" t="str">
        <x:v>Especialización II</x:v>
      </x:c>
      <x:c r="E447" s="445" t="n">
        <x:v>2</x:v>
      </x:c>
      <x:c r="F447" s="445" t="n">
        <x:v>145</x:v>
      </x:c>
      <x:c r="G447" s="445" t="n">
        <x:v>19</x:v>
      </x:c>
      <x:c r="H447" s="445" t="str">
        <x:v>Massachusetts Institute of Technology (MIT); Stanford University; Carnegie Mellon University; University of California, Berkeley; Harvard University; Princeton University</x:v>
      </x:c>
      <x:c r="I447" s="445" t="str">
        <x:v>Cobertura de la familia temática; consultar la fuente oficial antes de atribuir una asignatura literal.</x:v>
      </x:c>
    </x:row>
    <x:row r="448" ht="42" customHeight="1">
      <x:c r="A448" s="442" t="str">
        <x:v>CYB-055</x:v>
      </x:c>
      <x:c r="B448" s="442" t="str">
        <x:v>Legislación, cadena de custodia y testimonio</x:v>
      </x:c>
      <x:c r="C448" s="442" t="str">
        <x:v>Ciberseguridad, forense y auditoría</x:v>
      </x:c>
      <x:c r="D448" s="442" t="str">
        <x:v>Especialización II</x:v>
      </x:c>
      <x:c r="E448" s="442" t="n">
        <x:v>2</x:v>
      </x:c>
      <x:c r="F448" s="442" t="n">
        <x:v>145</x:v>
      </x:c>
      <x:c r="G448" s="442" t="n">
        <x:v>19</x:v>
      </x:c>
      <x:c r="H448" s="442" t="str">
        <x:v>Massachusetts Institute of Technology (MIT); Stanford University; Carnegie Mellon University; University of California, Berkeley; Harvard University; Princeton University</x:v>
      </x:c>
      <x:c r="I448" s="442" t="str">
        <x:v>Cobertura de la familia temática; consultar la fuente oficial antes de atribuir una asignatura literal.</x:v>
      </x:c>
    </x:row>
    <x:row r="449" ht="42" customHeight="1">
      <x:c r="A449" s="445" t="str">
        <x:v>CYB-056</x:v>
      </x:c>
      <x:c r="B449" s="445" t="str">
        <x:v>Auditoría de sistemas I</x:v>
      </x:c>
      <x:c r="C449" s="445" t="str">
        <x:v>Ciberseguridad, forense y auditoría</x:v>
      </x:c>
      <x:c r="D449" s="445" t="str">
        <x:v>Especialización II</x:v>
      </x:c>
      <x:c r="E449" s="445" t="n">
        <x:v>2</x:v>
      </x:c>
      <x:c r="F449" s="445" t="n">
        <x:v>145</x:v>
      </x:c>
      <x:c r="G449" s="445" t="n">
        <x:v>19</x:v>
      </x:c>
      <x:c r="H449" s="445" t="str">
        <x:v>Massachusetts Institute of Technology (MIT); Stanford University; Carnegie Mellon University; University of California, Berkeley; Harvard University; Princeton University</x:v>
      </x:c>
      <x:c r="I449" s="445" t="str">
        <x:v>Cobertura de la familia temática; consultar la fuente oficial antes de atribuir una asignatura literal.</x:v>
      </x:c>
    </x:row>
    <x:row r="450" ht="42" customHeight="1">
      <x:c r="A450" s="442" t="str">
        <x:v>CYB-057</x:v>
      </x:c>
      <x:c r="B450" s="442" t="str">
        <x:v>Auditoría de sistemas II</x:v>
      </x:c>
      <x:c r="C450" s="442" t="str">
        <x:v>Ciberseguridad, forense y auditoría</x:v>
      </x:c>
      <x:c r="D450" s="442" t="str">
        <x:v>Especialización II</x:v>
      </x:c>
      <x:c r="E450" s="442" t="n">
        <x:v>2</x:v>
      </x:c>
      <x:c r="F450" s="442" t="n">
        <x:v>145</x:v>
      </x:c>
      <x:c r="G450" s="442" t="n">
        <x:v>19</x:v>
      </x:c>
      <x:c r="H450" s="442" t="str">
        <x:v>Massachusetts Institute of Technology (MIT); Stanford University; Carnegie Mellon University; University of California, Berkeley; Harvard University; Princeton University</x:v>
      </x:c>
      <x:c r="I450" s="442" t="str">
        <x:v>Cobertura de la familia temática; consultar la fuente oficial antes de atribuir una asignatura literal.</x:v>
      </x:c>
    </x:row>
    <x:row r="451" ht="42" customHeight="1">
      <x:c r="A451" s="445" t="str">
        <x:v>DAI-040</x:v>
      </x:c>
      <x:c r="B451" s="445" t="str">
        <x:v>Agentes y sistemas multiagente</x:v>
      </x:c>
      <x:c r="C451" s="445" t="str">
        <x:v>Datos, BI e IA</x:v>
      </x:c>
      <x:c r="D451" s="445" t="str">
        <x:v>Especialización II</x:v>
      </x:c>
      <x:c r="E451" s="445" t="n">
        <x:v>2</x:v>
      </x:c>
      <x:c r="F451" s="445" t="n">
        <x:v>145</x:v>
      </x:c>
      <x:c r="G451" s="445" t="n">
        <x:v>19</x:v>
      </x:c>
      <x:c r="H451" s="445" t="str">
        <x:v>Massachusetts Institute of Technology (MIT); Stanford University; Carnegie Mellon University; University of California, Berkeley; Harvard University; Princeton University</x:v>
      </x:c>
      <x:c r="I451" s="445" t="str">
        <x:v>Cobertura de la familia temática; consultar la fuente oficial antes de atribuir una asignatura literal.</x:v>
      </x:c>
    </x:row>
    <x:row r="452" ht="42" customHeight="1">
      <x:c r="A452" s="442" t="str">
        <x:v>DAI-041</x:v>
      </x:c>
      <x:c r="B452" s="442" t="str">
        <x:v>MLOps</x:v>
      </x:c>
      <x:c r="C452" s="442" t="str">
        <x:v>Datos, BI e IA</x:v>
      </x:c>
      <x:c r="D452" s="442" t="str">
        <x:v>Especialización II</x:v>
      </x:c>
      <x:c r="E452" s="442" t="n">
        <x:v>2</x:v>
      </x:c>
      <x:c r="F452" s="442" t="n">
        <x:v>145</x:v>
      </x:c>
      <x:c r="G452" s="442" t="n">
        <x:v>19</x:v>
      </x:c>
      <x:c r="H452" s="442" t="str">
        <x:v>Massachusetts Institute of Technology (MIT); Stanford University; Carnegie Mellon University; University of California, Berkeley; Harvard University; Princeton University</x:v>
      </x:c>
      <x:c r="I452" s="442" t="str">
        <x:v>Cobertura de la familia temática; consultar la fuente oficial antes de atribuir una asignatura literal.</x:v>
      </x:c>
    </x:row>
    <x:row r="453" ht="42" customHeight="1">
      <x:c r="A453" s="445" t="str">
        <x:v>DAI-042</x:v>
      </x:c>
      <x:c r="B453" s="445" t="str">
        <x:v>LLMOps y evaluación de sistemas generativos</x:v>
      </x:c>
      <x:c r="C453" s="445" t="str">
        <x:v>Datos, BI e IA</x:v>
      </x:c>
      <x:c r="D453" s="445" t="str">
        <x:v>Especialización II</x:v>
      </x:c>
      <x:c r="E453" s="445" t="n">
        <x:v>2</x:v>
      </x:c>
      <x:c r="F453" s="445" t="n">
        <x:v>145</x:v>
      </x:c>
      <x:c r="G453" s="445" t="n">
        <x:v>19</x:v>
      </x:c>
      <x:c r="H453" s="445" t="str">
        <x:v>Massachusetts Institute of Technology (MIT); Stanford University; Carnegie Mellon University; University of California, Berkeley; Harvard University; Princeton University</x:v>
      </x:c>
      <x:c r="I453" s="445" t="str">
        <x:v>Cobertura de la familia temática; consultar la fuente oficial antes de atribuir una asignatura literal.</x:v>
      </x:c>
    </x:row>
    <x:row r="454" ht="42" customHeight="1">
      <x:c r="A454" s="442" t="str">
        <x:v>DAI-043</x:v>
      </x:c>
      <x:c r="B454" s="442" t="str">
        <x:v>IA explicable e interpretable</x:v>
      </x:c>
      <x:c r="C454" s="442" t="str">
        <x:v>Datos, BI e IA</x:v>
      </x:c>
      <x:c r="D454" s="442" t="str">
        <x:v>Especialización II</x:v>
      </x:c>
      <x:c r="E454" s="442" t="n">
        <x:v>2</x:v>
      </x:c>
      <x:c r="F454" s="442" t="n">
        <x:v>145</x:v>
      </x:c>
      <x:c r="G454" s="442" t="n">
        <x:v>19</x:v>
      </x:c>
      <x:c r="H454" s="442" t="str">
        <x:v>Massachusetts Institute of Technology (MIT); Stanford University; Carnegie Mellon University; University of California, Berkeley; Harvard University; Princeton University</x:v>
      </x:c>
      <x:c r="I454" s="442" t="str">
        <x:v>Cobertura de la familia temática; consultar la fuente oficial antes de atribuir una asignatura literal.</x:v>
      </x:c>
    </x:row>
    <x:row r="455" ht="42" customHeight="1">
      <x:c r="A455" s="445" t="str">
        <x:v>DAI-044</x:v>
      </x:c>
      <x:c r="B455" s="445" t="str">
        <x:v>Robustez, seguridad y privacidad en ML</x:v>
      </x:c>
      <x:c r="C455" s="445" t="str">
        <x:v>Datos, BI e IA</x:v>
      </x:c>
      <x:c r="D455" s="445" t="str">
        <x:v>Especialización II</x:v>
      </x:c>
      <x:c r="E455" s="445" t="n">
        <x:v>2</x:v>
      </x:c>
      <x:c r="F455" s="445" t="n">
        <x:v>145</x:v>
      </x:c>
      <x:c r="G455" s="445" t="n">
        <x:v>19</x:v>
      </x:c>
      <x:c r="H455" s="445" t="str">
        <x:v>Massachusetts Institute of Technology (MIT); Stanford University; Carnegie Mellon University; University of California, Berkeley; Harvard University; Princeton University</x:v>
      </x:c>
      <x:c r="I455" s="445" t="str">
        <x:v>Cobertura de la familia temática; consultar la fuente oficial antes de atribuir una asignatura literal.</x:v>
      </x:c>
    </x:row>
    <x:row r="456" ht="42" customHeight="1">
      <x:c r="A456" s="442" t="str">
        <x:v>DAI-045</x:v>
      </x:c>
      <x:c r="B456" s="442" t="str">
        <x:v>Ética, sesgo y gobernanza de IA</x:v>
      </x:c>
      <x:c r="C456" s="442" t="str">
        <x:v>Datos, BI e IA</x:v>
      </x:c>
      <x:c r="D456" s="442" t="str">
        <x:v>Especialización II</x:v>
      </x:c>
      <x:c r="E456" s="442" t="n">
        <x:v>2</x:v>
      </x:c>
      <x:c r="F456" s="442" t="n">
        <x:v>145</x:v>
      </x:c>
      <x:c r="G456" s="442" t="n">
        <x:v>19</x:v>
      </x:c>
      <x:c r="H456" s="442" t="str">
        <x:v>Massachusetts Institute of Technology (MIT); Stanford University; Carnegie Mellon University; University of California, Berkeley; Harvard University; Princeton University</x:v>
      </x:c>
      <x:c r="I456" s="442" t="str">
        <x:v>Cobertura de la familia temática; consultar la fuente oficial antes de atribuir una asignatura literal.</x:v>
      </x:c>
    </x:row>
    <x:row r="457" ht="42" customHeight="1">
      <x:c r="A457" s="445" t="str">
        <x:v>GXR-013</x:v>
      </x:c>
      <x:c r="B457" s="445" t="str">
        <x:v>Godot y motores open source</x:v>
      </x:c>
      <x:c r="C457" s="445" t="str">
        <x:v>Gráficos, juegos y XR</x:v>
      </x:c>
      <x:c r="D457" s="445" t="str">
        <x:v>Especialización II</x:v>
      </x:c>
      <x:c r="E457" s="445" t="n">
        <x:v>2</x:v>
      </x:c>
      <x:c r="F457" s="445" t="n">
        <x:v>67</x:v>
      </x:c>
      <x:c r="G457" s="445" t="n">
        <x:v>14</x:v>
      </x:c>
      <x:c r="H457" s="445" t="str">
        <x:v>Stanford University; Carnegie Mellon University; University of California, Berkeley; Cornell University; University of Illinois Urbana-Champaign; Georgia Institute of Technology</x:v>
      </x:c>
      <x:c r="I457" s="445" t="str">
        <x:v>Cobertura de la familia temática; consultar la fuente oficial antes de atribuir una asignatura literal.</x:v>
      </x:c>
    </x:row>
    <x:row r="458" ht="42" customHeight="1">
      <x:c r="A458" s="442" t="str">
        <x:v>GXR-014</x:v>
      </x:c>
      <x:c r="B458" s="442" t="str">
        <x:v>IA para videojuegos</x:v>
      </x:c>
      <x:c r="C458" s="442" t="str">
        <x:v>Gráficos, juegos y XR</x:v>
      </x:c>
      <x:c r="D458" s="442" t="str">
        <x:v>Especialización II</x:v>
      </x:c>
      <x:c r="E458" s="442" t="n">
        <x:v>2</x:v>
      </x:c>
      <x:c r="F458" s="442" t="n">
        <x:v>67</x:v>
      </x:c>
      <x:c r="G458" s="442" t="n">
        <x:v>14</x:v>
      </x:c>
      <x:c r="H458" s="442" t="str">
        <x:v>Stanford University; Carnegie Mellon University; University of California, Berkeley; Cornell University; University of Illinois Urbana-Champaign; Georgia Institute of Technology</x:v>
      </x:c>
      <x:c r="I458" s="442" t="str">
        <x:v>Cobertura de la familia temática; consultar la fuente oficial antes de atribuir una asignatura literal.</x:v>
      </x:c>
    </x:row>
    <x:row r="459" ht="42" customHeight="1">
      <x:c r="A459" s="445" t="str">
        <x:v>GXR-015</x:v>
      </x:c>
      <x:c r="B459" s="445" t="str">
        <x:v>Redes y multijugador</x:v>
      </x:c>
      <x:c r="C459" s="445" t="str">
        <x:v>Gráficos, juegos y XR</x:v>
      </x:c>
      <x:c r="D459" s="445" t="str">
        <x:v>Especialización II</x:v>
      </x:c>
      <x:c r="E459" s="445" t="n">
        <x:v>2</x:v>
      </x:c>
      <x:c r="F459" s="445" t="n">
        <x:v>67</x:v>
      </x:c>
      <x:c r="G459" s="445" t="n">
        <x:v>14</x:v>
      </x:c>
      <x:c r="H459" s="445" t="str">
        <x:v>Stanford University; Carnegie Mellon University; University of California, Berkeley; Cornell University; University of Illinois Urbana-Champaign; Georgia Institute of Technology</x:v>
      </x:c>
      <x:c r="I459" s="445" t="str">
        <x:v>Cobertura de la familia temática; consultar la fuente oficial antes de atribuir una asignatura literal.</x:v>
      </x:c>
    </x:row>
    <x:row r="460" ht="42" customHeight="1">
      <x:c r="A460" s="442" t="str">
        <x:v>GXR-016</x:v>
      </x:c>
      <x:c r="B460" s="442" t="str">
        <x:v>Audio interactivo</x:v>
      </x:c>
      <x:c r="C460" s="442" t="str">
        <x:v>Gráficos, juegos y XR</x:v>
      </x:c>
      <x:c r="D460" s="442" t="str">
        <x:v>Especialización II</x:v>
      </x:c>
      <x:c r="E460" s="442" t="n">
        <x:v>2</x:v>
      </x:c>
      <x:c r="F460" s="442" t="n">
        <x:v>67</x:v>
      </x:c>
      <x:c r="G460" s="442" t="n">
        <x:v>14</x:v>
      </x:c>
      <x:c r="H460" s="442" t="str">
        <x:v>Stanford University; Carnegie Mellon University; University of California, Berkeley; Cornell University; University of Illinois Urbana-Champaign; Georgia Institute of Technology</x:v>
      </x:c>
      <x:c r="I460" s="442" t="str">
        <x:v>Cobertura de la familia temática; consultar la fuente oficial antes de atribuir una asignatura literal.</x:v>
      </x:c>
    </x:row>
    <x:row r="461" ht="42" customHeight="1">
      <x:c r="A461" s="445" t="str">
        <x:v>GXR-017</x:v>
      </x:c>
      <x:c r="B461" s="445" t="str">
        <x:v>Optimización y portabilidad de juegos</x:v>
      </x:c>
      <x:c r="C461" s="445" t="str">
        <x:v>Gráficos, juegos y XR</x:v>
      </x:c>
      <x:c r="D461" s="445" t="str">
        <x:v>Especialización II</x:v>
      </x:c>
      <x:c r="E461" s="445" t="n">
        <x:v>2</x:v>
      </x:c>
      <x:c r="F461" s="445" t="n">
        <x:v>67</x:v>
      </x:c>
      <x:c r="G461" s="445" t="n">
        <x:v>14</x:v>
      </x:c>
      <x:c r="H461" s="445" t="str">
        <x:v>Stanford University; Carnegie Mellon University; University of California, Berkeley; Cornell University; University of Illinois Urbana-Champaign; Georgia Institute of Technology</x:v>
      </x:c>
      <x:c r="I461" s="445" t="str">
        <x:v>Cobertura de la familia temática; consultar la fuente oficial antes de atribuir una asignatura literal.</x:v>
      </x:c>
    </x:row>
    <x:row r="462" ht="42" customHeight="1">
      <x:c r="A462" s="442" t="str">
        <x:v>GXR-018</x:v>
      </x:c>
      <x:c r="B462" s="442" t="str">
        <x:v>Producción y negocio de videojuegos</x:v>
      </x:c>
      <x:c r="C462" s="442" t="str">
        <x:v>Gráficos, juegos y XR</x:v>
      </x:c>
      <x:c r="D462" s="442" t="str">
        <x:v>Especialización II</x:v>
      </x:c>
      <x:c r="E462" s="442" t="n">
        <x:v>2</x:v>
      </x:c>
      <x:c r="F462" s="442" t="n">
        <x:v>67</x:v>
      </x:c>
      <x:c r="G462" s="442" t="n">
        <x:v>14</x:v>
      </x:c>
      <x:c r="H462" s="442" t="str">
        <x:v>Stanford University; Carnegie Mellon University; University of California, Berkeley; Cornell University; University of Illinois Urbana-Champaign; Georgia Institute of Technology</x:v>
      </x:c>
      <x:c r="I462" s="442" t="str">
        <x:v>Cobertura de la familia temática; consultar la fuente oficial antes de atribuir una asignatura literal.</x:v>
      </x:c>
    </x:row>
    <x:row r="463" ht="42" customHeight="1">
      <x:c r="A463" s="445" t="str">
        <x:v>CAP-017</x:v>
      </x:c>
      <x:c r="B463" s="445" t="str">
        <x:v>Capstone V: electrónica e IoT</x:v>
      </x:c>
      <x:c r="C463" s="445" t="str">
        <x:v>Investigación, profesión y capstones</x:v>
      </x:c>
      <x:c r="D463" s="445" t="str">
        <x:v>Especialización II</x:v>
      </x:c>
      <x:c r="E463" s="445" t="n">
        <x:v>1</x:v>
      </x:c>
      <x:c r="F463" s="445" t="n">
        <x:v>150</x:v>
      </x:c>
      <x:c r="G463" s="445" t="n">
        <x:v>20</x:v>
      </x:c>
      <x:c r="H463" s="445" t="str">
        <x:v>Massachusetts Institute of Technology (MIT); Stanford University; Carnegie Mellon University; University of California, Berkeley; Harvard University; Princeton University</x:v>
      </x:c>
      <x:c r="I463" s="445" t="str">
        <x:v>Cobertura de la familia temática; consultar la fuente oficial antes de atribuir una asignatura literal.</x:v>
      </x:c>
    </x:row>
    <x:row r="464" ht="42" customHeight="1">
      <x:c r="A464" s="442" t="str">
        <x:v>CAP-018</x:v>
      </x:c>
      <x:c r="B464" s="442" t="str">
        <x:v>Capstone VI: robótica y mecatrónica</x:v>
      </x:c>
      <x:c r="C464" s="442" t="str">
        <x:v>Investigación, profesión y capstones</x:v>
      </x:c>
      <x:c r="D464" s="442" t="str">
        <x:v>Especialización II</x:v>
      </x:c>
      <x:c r="E464" s="442" t="n">
        <x:v>1</x:v>
      </x:c>
      <x:c r="F464" s="442" t="n">
        <x:v>150</x:v>
      </x:c>
      <x:c r="G464" s="442" t="n">
        <x:v>20</x:v>
      </x:c>
      <x:c r="H464" s="442" t="str">
        <x:v>Massachusetts Institute of Technology (MIT); Stanford University; Carnegie Mellon University; University of California, Berkeley; Harvard University; Princeton University</x:v>
      </x:c>
      <x:c r="I464" s="442" t="str">
        <x:v>Cobertura de la familia temática; consultar la fuente oficial antes de atribuir una asignatura literal.</x:v>
      </x:c>
    </x:row>
    <x:row r="465" ht="42" customHeight="1">
      <x:c r="A465" s="445" t="str">
        <x:v>CAP-027</x:v>
      </x:c>
      <x:c r="B465" s="445" t="str">
        <x:v>Prospectiva tecnológica y construcción de escenarios</x:v>
      </x:c>
      <x:c r="C465" s="445" t="str">
        <x:v>Investigación, profesión y capstones</x:v>
      </x:c>
      <x:c r="D465" s="445" t="str">
        <x:v>Especialización II</x:v>
      </x:c>
      <x:c r="E465" s="445" t="n">
        <x:v>1</x:v>
      </x:c>
      <x:c r="F465" s="445" t="n">
        <x:v>150</x:v>
      </x:c>
      <x:c r="G465" s="445" t="n">
        <x:v>20</x:v>
      </x:c>
      <x:c r="H465" s="445" t="str">
        <x:v>Massachusetts Institute of Technology (MIT); Stanford University; Carnegie Mellon University; University of California, Berkeley; Harvard University; Princeton University</x:v>
      </x:c>
      <x:c r="I465" s="445" t="str">
        <x:v>Cobertura de la familia temática; consultar la fuente oficial antes de atribuir una asignatura literal.</x:v>
      </x:c>
    </x:row>
    <x:row r="466" ht="42" customHeight="1">
      <x:c r="A466" s="442" t="str">
        <x:v>CAP-028</x:v>
      </x:c>
      <x:c r="B466" s="442" t="str">
        <x:v>Horizon scanning y radar tecnológico</x:v>
      </x:c>
      <x:c r="C466" s="442" t="str">
        <x:v>Investigación, profesión y capstones</x:v>
      </x:c>
      <x:c r="D466" s="442" t="str">
        <x:v>Especialización II</x:v>
      </x:c>
      <x:c r="E466" s="442" t="n">
        <x:v>1</x:v>
      </x:c>
      <x:c r="F466" s="442" t="n">
        <x:v>150</x:v>
      </x:c>
      <x:c r="G466" s="442" t="n">
        <x:v>20</x:v>
      </x:c>
      <x:c r="H466" s="442" t="str">
        <x:v>Massachusetts Institute of Technology (MIT); Stanford University; Carnegie Mellon University; University of California, Berkeley; Harvard University; Princeton University</x:v>
      </x:c>
      <x:c r="I466" s="442" t="str">
        <x:v>Cobertura de la familia temática; consultar la fuente oficial antes de atribuir una asignatura literal.</x:v>
      </x:c>
    </x:row>
    <x:row r="467" ht="42" customHeight="1">
      <x:c r="A467" s="445" t="str">
        <x:v>NET-041</x:v>
      </x:c>
      <x:c r="B467" s="445" t="str">
        <x:v>FinOps y optimización de costos</x:v>
      </x:c>
      <x:c r="C467" s="445" t="str">
        <x:v>Redes, telecom y cloud</x:v>
      </x:c>
      <x:c r="D467" s="445" t="str">
        <x:v>Especialización II</x:v>
      </x:c>
      <x:c r="E467" s="445" t="n">
        <x:v>2</x:v>
      </x:c>
      <x:c r="F467" s="445" t="n">
        <x:v>140</x:v>
      </x:c>
      <x:c r="G467" s="445" t="n">
        <x:v>19</x:v>
      </x:c>
      <x:c r="H467" s="445" t="str">
        <x:v>Massachusetts Institute of Technology (MIT); Stanford University; Carnegie Mellon University; University of California, Berkeley; Princeton University; Cornell University</x:v>
      </x:c>
      <x:c r="I467" s="445" t="str">
        <x:v>Cobertura de la familia temática; consultar la fuente oficial antes de atribuir una asignatura literal.</x:v>
      </x:c>
    </x:row>
    <x:row r="468" ht="42" customHeight="1">
      <x:c r="A468" s="442" t="str">
        <x:v>NET-042</x:v>
      </x:c>
      <x:c r="B468" s="442" t="str">
        <x:v>Arquitectura cloud-native</x:v>
      </x:c>
      <x:c r="C468" s="442" t="str">
        <x:v>Redes, telecom y cloud</x:v>
      </x:c>
      <x:c r="D468" s="442" t="str">
        <x:v>Especialización II</x:v>
      </x:c>
      <x:c r="E468" s="442" t="n">
        <x:v>2</x:v>
      </x:c>
      <x:c r="F468" s="442" t="n">
        <x:v>140</x:v>
      </x:c>
      <x:c r="G468" s="442" t="n">
        <x:v>19</x:v>
      </x:c>
      <x:c r="H468" s="442" t="str">
        <x:v>Massachusetts Institute of Technology (MIT); Stanford University; Carnegie Mellon University; University of California, Berkeley; Princeton University; Cornell University</x:v>
      </x:c>
      <x:c r="I468" s="442" t="str">
        <x:v>Cobertura de la familia temática; consultar la fuente oficial antes de atribuir una asignatura literal.</x:v>
      </x:c>
    </x:row>
    <x:row r="469" ht="42" customHeight="1">
      <x:c r="A469" s="445" t="str">
        <x:v>NET-043</x:v>
      </x:c>
      <x:c r="B469" s="445" t="str">
        <x:v>Operación de plataformas a gran escala</x:v>
      </x:c>
      <x:c r="C469" s="445" t="str">
        <x:v>Redes, telecom y cloud</x:v>
      </x:c>
      <x:c r="D469" s="445" t="str">
        <x:v>Especialización II</x:v>
      </x:c>
      <x:c r="E469" s="445" t="n">
        <x:v>2</x:v>
      </x:c>
      <x:c r="F469" s="445" t="n">
        <x:v>140</x:v>
      </x:c>
      <x:c r="G469" s="445" t="n">
        <x:v>19</x:v>
      </x:c>
      <x:c r="H469" s="445" t="str">
        <x:v>Massachusetts Institute of Technology (MIT); Stanford University; Carnegie Mellon University; University of California, Berkeley; Princeton University; Cornell University</x:v>
      </x:c>
      <x:c r="I469" s="445" t="str">
        <x:v>Cobertura de la familia temática; consultar la fuente oficial antes de atribuir una asignatura literal.</x:v>
      </x:c>
    </x:row>
    <x:row r="470" ht="42" customHeight="1">
      <x:c r="A470" s="442" t="str">
        <x:v>ROB-025</x:v>
      </x:c>
      <x:c r="B470" s="442" t="str">
        <x:v>Robótica humanoide</x:v>
      </x:c>
      <x:c r="C470" s="442" t="str">
        <x:v>Robótica y mecatrónica</x:v>
      </x:c>
      <x:c r="D470" s="442" t="str">
        <x:v>Especialización II</x:v>
      </x:c>
      <x:c r="E470" s="442" t="n">
        <x:v>2</x:v>
      </x:c>
      <x:c r="F470" s="442" t="n">
        <x:v>132</x:v>
      </x:c>
      <x:c r="G470" s="442" t="n">
        <x:v>18</x:v>
      </x:c>
      <x:c r="H470" s="442" t="str">
        <x:v>Massachusetts Institute of Technology (MIT); Stanford University; Carnegie Mellon University; University of California, Berkeley; Harvard University; Princeton University</x:v>
      </x:c>
      <x:c r="I470" s="442" t="str">
        <x:v>Cobertura de la familia temática; consultar la fuente oficial antes de atribuir una asignatura literal.</x:v>
      </x:c>
    </x:row>
    <x:row r="471" ht="42" customHeight="1">
      <x:c r="A471" s="445" t="str">
        <x:v>ROB-026</x:v>
      </x:c>
      <x:c r="B471" s="445" t="str">
        <x:v>Interacción humano–robot</x:v>
      </x:c>
      <x:c r="C471" s="445" t="str">
        <x:v>Robótica y mecatrónica</x:v>
      </x:c>
      <x:c r="D471" s="445" t="str">
        <x:v>Especialización II</x:v>
      </x:c>
      <x:c r="E471" s="445" t="n">
        <x:v>2</x:v>
      </x:c>
      <x:c r="F471" s="445" t="n">
        <x:v>132</x:v>
      </x:c>
      <x:c r="G471" s="445" t="n">
        <x:v>18</x:v>
      </x:c>
      <x:c r="H471" s="445" t="str">
        <x:v>Massachusetts Institute of Technology (MIT); Stanford University; Carnegie Mellon University; University of California, Berkeley; Harvard University; Princeton University</x:v>
      </x:c>
      <x:c r="I471" s="445" t="str">
        <x:v>Cobertura de la familia temática; consultar la fuente oficial antes de atribuir una asignatura literal.</x:v>
      </x:c>
    </x:row>
    <x:row r="472" ht="42" customHeight="1">
      <x:c r="A472" s="442" t="str">
        <x:v>ROB-027</x:v>
      </x:c>
      <x:c r="B472" s="442" t="str">
        <x:v>Robótica colaborativa y seguridad</x:v>
      </x:c>
      <x:c r="C472" s="442" t="str">
        <x:v>Robótica y mecatrónica</x:v>
      </x:c>
      <x:c r="D472" s="442" t="str">
        <x:v>Especialización II</x:v>
      </x:c>
      <x:c r="E472" s="442" t="n">
        <x:v>2</x:v>
      </x:c>
      <x:c r="F472" s="442" t="n">
        <x:v>132</x:v>
      </x:c>
      <x:c r="G472" s="442" t="n">
        <x:v>18</x:v>
      </x:c>
      <x:c r="H472" s="442" t="str">
        <x:v>Massachusetts Institute of Technology (MIT); Stanford University; Carnegie Mellon University; University of California, Berkeley; Harvard University; Princeton University</x:v>
      </x:c>
      <x:c r="I472" s="442" t="str">
        <x:v>Cobertura de la familia temática; consultar la fuente oficial antes de atribuir una asignatura literal.</x:v>
      </x:c>
    </x:row>
    <x:row r="473" ht="42" customHeight="1">
      <x:c r="A473" s="445" t="str">
        <x:v>ROB-028</x:v>
      </x:c>
      <x:c r="B473" s="445" t="str">
        <x:v>Aprendizaje para robótica</x:v>
      </x:c>
      <x:c r="C473" s="445" t="str">
        <x:v>Robótica y mecatrónica</x:v>
      </x:c>
      <x:c r="D473" s="445" t="str">
        <x:v>Especialización II</x:v>
      </x:c>
      <x:c r="E473" s="445" t="n">
        <x:v>2</x:v>
      </x:c>
      <x:c r="F473" s="445" t="n">
        <x:v>132</x:v>
      </x:c>
      <x:c r="G473" s="445" t="n">
        <x:v>18</x:v>
      </x:c>
      <x:c r="H473" s="445" t="str">
        <x:v>Massachusetts Institute of Technology (MIT); Stanford University; Carnegie Mellon University; University of California, Berkeley; Harvard University; Princeton University</x:v>
      </x:c>
      <x:c r="I473" s="445" t="str">
        <x:v>Cobertura de la familia temática; consultar la fuente oficial antes de atribuir una asignatura literal.</x:v>
      </x:c>
    </x:row>
    <x:row r="474" ht="42" customHeight="1">
      <x:c r="A474" s="442" t="str">
        <x:v>ROB-029</x:v>
      </x:c>
      <x:c r="B474" s="442" t="str">
        <x:v>Sistemas multi-robot</x:v>
      </x:c>
      <x:c r="C474" s="442" t="str">
        <x:v>Robótica y mecatrónica</x:v>
      </x:c>
      <x:c r="D474" s="442" t="str">
        <x:v>Especialización II</x:v>
      </x:c>
      <x:c r="E474" s="442" t="n">
        <x:v>2</x:v>
      </x:c>
      <x:c r="F474" s="442" t="n">
        <x:v>132</x:v>
      </x:c>
      <x:c r="G474" s="442" t="n">
        <x:v>18</x:v>
      </x:c>
      <x:c r="H474" s="442" t="str">
        <x:v>Massachusetts Institute of Technology (MIT); Stanford University; Carnegie Mellon University; University of California, Berkeley; Harvard University; Princeton University</x:v>
      </x:c>
      <x:c r="I474" s="442" t="str">
        <x:v>Cobertura de la familia temática; consultar la fuente oficial antes de atribuir una asignatura literal.</x:v>
      </x:c>
    </x:row>
    <x:row r="475" ht="42" customHeight="1">
      <x:c r="A475" s="445" t="str">
        <x:v>ROB-030</x:v>
      </x:c>
      <x:c r="B475" s="445" t="str">
        <x:v>Robótica blanda y bioinspirada</x:v>
      </x:c>
      <x:c r="C475" s="445" t="str">
        <x:v>Robótica y mecatrónica</x:v>
      </x:c>
      <x:c r="D475" s="445" t="str">
        <x:v>Especialización II</x:v>
      </x:c>
      <x:c r="E475" s="445" t="n">
        <x:v>2</x:v>
      </x:c>
      <x:c r="F475" s="445" t="n">
        <x:v>132</x:v>
      </x:c>
      <x:c r="G475" s="445" t="n">
        <x:v>18</x:v>
      </x:c>
      <x:c r="H475" s="445" t="str">
        <x:v>Massachusetts Institute of Technology (MIT); Stanford University; Carnegie Mellon University; University of California, Berkeley; Harvard University; Princeton University</x:v>
      </x:c>
      <x:c r="I475" s="445" t="str">
        <x:v>Cobertura de la familia temática; consultar la fuente oficial antes de atribuir una asignatura literal.</x:v>
      </x:c>
    </x:row>
    <x:row r="476" ht="42" customHeight="1">
      <x:c r="A476" s="442" t="str">
        <x:v>BIO-007</x:v>
      </x:c>
      <x:c r="B476" s="442" t="str">
        <x:v>Genómica y secuenciación</x:v>
      </x:c>
      <x:c r="C476" s="442" t="str">
        <x:v>Bioinformática y salud digital</x:v>
      </x:c>
      <x:c r="D476" s="442" t="str">
        <x:v>Profundización</x:v>
      </x:c>
      <x:c r="E476" s="442" t="n">
        <x:v>3</x:v>
      </x:c>
      <x:c r="F476" s="442" t="n">
        <x:v>93</x:v>
      </x:c>
      <x:c r="G476" s="442" t="n">
        <x:v>16</x:v>
      </x:c>
      <x:c r="H476" s="442" t="str">
        <x:v>Massachusetts Institute of Technology (MIT); Stanford University; Carnegie Mellon University; University of California, Berkeley; Harvard University; Princeton University</x:v>
      </x:c>
      <x:c r="I476" s="442" t="str">
        <x:v>Cobertura de la familia temática; consultar la fuente oficial antes de atribuir una asignatura literal.</x:v>
      </x:c>
    </x:row>
    <x:row r="477" ht="42" customHeight="1">
      <x:c r="A477" s="445" t="str">
        <x:v>BIO-008</x:v>
      </x:c>
      <x:c r="B477" s="445" t="str">
        <x:v>Proteómica y metabolómica</x:v>
      </x:c>
      <x:c r="C477" s="445" t="str">
        <x:v>Bioinformática y salud digital</x:v>
      </x:c>
      <x:c r="D477" s="445" t="str">
        <x:v>Profundización</x:v>
      </x:c>
      <x:c r="E477" s="445" t="n">
        <x:v>3</x:v>
      </x:c>
      <x:c r="F477" s="445" t="n">
        <x:v>93</x:v>
      </x:c>
      <x:c r="G477" s="445" t="n">
        <x:v>16</x:v>
      </x:c>
      <x:c r="H477" s="445" t="str">
        <x:v>Massachusetts Institute of Technology (MIT); Stanford University; Carnegie Mellon University; University of California, Berkeley; Harvard University; Princeton University</x:v>
      </x:c>
      <x:c r="I477" s="445" t="str">
        <x:v>Cobertura de la familia temática; consultar la fuente oficial antes de atribuir una asignatura literal.</x:v>
      </x:c>
    </x:row>
    <x:row r="478" ht="42" customHeight="1">
      <x:c r="A478" s="442" t="str">
        <x:v>BIO-009</x:v>
      </x:c>
      <x:c r="B478" s="442" t="str">
        <x:v>Algoritmos para secuencias biológicas</x:v>
      </x:c>
      <x:c r="C478" s="442" t="str">
        <x:v>Bioinformática y salud digital</x:v>
      </x:c>
      <x:c r="D478" s="442" t="str">
        <x:v>Profundización</x:v>
      </x:c>
      <x:c r="E478" s="442" t="n">
        <x:v>3</x:v>
      </x:c>
      <x:c r="F478" s="442" t="n">
        <x:v>93</x:v>
      </x:c>
      <x:c r="G478" s="442" t="n">
        <x:v>16</x:v>
      </x:c>
      <x:c r="H478" s="442" t="str">
        <x:v>Massachusetts Institute of Technology (MIT); Stanford University; Carnegie Mellon University; University of California, Berkeley; Harvard University; Princeton University</x:v>
      </x:c>
      <x:c r="I478" s="442" t="str">
        <x:v>Cobertura de la familia temática; consultar la fuente oficial antes de atribuir una asignatura literal.</x:v>
      </x:c>
    </x:row>
    <x:row r="479" ht="42" customHeight="1">
      <x:c r="A479" s="445" t="str">
        <x:v>BIO-010</x:v>
      </x:c>
      <x:c r="B479" s="445" t="str">
        <x:v>Biología de sistemas</x:v>
      </x:c>
      <x:c r="C479" s="445" t="str">
        <x:v>Bioinformática y salud digital</x:v>
      </x:c>
      <x:c r="D479" s="445" t="str">
        <x:v>Profundización</x:v>
      </x:c>
      <x:c r="E479" s="445" t="n">
        <x:v>3</x:v>
      </x:c>
      <x:c r="F479" s="445" t="n">
        <x:v>93</x:v>
      </x:c>
      <x:c r="G479" s="445" t="n">
        <x:v>16</x:v>
      </x:c>
      <x:c r="H479" s="445" t="str">
        <x:v>Massachusetts Institute of Technology (MIT); Stanford University; Carnegie Mellon University; University of California, Berkeley; Harvard University; Princeton University</x:v>
      </x:c>
      <x:c r="I479" s="445" t="str">
        <x:v>Cobertura de la familia temática; consultar la fuente oficial antes de atribuir una asignatura literal.</x:v>
      </x:c>
    </x:row>
    <x:row r="480" ht="42" customHeight="1">
      <x:c r="A480" s="442" t="str">
        <x:v>BIO-011</x:v>
      </x:c>
      <x:c r="B480" s="442" t="str">
        <x:v>Modelado computacional de sistemas biológicos</x:v>
      </x:c>
      <x:c r="C480" s="442" t="str">
        <x:v>Bioinformática y salud digital</x:v>
      </x:c>
      <x:c r="D480" s="442" t="str">
        <x:v>Profundización</x:v>
      </x:c>
      <x:c r="E480" s="442" t="n">
        <x:v>3</x:v>
      </x:c>
      <x:c r="F480" s="442" t="n">
        <x:v>93</x:v>
      </x:c>
      <x:c r="G480" s="442" t="n">
        <x:v>16</x:v>
      </x:c>
      <x:c r="H480" s="442" t="str">
        <x:v>Massachusetts Institute of Technology (MIT); Stanford University; Carnegie Mellon University; University of California, Berkeley; Harvard University; Princeton University</x:v>
      </x:c>
      <x:c r="I480" s="442" t="str">
        <x:v>Cobertura de la familia temática; consultar la fuente oficial antes de atribuir una asignatura literal.</x:v>
      </x:c>
    </x:row>
    <x:row r="481" ht="42" customHeight="1">
      <x:c r="A481" s="445" t="str">
        <x:v>BIO-012</x:v>
      </x:c>
      <x:c r="B481" s="445" t="str">
        <x:v>Machine Learning para biología</x:v>
      </x:c>
      <x:c r="C481" s="445" t="str">
        <x:v>Bioinformática y salud digital</x:v>
      </x:c>
      <x:c r="D481" s="445" t="str">
        <x:v>Profundización</x:v>
      </x:c>
      <x:c r="E481" s="445" t="n">
        <x:v>3</x:v>
      </x:c>
      <x:c r="F481" s="445" t="n">
        <x:v>93</x:v>
      </x:c>
      <x:c r="G481" s="445" t="n">
        <x:v>16</x:v>
      </x:c>
      <x:c r="H481" s="445" t="str">
        <x:v>Massachusetts Institute of Technology (MIT); Stanford University; Carnegie Mellon University; University of California, Berkeley; Harvard University; Princeton University</x:v>
      </x:c>
      <x:c r="I481" s="445" t="str">
        <x:v>Cobertura de la familia temática; consultar la fuente oficial antes de atribuir una asignatura literal.</x:v>
      </x:c>
    </x:row>
    <x:row r="482" ht="42" customHeight="1">
      <x:c r="A482" s="442" t="str">
        <x:v>BIO-021</x:v>
      </x:c>
      <x:c r="B482" s="442" t="str">
        <x:v>Analítica de salud</x:v>
      </x:c>
      <x:c r="C482" s="442" t="str">
        <x:v>Bioinformática y salud digital</x:v>
      </x:c>
      <x:c r="D482" s="442" t="str">
        <x:v>Profundización</x:v>
      </x:c>
      <x:c r="E482" s="442" t="n">
        <x:v>3</x:v>
      </x:c>
      <x:c r="F482" s="442" t="n">
        <x:v>93</x:v>
      </x:c>
      <x:c r="G482" s="442" t="n">
        <x:v>16</x:v>
      </x:c>
      <x:c r="H482" s="442" t="str">
        <x:v>Massachusetts Institute of Technology (MIT); Stanford University; Carnegie Mellon University; University of California, Berkeley; Harvard University; Princeton University</x:v>
      </x:c>
      <x:c r="I482" s="442" t="str">
        <x:v>Cobertura de la familia temática; consultar la fuente oficial antes de atribuir una asignatura literal.</x:v>
      </x:c>
    </x:row>
    <x:row r="483" ht="42" customHeight="1">
      <x:c r="A483" s="445" t="str">
        <x:v>BIO-022</x:v>
      </x:c>
      <x:c r="B483" s="445" t="str">
        <x:v>Sistemas de apoyo a la decisión clínica</x:v>
      </x:c>
      <x:c r="C483" s="445" t="str">
        <x:v>Bioinformática y salud digital</x:v>
      </x:c>
      <x:c r="D483" s="445" t="str">
        <x:v>Profundización</x:v>
      </x:c>
      <x:c r="E483" s="445" t="n">
        <x:v>3</x:v>
      </x:c>
      <x:c r="F483" s="445" t="n">
        <x:v>93</x:v>
      </x:c>
      <x:c r="G483" s="445" t="n">
        <x:v>16</x:v>
      </x:c>
      <x:c r="H483" s="445" t="str">
        <x:v>Massachusetts Institute of Technology (MIT); Stanford University; Carnegie Mellon University; University of California, Berkeley; Harvard University; Princeton University</x:v>
      </x:c>
      <x:c r="I483" s="445" t="str">
        <x:v>Cobertura de la familia temática; consultar la fuente oficial antes de atribuir una asignatura literal.</x:v>
      </x:c>
    </x:row>
    <x:row r="484" ht="42" customHeight="1">
      <x:c r="A484" s="442" t="str">
        <x:v>BIO-023</x:v>
      </x:c>
      <x:c r="B484" s="442" t="str">
        <x:v>Telemedicina y salud móvil</x:v>
      </x:c>
      <x:c r="C484" s="442" t="str">
        <x:v>Bioinformática y salud digital</x:v>
      </x:c>
      <x:c r="D484" s="442" t="str">
        <x:v>Profundización</x:v>
      </x:c>
      <x:c r="E484" s="442" t="n">
        <x:v>3</x:v>
      </x:c>
      <x:c r="F484" s="442" t="n">
        <x:v>93</x:v>
      </x:c>
      <x:c r="G484" s="442" t="n">
        <x:v>16</x:v>
      </x:c>
      <x:c r="H484" s="442" t="str">
        <x:v>Massachusetts Institute of Technology (MIT); Stanford University; Carnegie Mellon University; University of California, Berkeley; Harvard University; Princeton University</x:v>
      </x:c>
      <x:c r="I484" s="442" t="str">
        <x:v>Cobertura de la familia temática; consultar la fuente oficial antes de atribuir una asignatura literal.</x:v>
      </x:c>
    </x:row>
    <x:row r="485" ht="42" customHeight="1">
      <x:c r="A485" s="445" t="str">
        <x:v>BIO-024</x:v>
      </x:c>
      <x:c r="B485" s="445" t="str">
        <x:v>IoT médico y dispositivos conectados</x:v>
      </x:c>
      <x:c r="C485" s="445" t="str">
        <x:v>Bioinformática y salud digital</x:v>
      </x:c>
      <x:c r="D485" s="445" t="str">
        <x:v>Profundización</x:v>
      </x:c>
      <x:c r="E485" s="445" t="n">
        <x:v>3</x:v>
      </x:c>
      <x:c r="F485" s="445" t="n">
        <x:v>93</x:v>
      </x:c>
      <x:c r="G485" s="445" t="n">
        <x:v>16</x:v>
      </x:c>
      <x:c r="H485" s="445" t="str">
        <x:v>Massachusetts Institute of Technology (MIT); Stanford University; Carnegie Mellon University; University of California, Berkeley; Harvard University; Princeton University</x:v>
      </x:c>
      <x:c r="I485" s="445" t="str">
        <x:v>Cobertura de la familia temática; consultar la fuente oficial antes de atribuir una asignatura literal.</x:v>
      </x:c>
    </x:row>
    <x:row r="486" ht="42" customHeight="1">
      <x:c r="A486" s="442" t="str">
        <x:v>BIO-025</x:v>
      </x:c>
      <x:c r="B486" s="442" t="str">
        <x:v>Privacidad, seguridad y ética en salud</x:v>
      </x:c>
      <x:c r="C486" s="442" t="str">
        <x:v>Bioinformática y salud digital</x:v>
      </x:c>
      <x:c r="D486" s="442" t="str">
        <x:v>Profundización</x:v>
      </x:c>
      <x:c r="E486" s="442" t="n">
        <x:v>3</x:v>
      </x:c>
      <x:c r="F486" s="442" t="n">
        <x:v>93</x:v>
      </x:c>
      <x:c r="G486" s="442" t="n">
        <x:v>16</x:v>
      </x:c>
      <x:c r="H486" s="442" t="str">
        <x:v>Massachusetts Institute of Technology (MIT); Stanford University; Carnegie Mellon University; University of California, Berkeley; Harvard University; Princeton University</x:v>
      </x:c>
      <x:c r="I486" s="442" t="str">
        <x:v>Cobertura de la familia temática; consultar la fuente oficial antes de atribuir una asignatura literal.</x:v>
      </x:c>
    </x:row>
    <x:row r="487" ht="42" customHeight="1">
      <x:c r="A487" s="445" t="str">
        <x:v>BIO-026</x:v>
      </x:c>
      <x:c r="B487" s="445" t="str">
        <x:v>IA clínica y evaluación</x:v>
      </x:c>
      <x:c r="C487" s="445" t="str">
        <x:v>Bioinformática y salud digital</x:v>
      </x:c>
      <x:c r="D487" s="445" t="str">
        <x:v>Profundización</x:v>
      </x:c>
      <x:c r="E487" s="445" t="n">
        <x:v>3</x:v>
      </x:c>
      <x:c r="F487" s="445" t="n">
        <x:v>93</x:v>
      </x:c>
      <x:c r="G487" s="445" t="n">
        <x:v>16</x:v>
      </x:c>
      <x:c r="H487" s="445" t="str">
        <x:v>Massachusetts Institute of Technology (MIT); Stanford University; Carnegie Mellon University; University of California, Berkeley; Harvard University; Princeton University</x:v>
      </x:c>
      <x:c r="I487" s="445" t="str">
        <x:v>Cobertura de la familia temática; consultar la fuente oficial antes de atribuir una asignatura literal.</x:v>
      </x:c>
    </x:row>
    <x:row r="488" ht="42" customHeight="1">
      <x:c r="A488" s="442" t="str">
        <x:v>CYB-029</x:v>
      </x:c>
      <x:c r="B488" s="442" t="str">
        <x:v>Riesgo de terceros y cadena de suministro</x:v>
      </x:c>
      <x:c r="C488" s="442" t="str">
        <x:v>Ciberseguridad, forense y auditoría</x:v>
      </x:c>
      <x:c r="D488" s="442" t="str">
        <x:v>Profundización</x:v>
      </x:c>
      <x:c r="E488" s="442" t="n">
        <x:v>2</x:v>
      </x:c>
      <x:c r="F488" s="442" t="n">
        <x:v>145</x:v>
      </x:c>
      <x:c r="G488" s="442" t="n">
        <x:v>19</x:v>
      </x:c>
      <x:c r="H488" s="442" t="str">
        <x:v>Massachusetts Institute of Technology (MIT); Stanford University; Carnegie Mellon University; University of California, Berkeley; Harvard University; Princeton University</x:v>
      </x:c>
      <x:c r="I488" s="442" t="str">
        <x:v>Cobertura de la familia temática; consultar la fuente oficial antes de atribuir una asignatura literal.</x:v>
      </x:c>
    </x:row>
    <x:row r="489" ht="42" customHeight="1">
      <x:c r="A489" s="445" t="str">
        <x:v>CYB-030</x:v>
      </x:c>
      <x:c r="B489" s="445" t="str">
        <x:v>Liderazgo y estrategia de ciberseguridad</x:v>
      </x:c>
      <x:c r="C489" s="445" t="str">
        <x:v>Ciberseguridad, forense y auditoría</x:v>
      </x:c>
      <x:c r="D489" s="445" t="str">
        <x:v>Profundización</x:v>
      </x:c>
      <x:c r="E489" s="445" t="n">
        <x:v>2</x:v>
      </x:c>
      <x:c r="F489" s="445" t="n">
        <x:v>145</x:v>
      </x:c>
      <x:c r="G489" s="445" t="n">
        <x:v>19</x:v>
      </x:c>
      <x:c r="H489" s="445" t="str">
        <x:v>Massachusetts Institute of Technology (MIT); Stanford University; Carnegie Mellon University; University of California, Berkeley; Harvard University; Princeton University</x:v>
      </x:c>
      <x:c r="I489" s="445" t="str">
        <x:v>Cobertura de la familia temática; consultar la fuente oficial antes de atribuir una asignatura literal.</x:v>
      </x:c>
    </x:row>
    <x:row r="490" ht="42" customHeight="1">
      <x:c r="A490" s="442" t="str">
        <x:v>CYB-041</x:v>
      </x:c>
      <x:c r="B490" s="442" t="str">
        <x:v>Purple Team y validación defensiva</x:v>
      </x:c>
      <x:c r="C490" s="442" t="str">
        <x:v>Ciberseguridad, forense y auditoría</x:v>
      </x:c>
      <x:c r="D490" s="442" t="str">
        <x:v>Profundización</x:v>
      </x:c>
      <x:c r="E490" s="442" t="n">
        <x:v>2</x:v>
      </x:c>
      <x:c r="F490" s="442" t="n">
        <x:v>145</x:v>
      </x:c>
      <x:c r="G490" s="442" t="n">
        <x:v>19</x:v>
      </x:c>
      <x:c r="H490" s="442" t="str">
        <x:v>Massachusetts Institute of Technology (MIT); Stanford University; Carnegie Mellon University; University of California, Berkeley; Harvard University; Princeton University</x:v>
      </x:c>
      <x:c r="I490" s="442" t="str">
        <x:v>Cobertura de la familia temática; consultar la fuente oficial antes de atribuir una asignatura literal.</x:v>
      </x:c>
    </x:row>
    <x:row r="491" ht="42" customHeight="1">
      <x:c r="A491" s="445" t="str">
        <x:v>CYB-042</x:v>
      </x:c>
      <x:c r="B491" s="445" t="str">
        <x:v>Seguridad ofensiva en Active Directory</x:v>
      </x:c>
      <x:c r="C491" s="445" t="str">
        <x:v>Ciberseguridad, forense y auditoría</x:v>
      </x:c>
      <x:c r="D491" s="445" t="str">
        <x:v>Profundización</x:v>
      </x:c>
      <x:c r="E491" s="445" t="n">
        <x:v>2</x:v>
      </x:c>
      <x:c r="F491" s="445" t="n">
        <x:v>145</x:v>
      </x:c>
      <x:c r="G491" s="445" t="n">
        <x:v>19</x:v>
      </x:c>
      <x:c r="H491" s="445" t="str">
        <x:v>Massachusetts Institute of Technology (MIT); Stanford University; Carnegie Mellon University; University of California, Berkeley; Harvard University; Princeton University</x:v>
      </x:c>
      <x:c r="I491" s="445" t="str">
        <x:v>Cobertura de la familia temática; consultar la fuente oficial antes de atribuir una asignatura literal.</x:v>
      </x:c>
    </x:row>
    <x:row r="492" ht="42" customHeight="1">
      <x:c r="A492" s="442" t="str">
        <x:v>CYB-043</x:v>
      </x:c>
      <x:c r="B492" s="442" t="str">
        <x:v>Pruebas de penetración cloud</x:v>
      </x:c>
      <x:c r="C492" s="442" t="str">
        <x:v>Ciberseguridad, forense y auditoría</x:v>
      </x:c>
      <x:c r="D492" s="442" t="str">
        <x:v>Profundización</x:v>
      </x:c>
      <x:c r="E492" s="442" t="n">
        <x:v>2</x:v>
      </x:c>
      <x:c r="F492" s="442" t="n">
        <x:v>145</x:v>
      </x:c>
      <x:c r="G492" s="442" t="n">
        <x:v>19</x:v>
      </x:c>
      <x:c r="H492" s="442" t="str">
        <x:v>Massachusetts Institute of Technology (MIT); Stanford University; Carnegie Mellon University; University of California, Berkeley; Harvard University; Princeton University</x:v>
      </x:c>
      <x:c r="I492" s="442" t="str">
        <x:v>Cobertura de la familia temática; consultar la fuente oficial antes de atribuir una asignatura literal.</x:v>
      </x:c>
    </x:row>
    <x:row r="493" ht="42" customHeight="1">
      <x:c r="A493" s="445" t="str">
        <x:v>CYB-044</x:v>
      </x:c>
      <x:c r="B493" s="445" t="str">
        <x:v>Seguridad de hardware y side channels</x:v>
      </x:c>
      <x:c r="C493" s="445" t="str">
        <x:v>Ciberseguridad, forense y auditoría</x:v>
      </x:c>
      <x:c r="D493" s="445" t="str">
        <x:v>Profundización</x:v>
      </x:c>
      <x:c r="E493" s="445" t="n">
        <x:v>2</x:v>
      </x:c>
      <x:c r="F493" s="445" t="n">
        <x:v>145</x:v>
      </x:c>
      <x:c r="G493" s="445" t="n">
        <x:v>19</x:v>
      </x:c>
      <x:c r="H493" s="445" t="str">
        <x:v>Massachusetts Institute of Technology (MIT); Stanford University; Carnegie Mellon University; University of California, Berkeley; Harvard University; Princeton University</x:v>
      </x:c>
      <x:c r="I493" s="445" t="str">
        <x:v>Cobertura de la familia temática; consultar la fuente oficial antes de atribuir una asignatura literal.</x:v>
      </x:c>
    </x:row>
    <x:row r="494" ht="42" customHeight="1">
      <x:c r="A494" s="442" t="str">
        <x:v>CYB-045</x:v>
      </x:c>
      <x:c r="B494" s="442" t="str">
        <x:v>Investigación de vulnerabilidades y divulgación responsable</x:v>
      </x:c>
      <x:c r="C494" s="442" t="str">
        <x:v>Ciberseguridad, forense y auditoría</x:v>
      </x:c>
      <x:c r="D494" s="442" t="str">
        <x:v>Profundización</x:v>
      </x:c>
      <x:c r="E494" s="442" t="n">
        <x:v>2</x:v>
      </x:c>
      <x:c r="F494" s="442" t="n">
        <x:v>145</x:v>
      </x:c>
      <x:c r="G494" s="442" t="n">
        <x:v>19</x:v>
      </x:c>
      <x:c r="H494" s="442" t="str">
        <x:v>Massachusetts Institute of Technology (MIT); Stanford University; Carnegie Mellon University; University of California, Berkeley; Harvard University; Princeton University</x:v>
      </x:c>
      <x:c r="I494" s="442" t="str">
        <x:v>Cobertura de la familia temática; consultar la fuente oficial antes de atribuir una asignatura literal.</x:v>
      </x:c>
    </x:row>
    <x:row r="495" ht="42" customHeight="1">
      <x:c r="A495" s="445" t="str">
        <x:v>CYB-058</x:v>
      </x:c>
      <x:c r="B495" s="445" t="str">
        <x:v>Auditoría de aplicaciones y bases de datos</x:v>
      </x:c>
      <x:c r="C495" s="445" t="str">
        <x:v>Ciberseguridad, forense y auditoría</x:v>
      </x:c>
      <x:c r="D495" s="445" t="str">
        <x:v>Profundización</x:v>
      </x:c>
      <x:c r="E495" s="445" t="n">
        <x:v>2</x:v>
      </x:c>
      <x:c r="F495" s="445" t="n">
        <x:v>145</x:v>
      </x:c>
      <x:c r="G495" s="445" t="n">
        <x:v>19</x:v>
      </x:c>
      <x:c r="H495" s="445" t="str">
        <x:v>Massachusetts Institute of Technology (MIT); Stanford University; Carnegie Mellon University; University of California, Berkeley; Harvard University; Princeton University</x:v>
      </x:c>
      <x:c r="I495" s="445" t="str">
        <x:v>Cobertura de la familia temática; consultar la fuente oficial antes de atribuir una asignatura literal.</x:v>
      </x:c>
    </x:row>
    <x:row r="496" ht="42" customHeight="1">
      <x:c r="A496" s="442" t="str">
        <x:v>CYB-059</x:v>
      </x:c>
      <x:c r="B496" s="442" t="str">
        <x:v>Auditoría de infraestructura y cloud</x:v>
      </x:c>
      <x:c r="C496" s="442" t="str">
        <x:v>Ciberseguridad, forense y auditoría</x:v>
      </x:c>
      <x:c r="D496" s="442" t="str">
        <x:v>Profundización</x:v>
      </x:c>
      <x:c r="E496" s="442" t="n">
        <x:v>2</x:v>
      </x:c>
      <x:c r="F496" s="442" t="n">
        <x:v>145</x:v>
      </x:c>
      <x:c r="G496" s="442" t="n">
        <x:v>19</x:v>
      </x:c>
      <x:c r="H496" s="442" t="str">
        <x:v>Massachusetts Institute of Technology (MIT); Stanford University; Carnegie Mellon University; University of California, Berkeley; Harvard University; Princeton University</x:v>
      </x:c>
      <x:c r="I496" s="442" t="str">
        <x:v>Cobertura de la familia temática; consultar la fuente oficial antes de atribuir una asignatura literal.</x:v>
      </x:c>
    </x:row>
    <x:row r="497" ht="42" customHeight="1">
      <x:c r="A497" s="445" t="str">
        <x:v>CYB-060</x:v>
      </x:c>
      <x:c r="B497" s="445" t="str">
        <x:v>Auditoría continua y análisis de datos</x:v>
      </x:c>
      <x:c r="C497" s="445" t="str">
        <x:v>Ciberseguridad, forense y auditoría</x:v>
      </x:c>
      <x:c r="D497" s="445" t="str">
        <x:v>Profundización</x:v>
      </x:c>
      <x:c r="E497" s="445" t="n">
        <x:v>2</x:v>
      </x:c>
      <x:c r="F497" s="445" t="n">
        <x:v>145</x:v>
      </x:c>
      <x:c r="G497" s="445" t="n">
        <x:v>19</x:v>
      </x:c>
      <x:c r="H497" s="445" t="str">
        <x:v>Massachusetts Institute of Technology (MIT); Stanford University; Carnegie Mellon University; University of California, Berkeley; Harvard University; Princeton University</x:v>
      </x:c>
      <x:c r="I497" s="445" t="str">
        <x:v>Cobertura de la familia temática; consultar la fuente oficial antes de atribuir una asignatura literal.</x:v>
      </x:c>
    </x:row>
    <x:row r="498" ht="42" customHeight="1">
      <x:c r="A498" s="442" t="str">
        <x:v>QUA-001</x:v>
      </x:c>
      <x:c r="B498" s="442" t="str">
        <x:v>Mecánica cuántica para computación</x:v>
      </x:c>
      <x:c r="C498" s="442" t="str">
        <x:v>Computación cuántica</x:v>
      </x:c>
      <x:c r="D498" s="442" t="str">
        <x:v>Profundización</x:v>
      </x:c>
      <x:c r="E498" s="442" t="n">
        <x:v>3</x:v>
      </x:c>
      <x:c r="F498" s="442" t="n">
        <x:v>80</x:v>
      </x:c>
      <x:c r="G498" s="442" t="n">
        <x:v>13</x:v>
      </x:c>
      <x:c r="H498" s="442" t="str">
        <x:v>Massachusetts Institute of Technology (MIT); Stanford University; University of California, Berkeley; Harvard University; Princeton University; Cornell University</x:v>
      </x:c>
      <x:c r="I498" s="442" t="str">
        <x:v>Cobertura de la familia temática; consultar la fuente oficial antes de atribuir una asignatura literal.</x:v>
      </x:c>
    </x:row>
    <x:row r="499" ht="42" customHeight="1">
      <x:c r="A499" s="445" t="str">
        <x:v>QUA-002</x:v>
      </x:c>
      <x:c r="B499" s="445" t="str">
        <x:v>Información cuántica</x:v>
      </x:c>
      <x:c r="C499" s="445" t="str">
        <x:v>Computación cuántica</x:v>
      </x:c>
      <x:c r="D499" s="445" t="str">
        <x:v>Profundización</x:v>
      </x:c>
      <x:c r="E499" s="445" t="n">
        <x:v>3</x:v>
      </x:c>
      <x:c r="F499" s="445" t="n">
        <x:v>80</x:v>
      </x:c>
      <x:c r="G499" s="445" t="n">
        <x:v>13</x:v>
      </x:c>
      <x:c r="H499" s="445" t="str">
        <x:v>Massachusetts Institute of Technology (MIT); Stanford University; University of California, Berkeley; Harvard University; Princeton University; Cornell University</x:v>
      </x:c>
      <x:c r="I499" s="445" t="str">
        <x:v>Cobertura de la familia temática; consultar la fuente oficial antes de atribuir una asignatura literal.</x:v>
      </x:c>
    </x:row>
    <x:row r="500" ht="42" customHeight="1">
      <x:c r="A500" s="442" t="str">
        <x:v>QUA-003</x:v>
      </x:c>
      <x:c r="B500" s="442" t="str">
        <x:v>Circuitos y programación cuántica</x:v>
      </x:c>
      <x:c r="C500" s="442" t="str">
        <x:v>Computación cuántica</x:v>
      </x:c>
      <x:c r="D500" s="442" t="str">
        <x:v>Profundización</x:v>
      </x:c>
      <x:c r="E500" s="442" t="n">
        <x:v>3</x:v>
      </x:c>
      <x:c r="F500" s="442" t="n">
        <x:v>80</x:v>
      </x:c>
      <x:c r="G500" s="442" t="n">
        <x:v>13</x:v>
      </x:c>
      <x:c r="H500" s="442" t="str">
        <x:v>Massachusetts Institute of Technology (MIT); Stanford University; University of California, Berkeley; Harvard University; Princeton University; Cornell University</x:v>
      </x:c>
      <x:c r="I500" s="442" t="str">
        <x:v>Cobertura de la familia temática; consultar la fuente oficial antes de atribuir una asignatura literal.</x:v>
      </x:c>
    </x:row>
    <x:row r="501" ht="42" customHeight="1">
      <x:c r="A501" s="445" t="str">
        <x:v>QUA-004</x:v>
      </x:c>
      <x:c r="B501" s="445" t="str">
        <x:v>Algoritmos cuánticos I</x:v>
      </x:c>
      <x:c r="C501" s="445" t="str">
        <x:v>Computación cuántica</x:v>
      </x:c>
      <x:c r="D501" s="445" t="str">
        <x:v>Profundización</x:v>
      </x:c>
      <x:c r="E501" s="445" t="n">
        <x:v>3</x:v>
      </x:c>
      <x:c r="F501" s="445" t="n">
        <x:v>80</x:v>
      </x:c>
      <x:c r="G501" s="445" t="n">
        <x:v>13</x:v>
      </x:c>
      <x:c r="H501" s="445" t="str">
        <x:v>Massachusetts Institute of Technology (MIT); Stanford University; University of California, Berkeley; Harvard University; Princeton University; Cornell University</x:v>
      </x:c>
      <x:c r="I501" s="445" t="str">
        <x:v>Cobertura de la familia temática; consultar la fuente oficial antes de atribuir una asignatura literal.</x:v>
      </x:c>
    </x:row>
    <x:row r="502" ht="42" customHeight="1">
      <x:c r="A502" s="442" t="str">
        <x:v>QUA-005</x:v>
      </x:c>
      <x:c r="B502" s="442" t="str">
        <x:v>Algoritmos cuánticos II</x:v>
      </x:c>
      <x:c r="C502" s="442" t="str">
        <x:v>Computación cuántica</x:v>
      </x:c>
      <x:c r="D502" s="442" t="str">
        <x:v>Profundización</x:v>
      </x:c>
      <x:c r="E502" s="442" t="n">
        <x:v>3</x:v>
      </x:c>
      <x:c r="F502" s="442" t="n">
        <x:v>80</x:v>
      </x:c>
      <x:c r="G502" s="442" t="n">
        <x:v>13</x:v>
      </x:c>
      <x:c r="H502" s="442" t="str">
        <x:v>Massachusetts Institute of Technology (MIT); Stanford University; University of California, Berkeley; Harvard University; Princeton University; Cornell University</x:v>
      </x:c>
      <x:c r="I502" s="442" t="str">
        <x:v>Cobertura de la familia temática; consultar la fuente oficial antes de atribuir una asignatura literal.</x:v>
      </x:c>
    </x:row>
    <x:row r="503" ht="42" customHeight="1">
      <x:c r="A503" s="445" t="str">
        <x:v>DAI-046</x:v>
      </x:c>
      <x:c r="B503" s="445" t="str">
        <x:v>IA en el edge</x:v>
      </x:c>
      <x:c r="C503" s="445" t="str">
        <x:v>Datos, BI e IA</x:v>
      </x:c>
      <x:c r="D503" s="445" t="str">
        <x:v>Profundización</x:v>
      </x:c>
      <x:c r="E503" s="445" t="n">
        <x:v>2</x:v>
      </x:c>
      <x:c r="F503" s="445" t="n">
        <x:v>145</x:v>
      </x:c>
      <x:c r="G503" s="445" t="n">
        <x:v>19</x:v>
      </x:c>
      <x:c r="H503" s="445" t="str">
        <x:v>Massachusetts Institute of Technology (MIT); Stanford University; Carnegie Mellon University; University of California, Berkeley; Harvard University; Princeton University</x:v>
      </x:c>
      <x:c r="I503" s="445" t="str">
        <x:v>Cobertura de la familia temática; consultar la fuente oficial antes de atribuir una asignatura literal.</x:v>
      </x:c>
    </x:row>
    <x:row r="504" ht="42" customHeight="1">
      <x:c r="A504" s="442" t="str">
        <x:v>DAI-047</x:v>
      </x:c>
      <x:c r="B504" s="442" t="str">
        <x:v>Aprendizaje federado</x:v>
      </x:c>
      <x:c r="C504" s="442" t="str">
        <x:v>Datos, BI e IA</x:v>
      </x:c>
      <x:c r="D504" s="442" t="str">
        <x:v>Profundización</x:v>
      </x:c>
      <x:c r="E504" s="442" t="n">
        <x:v>2</x:v>
      </x:c>
      <x:c r="F504" s="442" t="n">
        <x:v>145</x:v>
      </x:c>
      <x:c r="G504" s="442" t="n">
        <x:v>19</x:v>
      </x:c>
      <x:c r="H504" s="442" t="str">
        <x:v>Massachusetts Institute of Technology (MIT); Stanford University; Carnegie Mellon University; University of California, Berkeley; Harvard University; Princeton University</x:v>
      </x:c>
      <x:c r="I504" s="442" t="str">
        <x:v>Cobertura de la familia temática; consultar la fuente oficial antes de atribuir una asignatura literal.</x:v>
      </x:c>
    </x:row>
    <x:row r="505" ht="42" customHeight="1">
      <x:c r="A505" s="445" t="str">
        <x:v>DAI-048</x:v>
      </x:c>
      <x:c r="B505" s="445" t="str">
        <x:v>Modelos probabilísticos y bayesianos</x:v>
      </x:c>
      <x:c r="C505" s="445" t="str">
        <x:v>Datos, BI e IA</x:v>
      </x:c>
      <x:c r="D505" s="445" t="str">
        <x:v>Profundización</x:v>
      </x:c>
      <x:c r="E505" s="445" t="n">
        <x:v>2</x:v>
      </x:c>
      <x:c r="F505" s="445" t="n">
        <x:v>145</x:v>
      </x:c>
      <x:c r="G505" s="445" t="n">
        <x:v>19</x:v>
      </x:c>
      <x:c r="H505" s="445" t="str">
        <x:v>Massachusetts Institute of Technology (MIT); Stanford University; Carnegie Mellon University; University of California, Berkeley; Harvard University; Princeton University</x:v>
      </x:c>
      <x:c r="I505" s="445" t="str">
        <x:v>Cobertura de la familia temática; consultar la fuente oficial antes de atribuir una asignatura literal.</x:v>
      </x:c>
    </x:row>
    <x:row r="506" ht="42" customHeight="1">
      <x:c r="A506" s="442" t="str">
        <x:v>DAI-049</x:v>
      </x:c>
      <x:c r="B506" s="442" t="str">
        <x:v>Aprendizaje geométrico y graph neural networks</x:v>
      </x:c>
      <x:c r="C506" s="442" t="str">
        <x:v>Datos, BI e IA</x:v>
      </x:c>
      <x:c r="D506" s="442" t="str">
        <x:v>Profundización</x:v>
      </x:c>
      <x:c r="E506" s="442" t="n">
        <x:v>2</x:v>
      </x:c>
      <x:c r="F506" s="442" t="n">
        <x:v>145</x:v>
      </x:c>
      <x:c r="G506" s="442" t="n">
        <x:v>19</x:v>
      </x:c>
      <x:c r="H506" s="442" t="str">
        <x:v>Massachusetts Institute of Technology (MIT); Stanford University; Carnegie Mellon University; University of California, Berkeley; Harvard University; Princeton University</x:v>
      </x:c>
      <x:c r="I506" s="442" t="str">
        <x:v>Cobertura de la familia temática; consultar la fuente oficial antes de atribuir una asignatura literal.</x:v>
      </x:c>
    </x:row>
    <x:row r="507" ht="42" customHeight="1">
      <x:c r="A507" s="445" t="str">
        <x:v>DAI-050</x:v>
      </x:c>
      <x:c r="B507" s="445" t="str">
        <x:v>Optimización para ML</x:v>
      </x:c>
      <x:c r="C507" s="445" t="str">
        <x:v>Datos, BI e IA</x:v>
      </x:c>
      <x:c r="D507" s="445" t="str">
        <x:v>Profundización</x:v>
      </x:c>
      <x:c r="E507" s="445" t="n">
        <x:v>2</x:v>
      </x:c>
      <x:c r="F507" s="445" t="n">
        <x:v>145</x:v>
      </x:c>
      <x:c r="G507" s="445" t="n">
        <x:v>19</x:v>
      </x:c>
      <x:c r="H507" s="445" t="str">
        <x:v>Massachusetts Institute of Technology (MIT); Stanford University; Carnegie Mellon University; University of California, Berkeley; Harvard University; Princeton University</x:v>
      </x:c>
      <x:c r="I507" s="445" t="str">
        <x:v>Cobertura de la familia temática; consultar la fuente oficial antes de atribuir una asignatura literal.</x:v>
      </x:c>
    </x:row>
    <x:row r="508" ht="42" customHeight="1">
      <x:c r="A508" s="442" t="str">
        <x:v>DAI-051</x:v>
      </x:c>
      <x:c r="B508" s="442" t="str">
        <x:v>Investigación avanzada en IA</x:v>
      </x:c>
      <x:c r="C508" s="442" t="str">
        <x:v>Datos, BI e IA</x:v>
      </x:c>
      <x:c r="D508" s="442" t="str">
        <x:v>Profundización</x:v>
      </x:c>
      <x:c r="E508" s="442" t="n">
        <x:v>2</x:v>
      </x:c>
      <x:c r="F508" s="442" t="n">
        <x:v>145</x:v>
      </x:c>
      <x:c r="G508" s="442" t="n">
        <x:v>19</x:v>
      </x:c>
      <x:c r="H508" s="442" t="str">
        <x:v>Massachusetts Institute of Technology (MIT); Stanford University; Carnegie Mellon University; University of California, Berkeley; Harvard University; Princeton University</x:v>
      </x:c>
      <x:c r="I508" s="442" t="str">
        <x:v>Cobertura de la familia temática; consultar la fuente oficial antes de atribuir una asignatura literal.</x:v>
      </x:c>
    </x:row>
    <x:row r="509" ht="42" customHeight="1">
      <x:c r="A509" s="445" t="str">
        <x:v>GXR-019</x:v>
      </x:c>
      <x:c r="B509" s="445" t="str">
        <x:v>Fundamentos de realidad virtual y aumentada</x:v>
      </x:c>
      <x:c r="C509" s="445" t="str">
        <x:v>Gráficos, juegos y XR</x:v>
      </x:c>
      <x:c r="D509" s="445" t="str">
        <x:v>Profundización</x:v>
      </x:c>
      <x:c r="E509" s="445" t="n">
        <x:v>2</x:v>
      </x:c>
      <x:c r="F509" s="445" t="n">
        <x:v>67</x:v>
      </x:c>
      <x:c r="G509" s="445" t="n">
        <x:v>14</x:v>
      </x:c>
      <x:c r="H509" s="445" t="str">
        <x:v>Stanford University; Carnegie Mellon University; University of California, Berkeley; Cornell University; University of Illinois Urbana-Champaign; Georgia Institute of Technology</x:v>
      </x:c>
      <x:c r="I509" s="445" t="str">
        <x:v>Cobertura de la familia temática; consultar la fuente oficial antes de atribuir una asignatura literal.</x:v>
      </x:c>
    </x:row>
    <x:row r="510" ht="42" customHeight="1">
      <x:c r="A510" s="442" t="str">
        <x:v>GXR-020</x:v>
      </x:c>
      <x:c r="B510" s="442" t="str">
        <x:v>Desarrollo de realidad virtual</x:v>
      </x:c>
      <x:c r="C510" s="442" t="str">
        <x:v>Gráficos, juegos y XR</x:v>
      </x:c>
      <x:c r="D510" s="442" t="str">
        <x:v>Profundización</x:v>
      </x:c>
      <x:c r="E510" s="442" t="n">
        <x:v>2</x:v>
      </x:c>
      <x:c r="F510" s="442" t="n">
        <x:v>67</x:v>
      </x:c>
      <x:c r="G510" s="442" t="n">
        <x:v>14</x:v>
      </x:c>
      <x:c r="H510" s="442" t="str">
        <x:v>Stanford University; Carnegie Mellon University; University of California, Berkeley; Cornell University; University of Illinois Urbana-Champaign; Georgia Institute of Technology</x:v>
      </x:c>
      <x:c r="I510" s="442" t="str">
        <x:v>Cobertura de la familia temática; consultar la fuente oficial antes de atribuir una asignatura literal.</x:v>
      </x:c>
    </x:row>
    <x:row r="511" ht="42" customHeight="1">
      <x:c r="A511" s="445" t="str">
        <x:v>GXR-021</x:v>
      </x:c>
      <x:c r="B511" s="445" t="str">
        <x:v>Desarrollo de realidad aumentada</x:v>
      </x:c>
      <x:c r="C511" s="445" t="str">
        <x:v>Gráficos, juegos y XR</x:v>
      </x:c>
      <x:c r="D511" s="445" t="str">
        <x:v>Profundización</x:v>
      </x:c>
      <x:c r="E511" s="445" t="n">
        <x:v>2</x:v>
      </x:c>
      <x:c r="F511" s="445" t="n">
        <x:v>67</x:v>
      </x:c>
      <x:c r="G511" s="445" t="n">
        <x:v>14</x:v>
      </x:c>
      <x:c r="H511" s="445" t="str">
        <x:v>Stanford University; Carnegie Mellon University; University of California, Berkeley; Cornell University; University of Illinois Urbana-Champaign; Georgia Institute of Technology</x:v>
      </x:c>
      <x:c r="I511" s="445" t="str">
        <x:v>Cobertura de la familia temática; consultar la fuente oficial antes de atribuir una asignatura literal.</x:v>
      </x:c>
    </x:row>
    <x:row r="512" ht="42" customHeight="1">
      <x:c r="A512" s="442" t="str">
        <x:v>GXR-022</x:v>
      </x:c>
      <x:c r="B512" s="442" t="str">
        <x:v>Computación espacial y realidad mixta</x:v>
      </x:c>
      <x:c r="C512" s="442" t="str">
        <x:v>Gráficos, juegos y XR</x:v>
      </x:c>
      <x:c r="D512" s="442" t="str">
        <x:v>Profundización</x:v>
      </x:c>
      <x:c r="E512" s="442" t="n">
        <x:v>2</x:v>
      </x:c>
      <x:c r="F512" s="442" t="n">
        <x:v>67</x:v>
      </x:c>
      <x:c r="G512" s="442" t="n">
        <x:v>14</x:v>
      </x:c>
      <x:c r="H512" s="442" t="str">
        <x:v>Stanford University; Carnegie Mellon University; University of California, Berkeley; Cornell University; University of Illinois Urbana-Champaign; Georgia Institute of Technology</x:v>
      </x:c>
      <x:c r="I512" s="442" t="str">
        <x:v>Cobertura de la familia temática; consultar la fuente oficial antes de atribuir una asignatura literal.</x:v>
      </x:c>
    </x:row>
    <x:row r="513" ht="42" customHeight="1">
      <x:c r="A513" s="445" t="str">
        <x:v>GXR-023</x:v>
      </x:c>
      <x:c r="B513" s="445" t="str">
        <x:v>Diseño de interacción XR</x:v>
      </x:c>
      <x:c r="C513" s="445" t="str">
        <x:v>Gráficos, juegos y XR</x:v>
      </x:c>
      <x:c r="D513" s="445" t="str">
        <x:v>Profundización</x:v>
      </x:c>
      <x:c r="E513" s="445" t="n">
        <x:v>2</x:v>
      </x:c>
      <x:c r="F513" s="445" t="n">
        <x:v>67</x:v>
      </x:c>
      <x:c r="G513" s="445" t="n">
        <x:v>14</x:v>
      </x:c>
      <x:c r="H513" s="445" t="str">
        <x:v>Stanford University; Carnegie Mellon University; University of California, Berkeley; Cornell University; University of Illinois Urbana-Champaign; Georgia Institute of Technology</x:v>
      </x:c>
      <x:c r="I513" s="445" t="str">
        <x:v>Cobertura de la familia temática; consultar la fuente oficial antes de atribuir una asignatura literal.</x:v>
      </x:c>
    </x:row>
    <x:row r="514" ht="42" customHeight="1">
      <x:c r="A514" s="442" t="str">
        <x:v>GXR-024</x:v>
      </x:c>
      <x:c r="B514" s="442" t="str">
        <x:v>Haptics e interfaces inmersivas</x:v>
      </x:c>
      <x:c r="C514" s="442" t="str">
        <x:v>Gráficos, juegos y XR</x:v>
      </x:c>
      <x:c r="D514" s="442" t="str">
        <x:v>Profundización</x:v>
      </x:c>
      <x:c r="E514" s="442" t="n">
        <x:v>2</x:v>
      </x:c>
      <x:c r="F514" s="442" t="n">
        <x:v>67</x:v>
      </x:c>
      <x:c r="G514" s="442" t="n">
        <x:v>14</x:v>
      </x:c>
      <x:c r="H514" s="442" t="str">
        <x:v>Stanford University; Carnegie Mellon University; University of California, Berkeley; Cornell University; University of Illinois Urbana-Champaign; Georgia Institute of Technology</x:v>
      </x:c>
      <x:c r="I514" s="442" t="str">
        <x:v>Cobertura de la familia temática; consultar la fuente oficial antes de atribuir una asignatura literal.</x:v>
      </x:c>
    </x:row>
    <x:row r="515" ht="42" customHeight="1">
      <x:c r="A515" s="445" t="str">
        <x:v>CAP-019</x:v>
      </x:c>
      <x:c r="B515" s="445" t="str">
        <x:v>Capstone VII: IA aplicada</x:v>
      </x:c>
      <x:c r="C515" s="445" t="str">
        <x:v>Investigación, profesión y capstones</x:v>
      </x:c>
      <x:c r="D515" s="445" t="str">
        <x:v>Profundización</x:v>
      </x:c>
      <x:c r="E515" s="445" t="n">
        <x:v>1</x:v>
      </x:c>
      <x:c r="F515" s="445" t="n">
        <x:v>150</x:v>
      </x:c>
      <x:c r="G515" s="445" t="n">
        <x:v>20</x:v>
      </x:c>
      <x:c r="H515" s="445" t="str">
        <x:v>Massachusetts Institute of Technology (MIT); Stanford University; Carnegie Mellon University; University of California, Berkeley; Harvard University; Princeton University</x:v>
      </x:c>
      <x:c r="I515" s="445" t="str">
        <x:v>Cobertura de la familia temática; consultar la fuente oficial antes de atribuir una asignatura literal.</x:v>
      </x:c>
    </x:row>
    <x:row r="516" ht="42" customHeight="1">
      <x:c r="A516" s="442" t="str">
        <x:v>CAP-020</x:v>
      </x:c>
      <x:c r="B516" s="442" t="str">
        <x:v>Capstone VIII: multimedia, juegos o XR</x:v>
      </x:c>
      <x:c r="C516" s="442" t="str">
        <x:v>Investigación, profesión y capstones</x:v>
      </x:c>
      <x:c r="D516" s="442" t="str">
        <x:v>Profundización</x:v>
      </x:c>
      <x:c r="E516" s="442" t="n">
        <x:v>1</x:v>
      </x:c>
      <x:c r="F516" s="442" t="n">
        <x:v>150</x:v>
      </x:c>
      <x:c r="G516" s="442" t="n">
        <x:v>20</x:v>
      </x:c>
      <x:c r="H516" s="442" t="str">
        <x:v>Massachusetts Institute of Technology (MIT); Stanford University; Carnegie Mellon University; University of California, Berkeley; Harvard University; Princeton University</x:v>
      </x:c>
      <x:c r="I516" s="442" t="str">
        <x:v>Cobertura de la familia temática; consultar la fuente oficial antes de atribuir una asignatura literal.</x:v>
      </x:c>
    </x:row>
    <x:row r="517" ht="42" customHeight="1">
      <x:c r="A517" s="445" t="str">
        <x:v>CAP-029</x:v>
      </x:c>
      <x:c r="B517" s="445" t="str">
        <x:v>Revisión sistemática, bibliometría y cienciometría</x:v>
      </x:c>
      <x:c r="C517" s="445" t="str">
        <x:v>Investigación, profesión y capstones</x:v>
      </x:c>
      <x:c r="D517" s="445" t="str">
        <x:v>Profundización</x:v>
      </x:c>
      <x:c r="E517" s="445" t="n">
        <x:v>1</x:v>
      </x:c>
      <x:c r="F517" s="445" t="n">
        <x:v>150</x:v>
      </x:c>
      <x:c r="G517" s="445" t="n">
        <x:v>20</x:v>
      </x:c>
      <x:c r="H517" s="445" t="str">
        <x:v>Massachusetts Institute of Technology (MIT); Stanford University; Carnegie Mellon University; University of California, Berkeley; Harvard University; Princeton University</x:v>
      </x:c>
      <x:c r="I517" s="445" t="str">
        <x:v>Cobertura de la familia temática; consultar la fuente oficial antes de atribuir una asignatura literal.</x:v>
      </x:c>
    </x:row>
    <x:row r="518" ht="42" customHeight="1">
      <x:c r="A518" s="442" t="str">
        <x:v>CAP-030</x:v>
      </x:c>
      <x:c r="B518" s="442" t="str">
        <x:v>Inteligencia de patentes, estándares y regulación</x:v>
      </x:c>
      <x:c r="C518" s="442" t="str">
        <x:v>Investigación, profesión y capstones</x:v>
      </x:c>
      <x:c r="D518" s="442" t="str">
        <x:v>Profundización</x:v>
      </x:c>
      <x:c r="E518" s="442" t="n">
        <x:v>1</x:v>
      </x:c>
      <x:c r="F518" s="442" t="n">
        <x:v>150</x:v>
      </x:c>
      <x:c r="G518" s="442" t="n">
        <x:v>20</x:v>
      </x:c>
      <x:c r="H518" s="442" t="str">
        <x:v>Massachusetts Institute of Technology (MIT); Stanford University; Carnegie Mellon University; University of California, Berkeley; Harvard University; Princeton University</x:v>
      </x:c>
      <x:c r="I518" s="442" t="str">
        <x:v>Cobertura de la familia temática; consultar la fuente oficial antes de atribuir una asignatura literal.</x:v>
      </x:c>
    </x:row>
    <x:row r="519" ht="42" customHeight="1">
      <x:c r="A519" s="445" t="str">
        <x:v>BIO-013</x:v>
      </x:c>
      <x:c r="B519" s="445" t="str">
        <x:v>Bases de datos biológicas</x:v>
      </x:c>
      <x:c r="C519" s="445" t="str">
        <x:v>Bioinformática y salud digital</x:v>
      </x:c>
      <x:c r="D519" s="445" t="str">
        <x:v>Interdisciplinariedad</x:v>
      </x:c>
      <x:c r="E519" s="445" t="n">
        <x:v>3</x:v>
      </x:c>
      <x:c r="F519" s="445" t="n">
        <x:v>93</x:v>
      </x:c>
      <x:c r="G519" s="445" t="n">
        <x:v>16</x:v>
      </x:c>
      <x:c r="H519" s="445" t="str">
        <x:v>Massachusetts Institute of Technology (MIT); Stanford University; Carnegie Mellon University; University of California, Berkeley; Harvard University; Princeton University</x:v>
      </x:c>
      <x:c r="I519" s="445" t="str">
        <x:v>Cobertura de la familia temática; consultar la fuente oficial antes de atribuir una asignatura literal.</x:v>
      </x:c>
    </x:row>
    <x:row r="520" ht="42" customHeight="1">
      <x:c r="A520" s="442" t="str">
        <x:v>BIO-014</x:v>
      </x:c>
      <x:c r="B520" s="442" t="str">
        <x:v>Reproducibilidad y flujos científicos</x:v>
      </x:c>
      <x:c r="C520" s="442" t="str">
        <x:v>Bioinformática y salud digital</x:v>
      </x:c>
      <x:c r="D520" s="442" t="str">
        <x:v>Interdisciplinariedad</x:v>
      </x:c>
      <x:c r="E520" s="442" t="n">
        <x:v>3</x:v>
      </x:c>
      <x:c r="F520" s="442" t="n">
        <x:v>93</x:v>
      </x:c>
      <x:c r="G520" s="442" t="n">
        <x:v>16</x:v>
      </x:c>
      <x:c r="H520" s="442" t="str">
        <x:v>Massachusetts Institute of Technology (MIT); Stanford University; Carnegie Mellon University; University of California, Berkeley; Harvard University; Princeton University</x:v>
      </x:c>
      <x:c r="I520" s="442" t="str">
        <x:v>Cobertura de la familia temática; consultar la fuente oficial antes de atribuir una asignatura literal.</x:v>
      </x:c>
    </x:row>
    <x:row r="521" ht="42" customHeight="1">
      <x:c r="A521" s="445" t="str">
        <x:v>BIO-027</x:v>
      </x:c>
      <x:c r="B521" s="445" t="str">
        <x:v>Gestión y transformación digital sanitaria</x:v>
      </x:c>
      <x:c r="C521" s="445" t="str">
        <x:v>Bioinformática y salud digital</x:v>
      </x:c>
      <x:c r="D521" s="445" t="str">
        <x:v>Interdisciplinariedad</x:v>
      </x:c>
      <x:c r="E521" s="445" t="n">
        <x:v>3</x:v>
      </x:c>
      <x:c r="F521" s="445" t="n">
        <x:v>93</x:v>
      </x:c>
      <x:c r="G521" s="445" t="n">
        <x:v>16</x:v>
      </x:c>
      <x:c r="H521" s="445" t="str">
        <x:v>Massachusetts Institute of Technology (MIT); Stanford University; Carnegie Mellon University; University of California, Berkeley; Harvard University; Princeton University</x:v>
      </x:c>
      <x:c r="I521" s="445" t="str">
        <x:v>Cobertura de la familia temática; consultar la fuente oficial antes de atribuir una asignatura literal.</x:v>
      </x:c>
    </x:row>
    <x:row r="522" ht="42" customHeight="1">
      <x:c r="A522" s="442" t="str">
        <x:v>QUA-006</x:v>
      </x:c>
      <x:c r="B522" s="442" t="str">
        <x:v>Complejidad cuántica</x:v>
      </x:c>
      <x:c r="C522" s="442" t="str">
        <x:v>Computación cuántica</x:v>
      </x:c>
      <x:c r="D522" s="442" t="str">
        <x:v>Interdisciplinariedad</x:v>
      </x:c>
      <x:c r="E522" s="442" t="n">
        <x:v>3</x:v>
      </x:c>
      <x:c r="F522" s="442" t="n">
        <x:v>80</x:v>
      </x:c>
      <x:c r="G522" s="442" t="n">
        <x:v>13</x:v>
      </x:c>
      <x:c r="H522" s="442" t="str">
        <x:v>Massachusetts Institute of Technology (MIT); Stanford University; University of California, Berkeley; Harvard University; Princeton University; Cornell University</x:v>
      </x:c>
      <x:c r="I522" s="442" t="str">
        <x:v>Cobertura de la familia temática; consultar la fuente oficial antes de atribuir una asignatura literal.</x:v>
      </x:c>
    </x:row>
    <x:row r="523" ht="42" customHeight="1">
      <x:c r="A523" s="445" t="str">
        <x:v>QUA-007</x:v>
      </x:c>
      <x:c r="B523" s="445" t="str">
        <x:v>Comunicación y criptografía cuántica</x:v>
      </x:c>
      <x:c r="C523" s="445" t="str">
        <x:v>Computación cuántica</x:v>
      </x:c>
      <x:c r="D523" s="445" t="str">
        <x:v>Interdisciplinariedad</x:v>
      </x:c>
      <x:c r="E523" s="445" t="n">
        <x:v>3</x:v>
      </x:c>
      <x:c r="F523" s="445" t="n">
        <x:v>80</x:v>
      </x:c>
      <x:c r="G523" s="445" t="n">
        <x:v>13</x:v>
      </x:c>
      <x:c r="H523" s="445" t="str">
        <x:v>Massachusetts Institute of Technology (MIT); Stanford University; University of California, Berkeley; Harvard University; Princeton University; Cornell University</x:v>
      </x:c>
      <x:c r="I523" s="445" t="str">
        <x:v>Cobertura de la familia temática; consultar la fuente oficial antes de atribuir una asignatura literal.</x:v>
      </x:c>
    </x:row>
    <x:row r="524" ht="42" customHeight="1">
      <x:c r="A524" s="442" t="str">
        <x:v>QUA-008</x:v>
      </x:c>
      <x:c r="B524" s="442" t="str">
        <x:v>Corrección de errores cuánticos</x:v>
      </x:c>
      <x:c r="C524" s="442" t="str">
        <x:v>Computación cuántica</x:v>
      </x:c>
      <x:c r="D524" s="442" t="str">
        <x:v>Interdisciplinariedad</x:v>
      </x:c>
      <x:c r="E524" s="442" t="n">
        <x:v>3</x:v>
      </x:c>
      <x:c r="F524" s="442" t="n">
        <x:v>80</x:v>
      </x:c>
      <x:c r="G524" s="442" t="n">
        <x:v>13</x:v>
      </x:c>
      <x:c r="H524" s="442" t="str">
        <x:v>Massachusetts Institute of Technology (MIT); Stanford University; University of California, Berkeley; Harvard University; Princeton University; Cornell University</x:v>
      </x:c>
      <x:c r="I524" s="442" t="str">
        <x:v>Cobertura de la familia temática; consultar la fuente oficial antes de atribuir una asignatura literal.</x:v>
      </x:c>
    </x:row>
    <x:row r="525" ht="42" customHeight="1">
      <x:c r="A525" s="445" t="str">
        <x:v>QUA-009</x:v>
      </x:c>
      <x:c r="B525" s="445" t="str">
        <x:v>Hardware y control cuántico</x:v>
      </x:c>
      <x:c r="C525" s="445" t="str">
        <x:v>Computación cuántica</x:v>
      </x:c>
      <x:c r="D525" s="445" t="str">
        <x:v>Interdisciplinariedad</x:v>
      </x:c>
      <x:c r="E525" s="445" t="n">
        <x:v>3</x:v>
      </x:c>
      <x:c r="F525" s="445" t="n">
        <x:v>80</x:v>
      </x:c>
      <x:c r="G525" s="445" t="n">
        <x:v>13</x:v>
      </x:c>
      <x:c r="H525" s="445" t="str">
        <x:v>Massachusetts Institute of Technology (MIT); Stanford University; University of California, Berkeley; Harvard University; Princeton University; Cornell University</x:v>
      </x:c>
      <x:c r="I525" s="445" t="str">
        <x:v>Cobertura de la familia temática; consultar la fuente oficial antes de atribuir una asignatura literal.</x:v>
      </x:c>
    </x:row>
    <x:row r="526" ht="42" customHeight="1">
      <x:c r="A526" s="442" t="str">
        <x:v>QUA-010</x:v>
      </x:c>
      <x:c r="B526" s="442" t="str">
        <x:v>Computación cuántica tolerante a fallos</x:v>
      </x:c>
      <x:c r="C526" s="442" t="str">
        <x:v>Computación cuántica</x:v>
      </x:c>
      <x:c r="D526" s="442" t="str">
        <x:v>Interdisciplinariedad</x:v>
      </x:c>
      <x:c r="E526" s="442" t="n">
        <x:v>3</x:v>
      </x:c>
      <x:c r="F526" s="442" t="n">
        <x:v>80</x:v>
      </x:c>
      <x:c r="G526" s="442" t="n">
        <x:v>13</x:v>
      </x:c>
      <x:c r="H526" s="442" t="str">
        <x:v>Massachusetts Institute of Technology (MIT); Stanford University; University of California, Berkeley; Harvard University; Princeton University; Cornell University</x:v>
      </x:c>
      <x:c r="I526" s="442" t="str">
        <x:v>Cobertura de la familia temática; consultar la fuente oficial antes de atribuir una asignatura literal.</x:v>
      </x:c>
    </x:row>
    <x:row r="527" ht="42" customHeight="1">
      <x:c r="A527" s="445" t="str">
        <x:v>GXR-025</x:v>
      </x:c>
      <x:c r="B527" s="445" t="str">
        <x:v>Virtual production y escenarios LED</x:v>
      </x:c>
      <x:c r="C527" s="445" t="str">
        <x:v>Gráficos, juegos y XR</x:v>
      </x:c>
      <x:c r="D527" s="445" t="str">
        <x:v>Interdisciplinariedad</x:v>
      </x:c>
      <x:c r="E527" s="445" t="n">
        <x:v>2</x:v>
      </x:c>
      <x:c r="F527" s="445" t="n">
        <x:v>67</x:v>
      </x:c>
      <x:c r="G527" s="445" t="n">
        <x:v>14</x:v>
      </x:c>
      <x:c r="H527" s="445" t="str">
        <x:v>Stanford University; Carnegie Mellon University; University of California, Berkeley; Cornell University; University of Illinois Urbana-Champaign; Georgia Institute of Technology</x:v>
      </x:c>
      <x:c r="I527" s="445" t="str">
        <x:v>Cobertura de la familia temática; consultar la fuente oficial antes de atribuir una asignatura literal.</x:v>
      </x:c>
    </x:row>
    <x:row r="528" ht="42" customHeight="1">
      <x:c r="A528" s="442" t="str">
        <x:v>CAP-021</x:v>
      </x:c>
      <x:c r="B528" s="442" t="str">
        <x:v>Capstone IX: salud, bioinformática o cuántica</x:v>
      </x:c>
      <x:c r="C528" s="442" t="str">
        <x:v>Investigación, profesión y capstones</x:v>
      </x:c>
      <x:c r="D528" s="442" t="str">
        <x:v>Interdisciplinariedad</x:v>
      </x:c>
      <x:c r="E528" s="442" t="n">
        <x:v>1</x:v>
      </x:c>
      <x:c r="F528" s="442" t="n">
        <x:v>150</x:v>
      </x:c>
      <x:c r="G528" s="442" t="n">
        <x:v>20</x:v>
      </x:c>
      <x:c r="H528" s="442" t="str">
        <x:v>Massachusetts Institute of Technology (MIT); Stanford University; Carnegie Mellon University; University of California, Berkeley; Harvard University; Princeton University</x:v>
      </x:c>
      <x:c r="I528" s="442" t="str">
        <x:v>Cobertura de la familia temática; consultar la fuente oficial antes de atribuir una asignatura literal.</x:v>
      </x:c>
    </x:row>
    <x:row r="529" ht="42" customHeight="1">
      <x:c r="A529" s="445" t="str">
        <x:v>CAP-022</x:v>
      </x:c>
      <x:c r="B529" s="445" t="str">
        <x:v>Capstone final multidisciplinario</x:v>
      </x:c>
      <x:c r="C529" s="445" t="str">
        <x:v>Investigación, profesión y capstones</x:v>
      </x:c>
      <x:c r="D529" s="445" t="str">
        <x:v>Interdisciplinariedad</x:v>
      </x:c>
      <x:c r="E529" s="445" t="n">
        <x:v>1</x:v>
      </x:c>
      <x:c r="F529" s="445" t="n">
        <x:v>150</x:v>
      </x:c>
      <x:c r="G529" s="445" t="n">
        <x:v>20</x:v>
      </x:c>
      <x:c r="H529" s="445" t="str">
        <x:v>Massachusetts Institute of Technology (MIT); Stanford University; Carnegie Mellon University; University of California, Berkeley; Harvard University; Princeton University</x:v>
      </x:c>
      <x:c r="I529" s="445" t="str">
        <x:v>Cobertura de la familia temática; consultar la fuente oficial antes de atribuir una asignatura literal.</x:v>
      </x:c>
    </x:row>
    <x:row r="530" ht="42" customHeight="1">
      <x:c r="A530" s="442" t="str">
        <x:v>CAP-031</x:v>
      </x:c>
      <x:c r="B530" s="442" t="str">
        <x:v>Pronóstico calibrado, incertidumbre y actualización bayesiana</x:v>
      </x:c>
      <x:c r="C530" s="442" t="str">
        <x:v>Investigación, profesión y capstones</x:v>
      </x:c>
      <x:c r="D530" s="442" t="str">
        <x:v>Interdisciplinariedad</x:v>
      </x:c>
      <x:c r="E530" s="442" t="n">
        <x:v>1</x:v>
      </x:c>
      <x:c r="F530" s="442" t="n">
        <x:v>150</x:v>
      </x:c>
      <x:c r="G530" s="442" t="n">
        <x:v>20</x:v>
      </x:c>
      <x:c r="H530" s="442" t="str">
        <x:v>Massachusetts Institute of Technology (MIT); Stanford University; Carnegie Mellon University; University of California, Berkeley; Harvard University; Princeton University</x:v>
      </x:c>
      <x:c r="I530" s="442" t="str">
        <x:v>Cobertura de la familia temática; consultar la fuente oficial antes de atribuir una asignatura literal.</x:v>
      </x:c>
    </x:row>
    <x:row r="531" ht="42" customHeight="1">
      <x:c r="A531" s="445" t="str">
        <x:v>CAP-032</x:v>
      </x:c>
      <x:c r="B531" s="445" t="str">
        <x:v>Gobernanza de la malla y sistema personal de aprendizaje permanente</x:v>
      </x:c>
      <x:c r="C531" s="445" t="str">
        <x:v>Investigación, profesión y capstones</x:v>
      </x:c>
      <x:c r="D531" s="445" t="str">
        <x:v>Interdisciplinariedad</x:v>
      </x:c>
      <x:c r="E531" s="445" t="n">
        <x:v>1</x:v>
      </x:c>
      <x:c r="F531" s="445" t="n">
        <x:v>150</x:v>
      </x:c>
      <x:c r="G531" s="445" t="n">
        <x:v>20</x:v>
      </x:c>
      <x:c r="H531" s="445" t="str">
        <x:v>Massachusetts Institute of Technology (MIT); Stanford University; Carnegie Mellon University; University of California, Berkeley; Harvard University; Princeton University</x:v>
      </x:c>
      <x:c r="I531" s="445" t="str">
        <x:v>Cobertura de la familia temática; consultar la fuente oficial antes de atribuir una asignatura literal.</x:v>
      </x:c>
    </x:row>
    <x:row r="532" ht="42" customHeight="1">
      <x:c r="A532" s="442" t="str">
        <x:v>QUA-011</x:v>
      </x:c>
      <x:c r="B532" s="442" t="str">
        <x:v>Optimización y simulación cuántica</x:v>
      </x:c>
      <x:c r="C532" s="442" t="str">
        <x:v>Computación cuántica</x:v>
      </x:c>
      <x:c r="D532" s="442" t="str">
        <x:v>Investigación aplicada</x:v>
      </x:c>
      <x:c r="E532" s="442" t="n">
        <x:v>3</x:v>
      </x:c>
      <x:c r="F532" s="442" t="n">
        <x:v>80</x:v>
      </x:c>
      <x:c r="G532" s="442" t="n">
        <x:v>13</x:v>
      </x:c>
      <x:c r="H532" s="442" t="str">
        <x:v>Massachusetts Institute of Technology (MIT); Stanford University; University of California, Berkeley; Harvard University; Princeton University; Cornell University</x:v>
      </x:c>
      <x:c r="I532" s="442" t="str">
        <x:v>Cobertura de la familia temática; consultar la fuente oficial antes de atribuir una asignatura literal.</x:v>
      </x:c>
    </x:row>
    <x:row r="533" ht="42" customHeight="1">
      <x:c r="A533" s="445" t="str">
        <x:v>QUA-012</x:v>
      </x:c>
      <x:c r="B533" s="445" t="str">
        <x:v>Machine Learning cuántico</x:v>
      </x:c>
      <x:c r="C533" s="445" t="str">
        <x:v>Computación cuántica</x:v>
      </x:c>
      <x:c r="D533" s="445" t="str">
        <x:v>Investigación aplicada</x:v>
      </x:c>
      <x:c r="E533" s="445" t="n">
        <x:v>3</x:v>
      </x:c>
      <x:c r="F533" s="445" t="n">
        <x:v>80</x:v>
      </x:c>
      <x:c r="G533" s="445" t="n">
        <x:v>13</x:v>
      </x:c>
      <x:c r="H533" s="445" t="str">
        <x:v>Massachusetts Institute of Technology (MIT); Stanford University; University of California, Berkeley; Harvard University; Princeton University; Cornell University</x:v>
      </x:c>
      <x:c r="I533" s="445" t="str">
        <x:v>Cobertura de la familia temática; consultar la fuente oficial antes de atribuir una asignatura literal.</x:v>
      </x:c>
    </x:row>
    <x:row r="534" ht="42" customHeight="1">
      <x:c r="A534" s="442" t="str">
        <x:v>QUA-013</x:v>
      </x:c>
      <x:c r="B534" s="442" t="str">
        <x:v>Criptografía poscuántica</x:v>
      </x:c>
      <x:c r="C534" s="442" t="str">
        <x:v>Computación cuántica</x:v>
      </x:c>
      <x:c r="D534" s="442" t="str">
        <x:v>Investigación aplicada</x:v>
      </x:c>
      <x:c r="E534" s="442" t="n">
        <x:v>3</x:v>
      </x:c>
      <x:c r="F534" s="442" t="n">
        <x:v>80</x:v>
      </x:c>
      <x:c r="G534" s="442" t="n">
        <x:v>13</x:v>
      </x:c>
      <x:c r="H534" s="442" t="str">
        <x:v>Massachusetts Institute of Technology (MIT); Stanford University; University of California, Berkeley; Harvard University; Princeton University; Cornell University</x:v>
      </x:c>
      <x:c r="I534" s="442" t="str">
        <x:v>Cobertura de la familia temática; consultar la fuente oficial antes de atribuir una asignatura literal.</x:v>
      </x:c>
    </x:row>
    <x:row r="535" ht="42" customHeight="1">
      <x:c r="A535" s="445" t="str">
        <x:v>QUA-014</x:v>
      </x:c>
      <x:c r="B535" s="445" t="str">
        <x:v>Ingeniería de software cuántico</x:v>
      </x:c>
      <x:c r="C535" s="445" t="str">
        <x:v>Computación cuántica</x:v>
      </x:c>
      <x:c r="D535" s="445" t="str">
        <x:v>Investigación aplicada</x:v>
      </x:c>
      <x:c r="E535" s="445" t="n">
        <x:v>3</x:v>
      </x:c>
      <x:c r="F535" s="445" t="n">
        <x:v>80</x:v>
      </x:c>
      <x:c r="G535" s="445" t="n">
        <x:v>13</x:v>
      </x:c>
      <x:c r="H535" s="445" t="str">
        <x:v>Massachusetts Institute of Technology (MIT); Stanford University; University of California, Berkeley; Harvard University; Princeton University; Cornell University</x:v>
      </x:c>
      <x:c r="I535" s="445" t="str">
        <x:v>Cobertura de la familia temática; consultar la fuente oficial antes de atribuir una asignatura literal.</x:v>
      </x:c>
    </x:row>
    <x:row r="536" ht="42" customHeight="1">
      <x:c r="A536" s="442" t="str">
        <x:v>CAP-023</x:v>
      </x:c>
      <x:c r="B536" s="442" t="str">
        <x:v>Tesis o publicación técnica</x:v>
      </x:c>
      <x:c r="C536" s="442" t="str">
        <x:v>Investigación, profesión y capstones</x:v>
      </x:c>
      <x:c r="D536" s="442" t="str">
        <x:v>Investigación aplicada</x:v>
      </x:c>
      <x:c r="E536" s="442" t="n">
        <x:v>1</x:v>
      </x:c>
      <x:c r="F536" s="442" t="n">
        <x:v>150</x:v>
      </x:c>
      <x:c r="G536" s="442" t="n">
        <x:v>20</x:v>
      </x:c>
      <x:c r="H536" s="442" t="str">
        <x:v>Massachusetts Institute of Technology (MIT); Stanford University; Carnegie Mellon University; University of California, Berkeley; Harvard University; Princeton University</x:v>
      </x:c>
      <x:c r="I536" s="442" t="str">
        <x:v>Cobertura de la familia temática; consultar la fuente oficial antes de atribuir una asignatura literal.</x:v>
      </x:c>
    </x:row>
    <x:row r="537" ht="42" customHeight="1">
      <x:c r="A537" s="503" t="str">
        <x:v>CAP-024</x:v>
      </x:c>
      <x:c r="B537" s="503" t="str">
        <x:v>Portafolio maestro y defensa internacional</x:v>
      </x:c>
      <x:c r="C537" s="503" t="str">
        <x:v>Investigación, profesión y capstones</x:v>
      </x:c>
      <x:c r="D537" s="503" t="str">
        <x:v>Investigación aplicada</x:v>
      </x:c>
      <x:c r="E537" s="503" t="n">
        <x:v>1</x:v>
      </x:c>
      <x:c r="F537" s="503" t="n">
        <x:v>150</x:v>
      </x:c>
      <x:c r="G537" s="503" t="n">
        <x:v>20</x:v>
      </x:c>
      <x:c r="H537" s="503" t="str">
        <x:v>Massachusetts Institute of Technology (MIT); Stanford University; Carnegie Mellon University; University of California, Berkeley; Harvard University; Princeton University</x:v>
      </x:c>
      <x:c r="I537" s="503" t="str">
        <x:v>Cobertura de la familia temática; consultar la fuente oficial antes de atribuir una asignatura literal.</x:v>
      </x:c>
    </x:row>
  </x:sheetData>
  <x:mergeCells>
    <x:mergeCell ref="A1:I1"/>
    <x:mergeCell ref="A2:I2"/>
  </x:mergeCells>
  <x:pageMargins left="0.7" right="0.7" top="0.75" bottom="0.75" header="0.3" footer="0.3"/>
  <x:tableParts count="1">
    <x:tablePart xmlns:r="http://schemas.openxmlformats.org/officeDocument/2006/relationships" r:id="R0ad27962ff094765"/>
  </x:tableParts>
</x:worksheet>
</file>